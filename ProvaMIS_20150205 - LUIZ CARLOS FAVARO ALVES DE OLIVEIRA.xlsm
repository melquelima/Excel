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195" windowWidth="19320" windowHeight="7920"/>
  </bookViews>
  <sheets>
    <sheet name="Questão01" sheetId="25" r:id="rId1"/>
    <sheet name="Questão02" sheetId="33" r:id="rId2"/>
    <sheet name="Questão03" sheetId="38" r:id="rId3"/>
    <sheet name="Questão04" sheetId="4" r:id="rId4"/>
    <sheet name="Questão05" sheetId="34" r:id="rId5"/>
    <sheet name="Questão06" sheetId="39" r:id="rId6"/>
    <sheet name="Questão07" sheetId="40" r:id="rId7"/>
    <sheet name="Questão08" sheetId="27" r:id="rId8"/>
    <sheet name="Questão09" sheetId="6" r:id="rId9"/>
    <sheet name="Questão10" sheetId="29" r:id="rId10"/>
    <sheet name="Questão11" sheetId="5" r:id="rId11"/>
    <sheet name="Questão12" sheetId="31" r:id="rId12"/>
    <sheet name="Questão13" sheetId="36" r:id="rId13"/>
    <sheet name="Questão13Dados" sheetId="37" r:id="rId14"/>
  </sheets>
  <functionGroups builtInGroupCount="17"/>
  <definedNames>
    <definedName name="_xlnm._FilterDatabase" localSheetId="7" hidden="1">Questão08!$H$7:$O$1208</definedName>
    <definedName name="_xlnm._FilterDatabase" localSheetId="8" hidden="1">Questão09!$A$14:$I$494</definedName>
    <definedName name="_xlnm._FilterDatabase" localSheetId="9" hidden="1">Questão10!$I$7:$M$1322</definedName>
    <definedName name="CMS_2" localSheetId="6">Questão07!#REF!</definedName>
    <definedName name="CMS_2" localSheetId="10">Questão11!#REF!</definedName>
    <definedName name="CMS_2" localSheetId="11">Questão12!#REF!</definedName>
    <definedName name="CMS_2" localSheetId="12">Questão13!#REF!</definedName>
    <definedName name="CMS_2" localSheetId="13">Questão13Dados!#REF!</definedName>
    <definedName name="CMS_3" localSheetId="6">Questão07!#REF!</definedName>
    <definedName name="CMS_3" localSheetId="10">Questão11!#REF!</definedName>
    <definedName name="CMS_3" localSheetId="11">Questão12!#REF!</definedName>
    <definedName name="CMS_3" localSheetId="12">Questão13!#REF!</definedName>
    <definedName name="CMS_3" localSheetId="13">Questão13Dados!#REF!</definedName>
    <definedName name="CMS_4" localSheetId="6">Questão07!#REF!</definedName>
    <definedName name="CMS_4" localSheetId="10">Questão11!#REF!</definedName>
    <definedName name="CMS_4" localSheetId="11">Questão12!#REF!</definedName>
    <definedName name="CMS_4" localSheetId="12">Questão13!#REF!</definedName>
    <definedName name="CMS_4" localSheetId="13">Questão13Dados!#REF!</definedName>
    <definedName name="CMS_5" localSheetId="6">Questão07!#REF!</definedName>
    <definedName name="CMS_5" localSheetId="10">Questão11!#REF!</definedName>
    <definedName name="CMS_5" localSheetId="11">Questão12!#REF!</definedName>
    <definedName name="CMS_5" localSheetId="12">Questão13!#REF!</definedName>
    <definedName name="CMS_5" localSheetId="13">Questão13Dados!#REF!</definedName>
    <definedName name="CMS_6" localSheetId="6">Questão07!#REF!</definedName>
    <definedName name="CMS_6" localSheetId="10">Questão11!#REF!</definedName>
    <definedName name="CMS_6" localSheetId="11">Questão12!#REF!</definedName>
    <definedName name="CMS_6" localSheetId="12">Questão13!#REF!</definedName>
    <definedName name="CMS_6" localSheetId="13">Questão13Dados!#REF!</definedName>
  </definedNames>
  <calcPr calcId="145621"/>
  <pivotCaches>
    <pivotCache cacheId="0" r:id="rId15"/>
  </pivotCaches>
</workbook>
</file>

<file path=xl/calcChain.xml><?xml version="1.0" encoding="utf-8"?>
<calcChain xmlns="http://schemas.openxmlformats.org/spreadsheetml/2006/main">
  <c r="E16" i="38" l="1"/>
  <c r="E14" i="38"/>
  <c r="E9" i="38"/>
  <c r="B16" i="38"/>
  <c r="B14" i="38"/>
  <c r="B9" i="38"/>
  <c r="AA29" i="38"/>
  <c r="AA28" i="38"/>
  <c r="AA27" i="38"/>
  <c r="AA26" i="38"/>
  <c r="AA25" i="38"/>
  <c r="AA24" i="38"/>
  <c r="AA23" i="38"/>
  <c r="AA22" i="38"/>
  <c r="AA21" i="38"/>
  <c r="AA20" i="38"/>
  <c r="E12" i="38"/>
  <c r="E11" i="38"/>
  <c r="E7" i="38"/>
  <c r="E6" i="38"/>
  <c r="W28" i="38"/>
  <c r="W20" i="38"/>
  <c r="V29" i="38"/>
  <c r="X29" i="38" s="1"/>
  <c r="V28" i="38"/>
  <c r="X28" i="38" s="1"/>
  <c r="V27" i="38"/>
  <c r="W27" i="38" s="1"/>
  <c r="V26" i="38"/>
  <c r="X26" i="38" s="1"/>
  <c r="V25" i="38"/>
  <c r="X25" i="38" s="1"/>
  <c r="V24" i="38"/>
  <c r="X24" i="38" s="1"/>
  <c r="V23" i="38"/>
  <c r="W23" i="38" s="1"/>
  <c r="V22" i="38"/>
  <c r="X22" i="38" s="1"/>
  <c r="V21" i="38"/>
  <c r="X21" i="38" s="1"/>
  <c r="V20" i="38"/>
  <c r="X20" i="38" s="1"/>
  <c r="W25" i="38" l="1"/>
  <c r="W21" i="38"/>
  <c r="W29" i="38"/>
  <c r="W24" i="38"/>
  <c r="X23" i="38"/>
  <c r="X27" i="38"/>
  <c r="W22" i="38"/>
  <c r="W26" i="38"/>
  <c r="P23" i="38"/>
  <c r="B12" i="38" s="1"/>
  <c r="P22" i="38"/>
  <c r="B11" i="38" s="1"/>
  <c r="P21" i="38"/>
  <c r="B7" i="38" s="1"/>
  <c r="P20" i="38"/>
  <c r="B6" i="38" s="1"/>
  <c r="E18" i="33"/>
  <c r="C18" i="33"/>
  <c r="C16" i="33"/>
  <c r="C10" i="33"/>
  <c r="C14" i="33"/>
  <c r="C13" i="33"/>
  <c r="C12" i="33"/>
  <c r="C8" i="33"/>
  <c r="C7" i="33"/>
  <c r="C6" i="33"/>
  <c r="E16" i="33"/>
  <c r="E10" i="33"/>
  <c r="E14" i="33"/>
  <c r="E13" i="33"/>
  <c r="E12" i="33"/>
  <c r="E8" i="33"/>
  <c r="E7" i="33"/>
  <c r="E6" i="33"/>
  <c r="F8" i="25"/>
  <c r="D8" i="25"/>
  <c r="F6" i="25"/>
  <c r="D6" i="25"/>
  <c r="F5" i="25"/>
  <c r="D5" i="25"/>
  <c r="U29" i="38" l="1"/>
  <c r="Y29" i="38" s="1"/>
  <c r="Z29" i="38" s="1"/>
  <c r="U28" i="38"/>
  <c r="Y28" i="38" s="1"/>
  <c r="Z28" i="38" s="1"/>
  <c r="U27" i="38"/>
  <c r="Y27" i="38" s="1"/>
  <c r="Z27" i="38" s="1"/>
  <c r="U26" i="38"/>
  <c r="Y26" i="38" s="1"/>
  <c r="Z26" i="38" s="1"/>
  <c r="U25" i="38"/>
  <c r="Y25" i="38" s="1"/>
  <c r="Z25" i="38" s="1"/>
  <c r="U24" i="38"/>
  <c r="Y24" i="38" s="1"/>
  <c r="Z24" i="38" s="1"/>
  <c r="U23" i="38"/>
  <c r="Y23" i="38" s="1"/>
  <c r="Z23" i="38" s="1"/>
  <c r="U22" i="38"/>
  <c r="Y22" i="38" s="1"/>
  <c r="Z22" i="38" s="1"/>
  <c r="U21" i="38"/>
  <c r="Y21" i="38" s="1"/>
  <c r="Z21" i="38" s="1"/>
  <c r="U20" i="38"/>
  <c r="Y20" i="38" s="1"/>
  <c r="Z20" i="38" s="1"/>
</calcChain>
</file>

<file path=xl/connections.xml><?xml version="1.0" encoding="utf-8"?>
<connections xmlns="http://schemas.openxmlformats.org/spreadsheetml/2006/main">
  <connection id="1" name="CMS" type="6" refreshedVersion="3" background="1">
    <textPr prompt="0" sourceFile="C:\Documents and Settings\alexsandro.luna\Desktop\Leonardo\CMS.txt" decimal="," thousands=".">
      <textFields count="7">
        <textField/>
        <textField/>
        <textField/>
        <textField/>
        <textField/>
        <textField/>
        <textField/>
      </textFields>
    </textPr>
  </connection>
  <connection id="2" name="CMS1" type="6" refreshedVersion="3" background="1">
    <textPr prompt="0" sourceFile="C:\Documents and Settings\alexsandro.luna\Desktop\Leonardo\CMS.txt" decimal="," thousands=".">
      <textFields count="7">
        <textField/>
        <textField/>
        <textField/>
        <textField/>
        <textField/>
        <textField/>
        <textField/>
      </textFields>
    </textPr>
  </connection>
  <connection id="3" name="CMS2" type="6" refreshedVersion="3" background="1">
    <textPr prompt="0" sourceFile="C:\Documents and Settings\alexsandro.luna\Desktop\Leonardo\CMS.txt" decimal="," thousands=".">
      <textFields count="7">
        <textField/>
        <textField/>
        <textField/>
        <textField/>
        <textField/>
        <textField/>
        <textField/>
      </textFields>
    </textPr>
  </connection>
  <connection id="4" name="CMS3" type="6" refreshedVersion="3" background="1">
    <textPr prompt="0" sourceFile="C:\Documents and Settings\alexsandro.luna\Desktop\Leonardo\CMS.txt" decimal="," thousands=".">
      <textFields count="7">
        <textField/>
        <textField/>
        <textField/>
        <textField/>
        <textField/>
        <textField/>
        <textField/>
      </textFields>
    </textPr>
  </connection>
  <connection id="5" name="CMS4" type="6" refreshedVersion="3" background="1">
    <textPr prompt="0" sourceFile="C:\Documents and Settings\alexsandro.luna\Desktop\Leonardo\CMS.txt" decimal="," thousands=".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<sst xmlns="http://schemas.openxmlformats.org/spreadsheetml/2006/main" count="8445" uniqueCount="1451">
  <si>
    <t>ServerName</t>
  </si>
  <si>
    <t>syn_ACD</t>
  </si>
  <si>
    <t>CALLSOFFERED</t>
  </si>
  <si>
    <t>ACDCALLS</t>
  </si>
  <si>
    <t>ABNCALLS</t>
  </si>
  <si>
    <t>OTHERCALLS</t>
  </si>
  <si>
    <t>10.241.8.9</t>
  </si>
  <si>
    <t>LAPA</t>
  </si>
  <si>
    <t>LAPA DAC B</t>
  </si>
  <si>
    <t>ROW_DATE</t>
  </si>
  <si>
    <t>STARTTIME</t>
  </si>
  <si>
    <t>10.244.148.9</t>
  </si>
  <si>
    <t>AguaBranca</t>
  </si>
  <si>
    <t>172.29.2.12</t>
  </si>
  <si>
    <t>Teleperformance</t>
  </si>
  <si>
    <t>MAXSTAFFED</t>
  </si>
  <si>
    <t>Tabela X</t>
  </si>
  <si>
    <t>Tabela Y</t>
  </si>
  <si>
    <t>Digite a Consulta:</t>
  </si>
  <si>
    <r>
      <t xml:space="preserve">Através do VBA (Visual Basic for Application) construa um código que importe um relatório do Avaya CMS Supervisor ao clicar no botão "Importar Relatório". O relatório deve ser colado na célula A10 desta planilha;
Dados necessários para construção do código:
          </t>
    </r>
    <r>
      <rPr>
        <b/>
        <sz val="11"/>
        <color theme="1"/>
        <rFont val="Calibri"/>
        <family val="2"/>
        <scheme val="minor"/>
      </rPr>
      <t>Nome e Caminho do Relatório:</t>
    </r>
    <r>
      <rPr>
        <sz val="11"/>
        <color theme="1"/>
        <rFont val="Calibri"/>
        <family val="2"/>
        <scheme val="minor"/>
      </rPr>
      <t xml:space="preserve"> "Histórico\Grupo / Especialidade\Saída (Diário)"
          </t>
    </r>
    <r>
      <rPr>
        <b/>
        <sz val="11"/>
        <color theme="1"/>
        <rFont val="Calibri"/>
        <family val="2"/>
        <scheme val="minor"/>
      </rPr>
      <t>Número do ACD:</t>
    </r>
    <r>
      <rPr>
        <sz val="11"/>
        <color theme="1"/>
        <rFont val="Calibri"/>
        <family val="2"/>
        <scheme val="minor"/>
      </rPr>
      <t xml:space="preserve"> 1
          </t>
    </r>
    <r>
      <rPr>
        <b/>
        <sz val="11"/>
        <color theme="1"/>
        <rFont val="Calibri"/>
        <family val="2"/>
        <scheme val="minor"/>
      </rPr>
      <t>Nome do ACD:</t>
    </r>
    <r>
      <rPr>
        <sz val="11"/>
        <color theme="1"/>
        <rFont val="Calibri"/>
        <family val="2"/>
        <scheme val="minor"/>
      </rPr>
      <t xml:space="preserve"> LAPA
          </t>
    </r>
    <r>
      <rPr>
        <b/>
        <sz val="11"/>
        <color theme="1"/>
        <rFont val="Calibri"/>
        <family val="2"/>
        <scheme val="minor"/>
      </rPr>
      <t>Nome do Servidor:</t>
    </r>
    <r>
      <rPr>
        <sz val="11"/>
        <color theme="1"/>
        <rFont val="Calibri"/>
        <family val="2"/>
        <scheme val="minor"/>
      </rPr>
      <t xml:space="preserve"> 10.241.8.9
          </t>
    </r>
    <r>
      <rPr>
        <b/>
        <sz val="11"/>
        <color theme="1"/>
        <rFont val="Calibri"/>
        <family val="2"/>
        <scheme val="minor"/>
      </rPr>
      <t>Número do Skill:</t>
    </r>
    <r>
      <rPr>
        <sz val="11"/>
        <color theme="1"/>
        <rFont val="Calibri"/>
        <family val="2"/>
        <scheme val="minor"/>
      </rPr>
      <t xml:space="preserve"> 477
          </t>
    </r>
    <r>
      <rPr>
        <b/>
        <sz val="11"/>
        <color theme="1"/>
        <rFont val="Calibri"/>
        <family val="2"/>
        <scheme val="minor"/>
      </rPr>
      <t>Data:</t>
    </r>
    <r>
      <rPr>
        <sz val="11"/>
        <color theme="1"/>
        <rFont val="Calibri"/>
        <family val="2"/>
        <scheme val="minor"/>
      </rPr>
      <t xml:space="preserve"> Data de Ontem</t>
    </r>
  </si>
  <si>
    <t>Data</t>
  </si>
  <si>
    <t>total de chamadas atendidas que esperam até 10 segundos na fila de atendimento</t>
  </si>
  <si>
    <t>total de chamadas atendidas</t>
  </si>
  <si>
    <t>total de chamadas oferecidas</t>
  </si>
  <si>
    <t>data</t>
  </si>
  <si>
    <t>Célula de Atendimento X</t>
  </si>
  <si>
    <t>total de chamadas abandonadas</t>
  </si>
  <si>
    <t>Célula de Atendimento Y</t>
  </si>
  <si>
    <t>Consolidado da Célula X e Y</t>
  </si>
  <si>
    <t>Quadro A</t>
  </si>
  <si>
    <t>% Abandono</t>
  </si>
  <si>
    <t>fila de atendimento</t>
  </si>
  <si>
    <t>tempo total falado</t>
  </si>
  <si>
    <t>tempo total em pós-atendimento</t>
  </si>
  <si>
    <t>Operador A</t>
  </si>
  <si>
    <t>Operador B</t>
  </si>
  <si>
    <t>Operador C</t>
  </si>
  <si>
    <t>Operador D</t>
  </si>
  <si>
    <t>Operador E</t>
  </si>
  <si>
    <t>Operador F</t>
  </si>
  <si>
    <t>matrícula do operador</t>
  </si>
  <si>
    <t>nome do operador</t>
  </si>
  <si>
    <t>tempo médio operacional (TMO)</t>
  </si>
  <si>
    <t>tempo total em retenção (HOLD)</t>
  </si>
  <si>
    <t>ACD</t>
  </si>
  <si>
    <t>Codigo_ACD</t>
  </si>
  <si>
    <t>Codigo_CMSServer</t>
  </si>
  <si>
    <t>SPLIT</t>
  </si>
  <si>
    <t>syn_SPLIT</t>
  </si>
  <si>
    <t>LG CELULAR</t>
  </si>
  <si>
    <t>LG MARROM</t>
  </si>
  <si>
    <t>LG BRANCA</t>
  </si>
  <si>
    <t>SKY TLV ITSA</t>
  </si>
  <si>
    <t>LG CEP</t>
  </si>
  <si>
    <t>LG COLLECT</t>
  </si>
  <si>
    <t>LG PLASMA</t>
  </si>
  <si>
    <t>SKY Fila Sk 319</t>
  </si>
  <si>
    <t>LG CABO DE DADOS</t>
  </si>
  <si>
    <t>VC_SKY_REV_FINANC_HD</t>
  </si>
  <si>
    <t>LG HAPPY CALL</t>
  </si>
  <si>
    <t>VC_SKY_HBRD_OUTRS SV</t>
  </si>
  <si>
    <t>SKY_4_CELUL_PLATINUM</t>
  </si>
  <si>
    <t>Sky _Green Retencao</t>
  </si>
  <si>
    <t>Teste Transb Negocia</t>
  </si>
  <si>
    <t>NEG SAC URA_Canc Inv</t>
  </si>
  <si>
    <t>SKY PPV</t>
  </si>
  <si>
    <t>SKY CRS</t>
  </si>
  <si>
    <t>SKY BBB</t>
  </si>
  <si>
    <t>Sky Financeiro</t>
  </si>
  <si>
    <t>Sky Cel Tecnica</t>
  </si>
  <si>
    <t>SKY_4_PRE_PAGO</t>
  </si>
  <si>
    <t>SKY SAC_IBS</t>
  </si>
  <si>
    <t>SKY SAC BILÍNGÜE JAP</t>
  </si>
  <si>
    <t>SKY SAC BILÍNGÜE ING</t>
  </si>
  <si>
    <t>Teste IVR</t>
  </si>
  <si>
    <t>IBS SKILL 39</t>
  </si>
  <si>
    <t>Ura DTV</t>
  </si>
  <si>
    <t>SKY BRASILEIRAO</t>
  </si>
  <si>
    <t>SKY PRIME</t>
  </si>
  <si>
    <t>RETENCAO_DIRECTV</t>
  </si>
  <si>
    <t>SKY_VENDAS</t>
  </si>
  <si>
    <t>SKY+ SAC</t>
  </si>
  <si>
    <t>BRT Res.Receptivo</t>
  </si>
  <si>
    <t>SKY INATIVO</t>
  </si>
  <si>
    <t>SKY Conversores HD</t>
  </si>
  <si>
    <t>HOT LINE PALAVRA SKY</t>
  </si>
  <si>
    <t>BRT VENDAS EMPRESAS</t>
  </si>
  <si>
    <t>SKY_PNE_VOLUMETRIA</t>
  </si>
  <si>
    <t>SKY HD COMPRA RAPIDA</t>
  </si>
  <si>
    <t>CELULA DE COBRANCA</t>
  </si>
  <si>
    <t>SKY Atendimento Parc</t>
  </si>
  <si>
    <t>SKY ON DEMAND</t>
  </si>
  <si>
    <t>BRT REL. RESIDENCIAL</t>
  </si>
  <si>
    <t>SKY Retencao Prime</t>
  </si>
  <si>
    <t>SKY METRALHADORA NEG</t>
  </si>
  <si>
    <t>SKY SURPREENDA</t>
  </si>
  <si>
    <t>SKY MIGRACAO PRE POS</t>
  </si>
  <si>
    <t>BRT SUPORTE GOOGLE</t>
  </si>
  <si>
    <t>SKY AFC LIVRE</t>
  </si>
  <si>
    <t>MegaPlin e FOPA</t>
  </si>
  <si>
    <t>SKY_4_ESP_LIVRE_GLB</t>
  </si>
  <si>
    <t>BRT SUPORTE</t>
  </si>
  <si>
    <t>BRT SUPORTE IBEST</t>
  </si>
  <si>
    <t>BRT_REVENDAS</t>
  </si>
  <si>
    <t>Teste URA DTV</t>
  </si>
  <si>
    <t>TI Sala Tecnica</t>
  </si>
  <si>
    <t>TI Sala Tec Telecom</t>
  </si>
  <si>
    <t>TI Esp Telecom</t>
  </si>
  <si>
    <t>TI Esp Office Aut</t>
  </si>
  <si>
    <t>SKY_CELULA_AJUDA</t>
  </si>
  <si>
    <t>TI Esp Network</t>
  </si>
  <si>
    <t>TI Producao</t>
  </si>
  <si>
    <t>TI CPMS</t>
  </si>
  <si>
    <t>SKY Reclamação</t>
  </si>
  <si>
    <t>BANDA LARGA</t>
  </si>
  <si>
    <t>INTERNET BANDA LARGA</t>
  </si>
  <si>
    <t>SKY_Prime</t>
  </si>
  <si>
    <t>SKY_4_TRANS_PLATINUM</t>
  </si>
  <si>
    <t>SKY PACOTES BASICOS</t>
  </si>
  <si>
    <t>SKY TLV INTERNET FIT</t>
  </si>
  <si>
    <t>ACER_VOZ</t>
  </si>
  <si>
    <t>ACER_EMAIL</t>
  </si>
  <si>
    <t>NEGOCIAÇÃO_SKY+DIREC</t>
  </si>
  <si>
    <t>SKY CHURN T1</t>
  </si>
  <si>
    <t>SKY CHURN T2</t>
  </si>
  <si>
    <t>SKY CHURN T3</t>
  </si>
  <si>
    <t>SKY CHURN T4</t>
  </si>
  <si>
    <t>SKY CHURN T5</t>
  </si>
  <si>
    <t>SKY CHURN T6</t>
  </si>
  <si>
    <t>SKY CHURN T7</t>
  </si>
  <si>
    <t>MOPC Directv</t>
  </si>
  <si>
    <t>SKY CHURN T9</t>
  </si>
  <si>
    <t>SKY CHURN FLOWERS</t>
  </si>
  <si>
    <t>INTERNET</t>
  </si>
  <si>
    <t>VC_SKY_ATIVO_01</t>
  </si>
  <si>
    <t>VC_SKY_VENDAS_CHAT</t>
  </si>
  <si>
    <t>AÇÃO RECORD</t>
  </si>
  <si>
    <t>SKY ACV LIVRE 2</t>
  </si>
  <si>
    <t>SKY INTERNET MOBILE</t>
  </si>
  <si>
    <t>SKY_NEGOCIA_ESPECIAL</t>
  </si>
  <si>
    <t>ATIVO TLV LVE</t>
  </si>
  <si>
    <t>SKY_3_ESPECIAL_AB</t>
  </si>
  <si>
    <t>TVGI</t>
  </si>
  <si>
    <t>TVGI_BACKOFFICE</t>
  </si>
  <si>
    <t>VC_SKY_ATIVO_BANDA_L</t>
  </si>
  <si>
    <t>VC_SKY_ATIVO_07</t>
  </si>
  <si>
    <t>SKY DIGINET</t>
  </si>
  <si>
    <t>SKY ATT CANCELADOS</t>
  </si>
  <si>
    <t>SKY CORPORATE AMBEV</t>
  </si>
  <si>
    <t>SKY CORPORATE ZICARD</t>
  </si>
  <si>
    <t>SKY CHURN SKILL 51</t>
  </si>
  <si>
    <t>SKY CHURN SKILL 52</t>
  </si>
  <si>
    <t>SKY CHURN RECUP</t>
  </si>
  <si>
    <t>SKY CORPORATE GERAL</t>
  </si>
  <si>
    <t>SKY CORPORATE SUL</t>
  </si>
  <si>
    <t>SKY CORPORATE CO</t>
  </si>
  <si>
    <t>SKY CORPORATE SP CAP</t>
  </si>
  <si>
    <t>SKY CORPORATE SP INT</t>
  </si>
  <si>
    <t>SKY CORPORATE N NE</t>
  </si>
  <si>
    <t>SKY+ DIGINET</t>
  </si>
  <si>
    <t>SKY CORP GDE CONTAS</t>
  </si>
  <si>
    <t>SKY ATIVO</t>
  </si>
  <si>
    <t>SKY SIEBEL</t>
  </si>
  <si>
    <t>SKY INFO TECNICAS</t>
  </si>
  <si>
    <t>VC_SKY_HIBRIDO_HD</t>
  </si>
  <si>
    <t>SKY VISITA TECNICA</t>
  </si>
  <si>
    <t>SKY_2_PREMIUM_RECHAM</t>
  </si>
  <si>
    <t>VC_SKY_HIBRIDO_T</t>
  </si>
  <si>
    <t>VC_SKY_HBRD_TROC PCT</t>
  </si>
  <si>
    <t>VC_SKY_REV_FINANC_SD</t>
  </si>
  <si>
    <t>SKY_BANDA_LARGA_VC</t>
  </si>
  <si>
    <t>SKY_CONSTRUTORAS</t>
  </si>
  <si>
    <t>ATIVO ATITUDE</t>
  </si>
  <si>
    <t>Relações de Consumo</t>
  </si>
  <si>
    <t>SKY_4_ESP_NÃO_HABIL</t>
  </si>
  <si>
    <t>SKY_3_ESSENCIAL</t>
  </si>
  <si>
    <t>SKY_3_ESSENCIAL_CONT</t>
  </si>
  <si>
    <t>SKY Funcionários LG</t>
  </si>
  <si>
    <t>SKY_1_PLATINUM</t>
  </si>
  <si>
    <t>SKY_1_PLATINUM VIP</t>
  </si>
  <si>
    <t>SKY_2_PREMIUM_HD</t>
  </si>
  <si>
    <t>SKY_2_PREMIUM_SD</t>
  </si>
  <si>
    <t>SKY_2_PREMIUM_NEW_HD</t>
  </si>
  <si>
    <t>SKY_1_PLATINUM_CONT</t>
  </si>
  <si>
    <t>SKY_4_ESPECIAL</t>
  </si>
  <si>
    <t>SKY_2_PREMIUM_SD_CON</t>
  </si>
  <si>
    <t>SKY_4_ESPECIAL_NOVOS</t>
  </si>
  <si>
    <t>SKY_4_ESPECIAL_LIGHT</t>
  </si>
  <si>
    <t>SKY_4_ESPECIAL_LIVRE</t>
  </si>
  <si>
    <t>SKY_4_ESPECIAL_FIT</t>
  </si>
  <si>
    <t>SKY_2_PREMIUM_HD_CON</t>
  </si>
  <si>
    <t>SKY_4_ESPECIAL_CONT</t>
  </si>
  <si>
    <t>SKY_2_BANDA_LARGA_ES</t>
  </si>
  <si>
    <t>SKY_1_CONS_MODERNO</t>
  </si>
  <si>
    <t>DEGRADA TP PREMIUM</t>
  </si>
  <si>
    <t>DEGRADA TP PLATINUM</t>
  </si>
  <si>
    <t>SKY TLV INTERNET WAP</t>
  </si>
  <si>
    <t>Sky AFC 2881</t>
  </si>
  <si>
    <t>Sky Chat Televendas</t>
  </si>
  <si>
    <t>Sky AFC Equipe Inter</t>
  </si>
  <si>
    <t>Sky Pós Vendas TLV</t>
  </si>
  <si>
    <t>SKY TELEVENDAS 2</t>
  </si>
  <si>
    <t>URA COMPRA RÁPIDA</t>
  </si>
  <si>
    <t>INFO JBNTV</t>
  </si>
  <si>
    <t>INFO TLV RÁDIO</t>
  </si>
  <si>
    <t>SKY TLV Reserva 02</t>
  </si>
  <si>
    <t>SKY TLV TV RBA</t>
  </si>
  <si>
    <t>SKY TLV LBV</t>
  </si>
  <si>
    <t>SKY TLV INTERNET</t>
  </si>
  <si>
    <t>SKY Roteiros de Char</t>
  </si>
  <si>
    <t>SKY TLV CLUBE ATL PR</t>
  </si>
  <si>
    <t>FAMILIA TELE</t>
  </si>
  <si>
    <t>SKY TLV TMAIS</t>
  </si>
  <si>
    <t>SKY UNOTEL</t>
  </si>
  <si>
    <t>INFO TLV Banda C</t>
  </si>
  <si>
    <t>TLV GOOGLE DISPLAY</t>
  </si>
  <si>
    <t>SKY TLV LINK PATROCI</t>
  </si>
  <si>
    <t>SKY TLV NOVO TEMPO</t>
  </si>
  <si>
    <t>Sky AFC Serviços</t>
  </si>
  <si>
    <t>Sky AFC Vendas</t>
  </si>
  <si>
    <t>Sky AFC URAHABILIT</t>
  </si>
  <si>
    <t>Sky AFC Análise</t>
  </si>
  <si>
    <t>SKY TLV VENDAS OI</t>
  </si>
  <si>
    <t>SKY TLV ATIVO</t>
  </si>
  <si>
    <t>Sky Esporte Interat.</t>
  </si>
  <si>
    <t>SKY TLV SAC OI</t>
  </si>
  <si>
    <t>PARCERIA GVT</t>
  </si>
  <si>
    <t>SKY TLV PARCERIA TIM</t>
  </si>
  <si>
    <t>CADASTRO TLV LVE</t>
  </si>
  <si>
    <t>SKY ACV VAREJ STATUS</t>
  </si>
  <si>
    <t>SKY Parceria GVT</t>
  </si>
  <si>
    <t>SKY_2_BRASILIA</t>
  </si>
  <si>
    <t>SKY_BANDA_LARGA_CONT</t>
  </si>
  <si>
    <t>VC_SKY_ATIVO_02</t>
  </si>
  <si>
    <t>VC_SKY_ATIVO_03</t>
  </si>
  <si>
    <t>VC_SKY_ATIVO_04</t>
  </si>
  <si>
    <t>VC_SKY_ATIVO_05</t>
  </si>
  <si>
    <t>VC_SKY_ATIVO_06</t>
  </si>
  <si>
    <t>PR+PL TP PARA SERCOM</t>
  </si>
  <si>
    <t>SKY ABRANET</t>
  </si>
  <si>
    <t>SKY CAMPANHA RIO</t>
  </si>
  <si>
    <t>INFO TLV MERCHANSKY</t>
  </si>
  <si>
    <t>SKY NEOVIA</t>
  </si>
  <si>
    <t>SKY TLV UNIP</t>
  </si>
  <si>
    <t>MIGRAÇÃO</t>
  </si>
  <si>
    <t>Projeto Multiplus</t>
  </si>
  <si>
    <t>MIGRAÇÃO TLV LVE</t>
  </si>
  <si>
    <t>Retenção Diginet</t>
  </si>
  <si>
    <t>SKY PARCERIA OI</t>
  </si>
  <si>
    <t>SKY_2_PREM_AUDITORIA</t>
  </si>
  <si>
    <t>PLATINUM _ P1_P2</t>
  </si>
  <si>
    <t>PREMIUM_P1_P2_HD/SD</t>
  </si>
  <si>
    <t>ESPECIAL 1_P1_P2</t>
  </si>
  <si>
    <t>CHURN_P3_P7</t>
  </si>
  <si>
    <t>ESPECIAL 2_P1_P2</t>
  </si>
  <si>
    <t>DEFAULT</t>
  </si>
  <si>
    <t>SKY_2_MINISTERIO</t>
  </si>
  <si>
    <t>SKY_1_PLAT_FINAN</t>
  </si>
  <si>
    <t>SKY_1_PLAT_VIP_FINAN</t>
  </si>
  <si>
    <t>SKY_2_PREM_HD_FINAN</t>
  </si>
  <si>
    <t>SKY_2_PREM_SD_FINAN</t>
  </si>
  <si>
    <t>SKY_2_PREM_NEWHD_FIN</t>
  </si>
  <si>
    <t>SKY_3_ESP_FINAN</t>
  </si>
  <si>
    <t>SKY_3_ESP_LIGH_FINAN</t>
  </si>
  <si>
    <t>SKY_3_ESP_LIVRE_FINA</t>
  </si>
  <si>
    <t>SKY_3_ESP_FIT_FINAN</t>
  </si>
  <si>
    <t>LIVRE AeC PARA TP</t>
  </si>
  <si>
    <t>NAO HAB AeC PARA TP</t>
  </si>
  <si>
    <t>FIT AeC PARA TP</t>
  </si>
  <si>
    <t>FIT TP PARA AeC</t>
  </si>
  <si>
    <t>HIBRIDO SRC PARA TP</t>
  </si>
  <si>
    <t>HIBRIDO TP PARA SRC</t>
  </si>
  <si>
    <t>PACOTES SRC PARA TP</t>
  </si>
  <si>
    <t>PACOTES TP PARA SRC</t>
  </si>
  <si>
    <t>LIGHT AeC PARA TP</t>
  </si>
  <si>
    <t>LIGHT TP PARA AeC</t>
  </si>
  <si>
    <t>ESSENCIAL SRC p/ TP</t>
  </si>
  <si>
    <t>ESSENCIAL TP p/ SRC</t>
  </si>
  <si>
    <t>ESPECIAL AeC p/ TP</t>
  </si>
  <si>
    <t>ESPECIAL TP p/ AeC</t>
  </si>
  <si>
    <t>SKY_2_PREM_HD_TEC</t>
  </si>
  <si>
    <t>SKY_3_ESPECIAL_TEC</t>
  </si>
  <si>
    <t>SKY_3_ESP_LIGHT_TEC</t>
  </si>
  <si>
    <t>SKY_3_ESP_LIVRE_TEC</t>
  </si>
  <si>
    <t>SKY_3_ESP_FIT_TEC</t>
  </si>
  <si>
    <t>ESPECIAL_GERAL</t>
  </si>
  <si>
    <t>PREMIUM_GERAL</t>
  </si>
  <si>
    <t>PLATINUM_GERAL</t>
  </si>
  <si>
    <t>ESSENCIAL_GERAL</t>
  </si>
  <si>
    <t>URA SAC</t>
  </si>
  <si>
    <t>URA SKY CompraRapida</t>
  </si>
  <si>
    <t>SKY URA TESTE</t>
  </si>
  <si>
    <t>SKY Canc Falha Siste</t>
  </si>
  <si>
    <t>GLOBO TP PARA SERCOM</t>
  </si>
  <si>
    <t>Monica Maria Costa S</t>
  </si>
  <si>
    <t>A</t>
  </si>
  <si>
    <t>Bradesco Emergencia</t>
  </si>
  <si>
    <t>DISCADOR_WHP ATIVO</t>
  </si>
  <si>
    <t>BRADESCO CARTOES</t>
  </si>
  <si>
    <t>BRADESCO INTERNET</t>
  </si>
  <si>
    <t>BRAD CAC FINASA</t>
  </si>
  <si>
    <t>TI_Informação C.A</t>
  </si>
  <si>
    <t>LINHA_BRANCA_DDR4511</t>
  </si>
  <si>
    <t>LINHA_BRANCA_DDR4512</t>
  </si>
  <si>
    <t>LINHA_BRANCA_DDR4513</t>
  </si>
  <si>
    <t>BRAD MESA NEGOCIÇAO</t>
  </si>
  <si>
    <t>LINHA_BRANCA_DDR4514</t>
  </si>
  <si>
    <t>FCR_HelpDesk</t>
  </si>
  <si>
    <t>ALLIANZ  Ativo</t>
  </si>
  <si>
    <t>ABN RECEPTIVO</t>
  </si>
  <si>
    <t>Amex</t>
  </si>
  <si>
    <t>Redecard</t>
  </si>
  <si>
    <t>Omini/Cabo Mais</t>
  </si>
  <si>
    <t>ADT</t>
  </si>
  <si>
    <t>Daimler Chrysler</t>
  </si>
  <si>
    <t>Collections</t>
  </si>
  <si>
    <t>Direct TV</t>
  </si>
  <si>
    <t>PORTO AGENDAMENTO</t>
  </si>
  <si>
    <t>PORTO AGENDA AZUL</t>
  </si>
  <si>
    <t>PORTO SEGURO NOVO</t>
  </si>
  <si>
    <t>PORTO RENOVACAO</t>
  </si>
  <si>
    <t>PORTO REDE CREDENC</t>
  </si>
  <si>
    <t>PORTO HD CASA</t>
  </si>
  <si>
    <t>PORTO DPVAT</t>
  </si>
  <si>
    <t>PORTO APOIO CALCULO</t>
  </si>
  <si>
    <t>PORTO SERV</t>
  </si>
  <si>
    <t>MOTO CONSULTORES</t>
  </si>
  <si>
    <t>MOT_Venezuela_71</t>
  </si>
  <si>
    <t>MOT_Operadora_72</t>
  </si>
  <si>
    <t>MOTO CASOS JURIDICOS</t>
  </si>
  <si>
    <t>MOT_CSC/MAS_74</t>
  </si>
  <si>
    <t>MOT_Vendas_75</t>
  </si>
  <si>
    <t>MOT_Informação_76</t>
  </si>
  <si>
    <t>MOT_Tecnologia_77</t>
  </si>
  <si>
    <t>MOT_Q Phone_78</t>
  </si>
  <si>
    <t>MOT_Sem Fio_79</t>
  </si>
  <si>
    <t>Liquigas_Pedidos</t>
  </si>
  <si>
    <t>Liquigas_SAC A. Tec</t>
  </si>
  <si>
    <t>Liquigas_Back Office</t>
  </si>
  <si>
    <t>Liquigas_Pedido Ativ</t>
  </si>
  <si>
    <t>Liquigas_SAC Ativo</t>
  </si>
  <si>
    <t>QCORP PROSP LOCAL</t>
  </si>
  <si>
    <t>HELPDESK</t>
  </si>
  <si>
    <t>TENDA PROCON</t>
  </si>
  <si>
    <t>IG VENDAS EMPRESAS</t>
  </si>
  <si>
    <t>IG SUPORTE EMPRESAS</t>
  </si>
  <si>
    <t>IG REL EMPRESAS</t>
  </si>
  <si>
    <t>BRT_VENDAS RESID REC</t>
  </si>
  <si>
    <t>BRT_VENDAS RESID ATI</t>
  </si>
  <si>
    <t>BRT_IBEST VENDAS</t>
  </si>
  <si>
    <t>BRT_REL RESIDENCIAL</t>
  </si>
  <si>
    <t>BRT_REL IBEST</t>
  </si>
  <si>
    <t>BRT_RETENÇÃO</t>
  </si>
  <si>
    <t>BRADESCO BACK OFFICE</t>
  </si>
  <si>
    <t>BRAD CARTOES ATIVO</t>
  </si>
  <si>
    <t>ACE SEGURO MARABRAZ</t>
  </si>
  <si>
    <t>ACE SEGURO DA SORTE</t>
  </si>
  <si>
    <t>ACE PERDA ROUBO DO C</t>
  </si>
  <si>
    <t>ACE PROTECAO HOSPITA</t>
  </si>
  <si>
    <t>ACE DOCE LAR</t>
  </si>
  <si>
    <t>ACE HOSPITAL CACHE</t>
  </si>
  <si>
    <t>ACE SEGURO CARD</t>
  </si>
  <si>
    <t>ACE VIA ACE</t>
  </si>
  <si>
    <t>UBB CPP PREVENTIVO</t>
  </si>
  <si>
    <t>LG WEB CHAT</t>
  </si>
  <si>
    <t>LG INFORMÁTICA</t>
  </si>
  <si>
    <t>LG FAX</t>
  </si>
  <si>
    <t>CLARO BANDA LARGA</t>
  </si>
  <si>
    <t>CLARO VENDAS 3G</t>
  </si>
  <si>
    <t>MOT_Especiali N1_170</t>
  </si>
  <si>
    <t>MOT_Ativo Email_171</t>
  </si>
  <si>
    <t>MOT_Ativo Chat_172</t>
  </si>
  <si>
    <t>MOT_Back Office_173</t>
  </si>
  <si>
    <t>MOT_AtivCasoGrav_174</t>
  </si>
  <si>
    <t>MOT_Especi Email_175</t>
  </si>
  <si>
    <t>MOT_Especi Chat_176</t>
  </si>
  <si>
    <t>MOT_Iden Nextel_177</t>
  </si>
  <si>
    <t>MOT_Coleta_178</t>
  </si>
  <si>
    <t>MOT_Help Desk_179</t>
  </si>
  <si>
    <t>WAL MART SAC</t>
  </si>
  <si>
    <t>WAL MART VENDAS</t>
  </si>
  <si>
    <t>BACK OFFICE WAL MART</t>
  </si>
  <si>
    <t>WAL MART VOZ CAC TFR</t>
  </si>
  <si>
    <t>WAL MART CHAT CAC</t>
  </si>
  <si>
    <t>WAL MART EMAIL CAC</t>
  </si>
  <si>
    <t>WAL MART ATIVO</t>
  </si>
  <si>
    <t>WAL MART TWITTER</t>
  </si>
  <si>
    <t>WAL MART TV</t>
  </si>
  <si>
    <t>INTERODONTO</t>
  </si>
  <si>
    <t>WAL MART ENTREGAS</t>
  </si>
  <si>
    <t>WAL MART TROCAS/DEV</t>
  </si>
  <si>
    <t>WAL MART OUTROS</t>
  </si>
  <si>
    <t>ASSISTENTES CAC</t>
  </si>
  <si>
    <t>ASSISTENTE TLV</t>
  </si>
  <si>
    <t>WAL MART P PETROBRAS</t>
  </si>
  <si>
    <t>WAL MART REV</t>
  </si>
  <si>
    <t>RH ATENDIMENTO</t>
  </si>
  <si>
    <t>WAL MART V COLETIVAS</t>
  </si>
  <si>
    <t>NET POINTS URA</t>
  </si>
  <si>
    <t>NET POINTS SAC</t>
  </si>
  <si>
    <t>NET POINTS BKO/EMAIL</t>
  </si>
  <si>
    <t>NET POINTS CHAT</t>
  </si>
  <si>
    <t>BRT_SUPORTE IBEST</t>
  </si>
  <si>
    <t>IG RETENÇÃO EMPRESA</t>
  </si>
  <si>
    <t>MAPFRE</t>
  </si>
  <si>
    <t>CC_ESP CLIENTE_VOZ</t>
  </si>
  <si>
    <t>CC_DPO_VOZ</t>
  </si>
  <si>
    <t>ESPAÇO_CLIENTE_EMAIL</t>
  </si>
  <si>
    <t>DPO_EMAIL</t>
  </si>
  <si>
    <t>Ouvidoria vizinhos</t>
  </si>
  <si>
    <t>ACE EXTRA FARMA</t>
  </si>
  <si>
    <t>ACE 0800 88 00 90</t>
  </si>
  <si>
    <t>ACE CASH ON CALL</t>
  </si>
  <si>
    <t>ACE CREDITO</t>
  </si>
  <si>
    <t>ACE IBI</t>
  </si>
  <si>
    <t>ACE GERTRAM</t>
  </si>
  <si>
    <t>ACE PROT FINANC</t>
  </si>
  <si>
    <t>ACE ACIDENTES PESSOA</t>
  </si>
  <si>
    <t>ACE CREDSYSTEM</t>
  </si>
  <si>
    <t>ACE RODOBENS</t>
  </si>
  <si>
    <t>Google</t>
  </si>
  <si>
    <t>LG URA</t>
  </si>
  <si>
    <t>LG EMAIL</t>
  </si>
  <si>
    <t>LG ANALISE CADASTRO</t>
  </si>
  <si>
    <t>NCP_GTAC_CORP</t>
  </si>
  <si>
    <t>NCP_REPAIR_CORP</t>
  </si>
  <si>
    <t>NCP_ESCALATION_CORP</t>
  </si>
  <si>
    <t>NCP_CD_CORP</t>
  </si>
  <si>
    <t>PORTO HD CORRETOR</t>
  </si>
  <si>
    <t>PORTO APOIO HD</t>
  </si>
  <si>
    <t>PORTO SERV PESQUISA</t>
  </si>
  <si>
    <t>PORTO SEGURO ENDOSSO</t>
  </si>
  <si>
    <t>PORTO ATIVO DAF</t>
  </si>
  <si>
    <t>PORTO RECALL</t>
  </si>
  <si>
    <t>PORTO DPVAT 0800</t>
  </si>
  <si>
    <t>PORTO SAUDE E PALEST</t>
  </si>
  <si>
    <t>MOT_Procon_270</t>
  </si>
  <si>
    <t>MOT_Caso Impresa_271</t>
  </si>
  <si>
    <t>MOT_Caso Critico_272</t>
  </si>
  <si>
    <t>MOT_Recall_273</t>
  </si>
  <si>
    <t>MOT_Juridico Bkp_274</t>
  </si>
  <si>
    <t>Especialista Backup</t>
  </si>
  <si>
    <t>MOTO_Vip_276</t>
  </si>
  <si>
    <t>Motorola  IVR</t>
  </si>
  <si>
    <t>WAL MART VENDAS COLE</t>
  </si>
  <si>
    <t>WAL MART L CASAMENTO</t>
  </si>
  <si>
    <t>WAL MART OP INVALIDA</t>
  </si>
  <si>
    <t>Orizon_Back_Office</t>
  </si>
  <si>
    <t>Orizon_Receptivo</t>
  </si>
  <si>
    <t>LENOVO INFO GERAIS</t>
  </si>
  <si>
    <t>LENOVO SUPT TEC IDEP</t>
  </si>
  <si>
    <t>LENOVO SUPT 15</t>
  </si>
  <si>
    <t>AMIL SAC BKO</t>
  </si>
  <si>
    <t>PJ BO</t>
  </si>
  <si>
    <t>MDL BOAS VINDAS</t>
  </si>
  <si>
    <t>CONECTIVIDADE</t>
  </si>
  <si>
    <t>URA IR ABRIGO</t>
  </si>
  <si>
    <t>URA IR CLUBE</t>
  </si>
  <si>
    <t>QCORP CAC CLUB SAUDE</t>
  </si>
  <si>
    <t>QCORP URA IR RJ</t>
  </si>
  <si>
    <t>QCORP OUTRAS INFO RJ</t>
  </si>
  <si>
    <t>QCORP NOVOS PRODU RJ</t>
  </si>
  <si>
    <t>QCORP CAC RJ</t>
  </si>
  <si>
    <t>QCORP CANCELAMENT RJ</t>
  </si>
  <si>
    <t>QCORP ATD CORRETO RJ</t>
  </si>
  <si>
    <t>QC CAARS</t>
  </si>
  <si>
    <t>IAMSPE INFORMAÇÕES</t>
  </si>
  <si>
    <t>IAMSPE EXAMES</t>
  </si>
  <si>
    <t>ATIVO RETENCAOQCorp</t>
  </si>
  <si>
    <t>IAMSPE CONSULTAS</t>
  </si>
  <si>
    <t>QCORP Televendas</t>
  </si>
  <si>
    <t>QCORP Apoio Vendas</t>
  </si>
  <si>
    <t>QC PROSP TRANSF 0800</t>
  </si>
  <si>
    <t>QCORP RETENCAO AUTO</t>
  </si>
  <si>
    <t>QCORP Prosp. PME</t>
  </si>
  <si>
    <t>QCORP Prosp. Middle</t>
  </si>
  <si>
    <t>QCORP Prosp. Ativo</t>
  </si>
  <si>
    <t>QCORP Hotline TLV</t>
  </si>
  <si>
    <t>QCORP ATIVO PROSP</t>
  </si>
  <si>
    <t>QCORP RETENCAO LIVRE</t>
  </si>
  <si>
    <t>QCOP MKT ATIVO LIVRE</t>
  </si>
  <si>
    <t>QCORP MKT ATIVO</t>
  </si>
  <si>
    <t>QC APOIO RET ADM</t>
  </si>
  <si>
    <t>QCORP MUTUA</t>
  </si>
  <si>
    <t>Pro Score Boomerang</t>
  </si>
  <si>
    <t>ACE BMG</t>
  </si>
  <si>
    <t>Casa e Vídeo</t>
  </si>
  <si>
    <t>ACE DTC RESIDENCIAL</t>
  </si>
  <si>
    <t>ADM RETENÇÃO</t>
  </si>
  <si>
    <t>QCORP PROSP LIFE</t>
  </si>
  <si>
    <t>QC CLASS BILINGUE</t>
  </si>
  <si>
    <t>QC CLASS EMPRESARIAL</t>
  </si>
  <si>
    <t>FEMSA ATIVO</t>
  </si>
  <si>
    <t>Femsa Prestigio</t>
  </si>
  <si>
    <t>QCORP PROSP CLUB SAU</t>
  </si>
  <si>
    <t>NCP_GENERAL INBOUND</t>
  </si>
  <si>
    <t>NCP_REPAIR SCHEDULE</t>
  </si>
  <si>
    <t>NCP_BACK OFFICE</t>
  </si>
  <si>
    <t>NCP_CARRIERS DEALERS</t>
  </si>
  <si>
    <t>NCP_MEDIA SUPPORT</t>
  </si>
  <si>
    <t>NCP RECALL CHARGER</t>
  </si>
  <si>
    <t>GIMBA ATIVO</t>
  </si>
  <si>
    <t>MOT_Transf_Interna</t>
  </si>
  <si>
    <t>MOT_BLUR_ANDROID</t>
  </si>
  <si>
    <t>NCP_MIDIAS_SOCIAIS</t>
  </si>
  <si>
    <t>SAMS CLUB ATIVO</t>
  </si>
  <si>
    <t>SAMS CLUB RECEPTIVO</t>
  </si>
  <si>
    <t>Globo.Com SAC</t>
  </si>
  <si>
    <t>Globo.Com Cobranca</t>
  </si>
  <si>
    <t>Globo.Com Modem</t>
  </si>
  <si>
    <t>Globo.Com Suporte</t>
  </si>
  <si>
    <t>Globo.Com Vendas</t>
  </si>
  <si>
    <t>Globo.Com Vendas Sup</t>
  </si>
  <si>
    <t>Globo.Com CTI</t>
  </si>
  <si>
    <t>Globo.Com Retencao</t>
  </si>
  <si>
    <t>Globo.Com Email</t>
  </si>
  <si>
    <t>Globo.Com 1 Acesso</t>
  </si>
  <si>
    <t>QCORP RJ GERAL</t>
  </si>
  <si>
    <t>QCORP RJ BENEFICIO</t>
  </si>
  <si>
    <t>QCORP RJ PAGAMENTO</t>
  </si>
  <si>
    <t>QCORP SP GERAL</t>
  </si>
  <si>
    <t>QCORP SP BENEFICIO</t>
  </si>
  <si>
    <t>QCORP SP PAGAMENTO</t>
  </si>
  <si>
    <t>QCORP RET CLUB SAUDE</t>
  </si>
  <si>
    <t>QCORP RET CAMPANHA</t>
  </si>
  <si>
    <t>QCORP CLASS</t>
  </si>
  <si>
    <t>QUALICORP MEDCOMPANY</t>
  </si>
  <si>
    <t>ATIVO Prosp Club Bem</t>
  </si>
  <si>
    <t>QCORP ATIVO TELEVEND</t>
  </si>
  <si>
    <t>ATIVO Apoio Tlvendas</t>
  </si>
  <si>
    <t>QCORP Negociacao</t>
  </si>
  <si>
    <t>QCORP PROSP 0800</t>
  </si>
  <si>
    <t>QCORP ATIVOS CAC</t>
  </si>
  <si>
    <t>QCORP CAC ATEND N 1</t>
  </si>
  <si>
    <t>QCORP CAC WELCOME</t>
  </si>
  <si>
    <t>QCORP CAC BENEFICIOS</t>
  </si>
  <si>
    <t>QCORP CAC CNL ENTEDA</t>
  </si>
  <si>
    <t>Sodexo</t>
  </si>
  <si>
    <t>SODEXO UNA</t>
  </si>
  <si>
    <t>SODEXO CUSTOMER CARE</t>
  </si>
  <si>
    <t>QCORP URA RETENCAO</t>
  </si>
  <si>
    <t>QC PFP CAC DUVIDAS</t>
  </si>
  <si>
    <t>QC PFP CAC SINISTRO</t>
  </si>
  <si>
    <t>QC PFP CAC CANCEL</t>
  </si>
  <si>
    <t>QC PFP RJ DUVIDAS</t>
  </si>
  <si>
    <t>QC PFP RJ SINISTRO</t>
  </si>
  <si>
    <t>QC PFP RJ CANCEL</t>
  </si>
  <si>
    <t>QC PFP CLUBE DUVIDAS</t>
  </si>
  <si>
    <t>QC PFP CLUBE SINISTR</t>
  </si>
  <si>
    <t>QC PFP CLUBE CANCEL</t>
  </si>
  <si>
    <t>NCP CAFE</t>
  </si>
  <si>
    <t>GLOBO_COM_ATV_RECLAM</t>
  </si>
  <si>
    <t>GLOBO_COM_ACAO_DNLWD</t>
  </si>
  <si>
    <t>GLOBO_COM_PESQUISA</t>
  </si>
  <si>
    <t>NCP ATIVO NMS</t>
  </si>
  <si>
    <t>NCP TIER 1</t>
  </si>
  <si>
    <t>NCP TIER 2</t>
  </si>
  <si>
    <t>NCP EMAIL</t>
  </si>
  <si>
    <t>NCP_GTAC_POR_ING</t>
  </si>
  <si>
    <t>NCP_GTAC_POR_ESP</t>
  </si>
  <si>
    <t>NCP HAPPY CALL</t>
  </si>
  <si>
    <t>NCP_CALL BACK</t>
  </si>
  <si>
    <t>MOT_Brazil_Aura_470</t>
  </si>
  <si>
    <t>NCP_HAPPY CALL BR</t>
  </si>
  <si>
    <t>NCP N900</t>
  </si>
  <si>
    <t>NCP N8</t>
  </si>
  <si>
    <t>NCP_CTU_NEW</t>
  </si>
  <si>
    <t>NCP_EMAIL_NEW</t>
  </si>
  <si>
    <t>NCP_MAPAS_NEW</t>
  </si>
  <si>
    <t>NCP_MUSICA_NEW</t>
  </si>
  <si>
    <t>NCP_SUITE_NEW</t>
  </si>
  <si>
    <t>NCP_GI_NEW</t>
  </si>
  <si>
    <t>NCP_CTU</t>
  </si>
  <si>
    <t>NCP_GI</t>
  </si>
  <si>
    <t>NCP_ESCALATION_NEW</t>
  </si>
  <si>
    <t>NCP_CTU_NEW_PLUS</t>
  </si>
  <si>
    <t>NCP_CTU_NEW_LIMITED</t>
  </si>
  <si>
    <t>NCP_CHAT</t>
  </si>
  <si>
    <t>Globo.Com Chat</t>
  </si>
  <si>
    <t>Globo.Com CobrancaAt</t>
  </si>
  <si>
    <t>Globo.Com BKO</t>
  </si>
  <si>
    <t>Globo.Com Acao Downl</t>
  </si>
  <si>
    <t>Globo.Com Vendas Oi</t>
  </si>
  <si>
    <t>Globo.com BKO Inc</t>
  </si>
  <si>
    <t>SkY AFC Equipe Inter</t>
  </si>
  <si>
    <t>BEMATEF INATIVO</t>
  </si>
  <si>
    <t>BEMATEF TURBO</t>
  </si>
  <si>
    <t>CREDIFIBRA  ATH</t>
  </si>
  <si>
    <t>CRED_OUVIDORIA</t>
  </si>
  <si>
    <t>CRED_SAC</t>
  </si>
  <si>
    <t>CRED_ESTABELECIMENTO</t>
  </si>
  <si>
    <t>CRED_DEF_AUDITIVO</t>
  </si>
  <si>
    <t>CRED_EMAIL</t>
  </si>
  <si>
    <t>CREDIFIBRA VEICULOS</t>
  </si>
  <si>
    <t>BEMA 2 NIVEL RAT ADM</t>
  </si>
  <si>
    <t>BEMATECH 1 NIVEL HDW</t>
  </si>
  <si>
    <t>BEMATECH 1 NIVEL SAC</t>
  </si>
  <si>
    <t>QCORP CAC ATD CORRET</t>
  </si>
  <si>
    <t>QCORP CAC RETENCAO</t>
  </si>
  <si>
    <t>QCORP BC  ATEND N 2</t>
  </si>
  <si>
    <t>QCORP BC NEGOCIACAO</t>
  </si>
  <si>
    <t>QCORP BC RELACIONAME</t>
  </si>
  <si>
    <t>QCORP URA</t>
  </si>
  <si>
    <t>QCORP CAASP</t>
  </si>
  <si>
    <t>QUALICORP PME</t>
  </si>
  <si>
    <t>QCorp Boleto Cartei</t>
  </si>
  <si>
    <t>QCORP TLV NOVOS PROD</t>
  </si>
  <si>
    <t>ACE RODOBENS GSC</t>
  </si>
  <si>
    <t>ACE BANCO FIAT</t>
  </si>
  <si>
    <t>ACE SEGURO GOL</t>
  </si>
  <si>
    <t>ACE BAU</t>
  </si>
  <si>
    <t>RETENCAO CLASS</t>
  </si>
  <si>
    <t>MDL PGTO AMESP OUTRO</t>
  </si>
  <si>
    <t>MDL VIP AMESP</t>
  </si>
  <si>
    <t>MDL REC CAN AMESP</t>
  </si>
  <si>
    <t>MDL PMG SP</t>
  </si>
  <si>
    <t>MDL ATEND MEDIAL</t>
  </si>
  <si>
    <t>MDL PME E CORRETOR</t>
  </si>
  <si>
    <t>AMIL CONSULTAS</t>
  </si>
  <si>
    <t>MDL SAC OPERADOR</t>
  </si>
  <si>
    <t>MDL ORGAOS PUBLICOS</t>
  </si>
  <si>
    <t>MDL DEMAIS PNP MED</t>
  </si>
  <si>
    <t>MDL REC CAN PNP MED</t>
  </si>
  <si>
    <t>MDL SENHAS PNP MED</t>
  </si>
  <si>
    <t>MDL ATEND PNP</t>
  </si>
  <si>
    <t>MDL PRESTADOR ADM</t>
  </si>
  <si>
    <t>MDL PREST AMESP MED</t>
  </si>
  <si>
    <t>MDL TOP PNP MEDIAL</t>
  </si>
  <si>
    <t>Med Ura Ent Pesquisa</t>
  </si>
  <si>
    <t>MDL ALO DOUTOR</t>
  </si>
  <si>
    <t>MDL INF REDE AMESP</t>
  </si>
  <si>
    <t>AMIL EXAMES</t>
  </si>
  <si>
    <t>MDL VIVA CUID TOTAL</t>
  </si>
  <si>
    <t>AMIL SP</t>
  </si>
  <si>
    <t>PORTO ODONTO CT 24H</t>
  </si>
  <si>
    <t>PORTO VIDA E PREV</t>
  </si>
  <si>
    <t>MDL SENHAS</t>
  </si>
  <si>
    <t>AMIL ATEND PRESTADOR</t>
  </si>
  <si>
    <t>AMIL TRANS CONSULTAS</t>
  </si>
  <si>
    <t>MDL PROCON</t>
  </si>
  <si>
    <t>Med Hospitais</t>
  </si>
  <si>
    <t>AMIL PNE</t>
  </si>
  <si>
    <t>MDL ATEND MED PNP</t>
  </si>
  <si>
    <t>MDL DEMAIS PNP MED A</t>
  </si>
  <si>
    <t>MDL P ESPECIAIS Old</t>
  </si>
  <si>
    <t>MDL REC CAN PNP MEDA</t>
  </si>
  <si>
    <t>MDL VIP PGTO AMESP</t>
  </si>
  <si>
    <t>MDL VIVA</t>
  </si>
  <si>
    <t>MDL TOTAL</t>
  </si>
  <si>
    <t>MDL ODONTO PREST</t>
  </si>
  <si>
    <t>AMIL TREINAMENTO</t>
  </si>
  <si>
    <t>MDL HE NIVEL 2</t>
  </si>
  <si>
    <t>MDL HE NIVEL 3</t>
  </si>
  <si>
    <t>MDL ACEITACAO</t>
  </si>
  <si>
    <t>QCORP CAC LIVRE</t>
  </si>
  <si>
    <t>MDL PORTABILIDADE</t>
  </si>
  <si>
    <t>MDL PME ATIVO</t>
  </si>
  <si>
    <t>MDL DIR VIVA</t>
  </si>
  <si>
    <t>QCORP TLV LIVRE</t>
  </si>
  <si>
    <t>QCORP URA BOLETO RJ</t>
  </si>
  <si>
    <t>QUALICORP URA BOLETO</t>
  </si>
  <si>
    <t>QUALICORP IR</t>
  </si>
  <si>
    <t>AMIL EXAMES BKO</t>
  </si>
  <si>
    <t>MDL VIVA BO</t>
  </si>
  <si>
    <t>MDL SAC BO</t>
  </si>
  <si>
    <t>MDL PME BO</t>
  </si>
  <si>
    <t>MDL CORRETOR BO</t>
  </si>
  <si>
    <t>AMIL CONSULTAS BKO</t>
  </si>
  <si>
    <t>AMIL ATENDIMENTO BKO</t>
  </si>
  <si>
    <t>AMIL ATEND PREST BKO</t>
  </si>
  <si>
    <t>MDL JOB</t>
  </si>
  <si>
    <t>AMIL PRESTADOR D REG</t>
  </si>
  <si>
    <t>PJ DEMAIS REGIOES</t>
  </si>
  <si>
    <t>AMIL TRANSB EXAMES</t>
  </si>
  <si>
    <t>AMIL RETENCAO</t>
  </si>
  <si>
    <t>BEMATECH PHARMACY</t>
  </si>
  <si>
    <t>BEMATECH LEADS</t>
  </si>
  <si>
    <t>BEMATECH SAC CONTI</t>
  </si>
  <si>
    <t>BEMATECH SNACK</t>
  </si>
  <si>
    <t>BEMATECH AT BANRISUL</t>
  </si>
  <si>
    <t>UNI BEMATECH ATIVO</t>
  </si>
  <si>
    <t>BEMATECH COBRANCA</t>
  </si>
  <si>
    <t>BEMATECH CLIENTE ING</t>
  </si>
  <si>
    <t>BEMATECH TEC CAMPO2</t>
  </si>
  <si>
    <t>BEMATECH REPARO PINP</t>
  </si>
  <si>
    <t>BEMATECH CONTRA BANR</t>
  </si>
  <si>
    <t>BEMATECH CONTRA CBD</t>
  </si>
  <si>
    <t>ATIVO AUTO VIDA</t>
  </si>
  <si>
    <t>QCorp  Seguro Vida M</t>
  </si>
  <si>
    <t>QC TLV FALE CONOSCO</t>
  </si>
  <si>
    <t>QCORP TLV POS VENDA</t>
  </si>
  <si>
    <t>QCORP TLV FILIPETAS</t>
  </si>
  <si>
    <t>QCORP TLV ADM</t>
  </si>
  <si>
    <t>QCORP TLV PENDENCIAS</t>
  </si>
  <si>
    <t>QCORP TLV NETBOOK</t>
  </si>
  <si>
    <t>BEMATECH VENDAS</t>
  </si>
  <si>
    <t>BEMATECH TEFTI 2</t>
  </si>
  <si>
    <t>MDL BO ELITE</t>
  </si>
  <si>
    <t>MDL RETENCAO</t>
  </si>
  <si>
    <t>MDL TECNICA</t>
  </si>
  <si>
    <t>MDL RETENCAO ATIVO</t>
  </si>
  <si>
    <t>MDL PME</t>
  </si>
  <si>
    <t>MDL CORRETOR</t>
  </si>
  <si>
    <t>MDL 77 SAUDE</t>
  </si>
  <si>
    <t>MDL RETORNO SENHAS</t>
  </si>
  <si>
    <t>MDL ANALISE EMPRESAR</t>
  </si>
  <si>
    <t>MDL PMG MEDIAL</t>
  </si>
  <si>
    <t>AMIL ATENDIMENTO</t>
  </si>
  <si>
    <t>AMIL ORGAO PUBLICO</t>
  </si>
  <si>
    <t>MDL SAC MIGRACAO</t>
  </si>
  <si>
    <t>MDL ASSOCIACAO</t>
  </si>
  <si>
    <t>MDL PMG APOIO</t>
  </si>
  <si>
    <t>MDL ADMINISTRACAO</t>
  </si>
  <si>
    <t>Tenda Email Carta</t>
  </si>
  <si>
    <t>Tenda Back Office</t>
  </si>
  <si>
    <t>Tenda Assist Tecnica</t>
  </si>
  <si>
    <t>Tenda Ativo</t>
  </si>
  <si>
    <t>Tenda Receptivo</t>
  </si>
  <si>
    <t>Tenda Hot Line</t>
  </si>
  <si>
    <t>GAFISA URA V PORTAL</t>
  </si>
  <si>
    <t>TENDA_CENTRAL_AGEND</t>
  </si>
  <si>
    <t>Globo.com Vendas Top</t>
  </si>
  <si>
    <t>Globo.com SAC Top</t>
  </si>
  <si>
    <t>Tapume</t>
  </si>
  <si>
    <t>GLOBO_COM_RET_INDPLD</t>
  </si>
  <si>
    <t>GLOBO COM RETEN SAC</t>
  </si>
  <si>
    <t>QCORP PORTAB SP</t>
  </si>
  <si>
    <t>QCORP PORTAB RJ</t>
  </si>
  <si>
    <t>QC PORTAB CLUB SAUDE</t>
  </si>
  <si>
    <t>QC URA BOLETO ABRIGO</t>
  </si>
  <si>
    <t>QC ABRIGO PAGAMENTO</t>
  </si>
  <si>
    <t>QCORP ABRIGO GERAL</t>
  </si>
  <si>
    <t>QC ABRIGO BENEFICIO</t>
  </si>
  <si>
    <t>QCORP CAC ABRIGO</t>
  </si>
  <si>
    <t>QC ABRIGO FOLHA PAGT</t>
  </si>
  <si>
    <t>QC RETENÇAO ABRIGO</t>
  </si>
  <si>
    <t>QC PORTABILID ABRIGO</t>
  </si>
  <si>
    <t>QC ABRIGO CPF</t>
  </si>
  <si>
    <t>CH. FIT TP PARA AeC</t>
  </si>
  <si>
    <t>CH. HIB SRC PARA TP</t>
  </si>
  <si>
    <t>GAF_TOPT_ASSISTENCIA</t>
  </si>
  <si>
    <t>CH. PAC SRC PARA TP</t>
  </si>
  <si>
    <t>CH. PAC TP PARA SRC</t>
  </si>
  <si>
    <t>GAF_TOPT_FINANCEIRO</t>
  </si>
  <si>
    <t>TENDA_CENTRAL_CHAT</t>
  </si>
  <si>
    <t>GAFISA_FINANCEIRO</t>
  </si>
  <si>
    <t>GAFISA_FIN_BILINGUE</t>
  </si>
  <si>
    <t>GAFISA_ASS_TECNICA</t>
  </si>
  <si>
    <t>GAFISA_PERSONAL_LINE</t>
  </si>
  <si>
    <t>GAFISA_PORTAL</t>
  </si>
  <si>
    <t>GAFISA_BACKOFFICE</t>
  </si>
  <si>
    <t>GAFISA_EMAIL</t>
  </si>
  <si>
    <t>GAFISA_ATIVO</t>
  </si>
  <si>
    <t>TENDA ASSISTÊNCIA</t>
  </si>
  <si>
    <t>TENDA CRC</t>
  </si>
  <si>
    <t>TENDA FINANCIAMENTO</t>
  </si>
  <si>
    <t>TENDA REVERSÃO</t>
  </si>
  <si>
    <t>AMIL ANJOS ATENDIMEN</t>
  </si>
  <si>
    <t>AMIL ANJOS SAC</t>
  </si>
  <si>
    <t>AMIL ANJOS PRESTADOR</t>
  </si>
  <si>
    <t>MDL PMG BR</t>
  </si>
  <si>
    <t>AMIL SAC</t>
  </si>
  <si>
    <t>AMIL RJ</t>
  </si>
  <si>
    <t>AMIL ANJOS CONSULTAS</t>
  </si>
  <si>
    <t>AMIL ANJOS EXAMES</t>
  </si>
  <si>
    <t>TECBAN DISK BANCOS</t>
  </si>
  <si>
    <t>TECBAN DISK SAFRA</t>
  </si>
  <si>
    <t>TECBAN SEGURANÇA</t>
  </si>
  <si>
    <t>TECBAN DISK CITIBANK</t>
  </si>
  <si>
    <t>DISK ESTABELECIMENTO</t>
  </si>
  <si>
    <t>COMO ESTOU DIRIGINDO</t>
  </si>
  <si>
    <t>TECBAN DISK24HORAS</t>
  </si>
  <si>
    <t>TECBAN DISK COMERCIO</t>
  </si>
  <si>
    <t>BRADESCO ATIVO</t>
  </si>
  <si>
    <t>WEB_ATENDIMENTO</t>
  </si>
  <si>
    <t>CAIXA ECONOMICA</t>
  </si>
  <si>
    <t>CASA CIVIL</t>
  </si>
  <si>
    <t>MERCADO PUBLICO 1</t>
  </si>
  <si>
    <t>MERCADO PUBLICO 2</t>
  </si>
  <si>
    <t>MERCADO FINANCEIRO</t>
  </si>
  <si>
    <t>MERCADO PRIVADO 1</t>
  </si>
  <si>
    <t>MERCADO PRIVADO 2</t>
  </si>
  <si>
    <t>MERCADO PRIVADO 3</t>
  </si>
  <si>
    <t>MERCADO PRIVADO 4</t>
  </si>
  <si>
    <t>MERCADO PRIVADO 5</t>
  </si>
  <si>
    <t>MERCADO PRIVADO 6</t>
  </si>
  <si>
    <t>MERCADO PRIVADO 7</t>
  </si>
  <si>
    <t>MERCADO PRIVADO 8</t>
  </si>
  <si>
    <t>MERCADO PRIVADO 9</t>
  </si>
  <si>
    <t>MERCADO PRIVADO 10</t>
  </si>
  <si>
    <t>MERCADO PRIVADO 11</t>
  </si>
  <si>
    <t>MERCADO PRIVADO 12</t>
  </si>
  <si>
    <t>MERCADO PRIVADO 13</t>
  </si>
  <si>
    <t>MERCADO PRIVADO 14</t>
  </si>
  <si>
    <t>MERCADO PRIVADO 15</t>
  </si>
  <si>
    <t>MERCADO PRIVADO 16</t>
  </si>
  <si>
    <t>MERCADO PRIVADO 17</t>
  </si>
  <si>
    <t>VIPII_54</t>
  </si>
  <si>
    <t>VIPII_55</t>
  </si>
  <si>
    <t>VIPII_56</t>
  </si>
  <si>
    <t>VIPII_57</t>
  </si>
  <si>
    <t>VIPII_58</t>
  </si>
  <si>
    <t>BRASTEMP REL</t>
  </si>
  <si>
    <t>BRASTEMP REC</t>
  </si>
  <si>
    <t>BRASTEMP BKO</t>
  </si>
  <si>
    <t>CONSUL REC</t>
  </si>
  <si>
    <t>BRASTEMPO ATV</t>
  </si>
  <si>
    <t>REAGENDAMENTO</t>
  </si>
  <si>
    <t>SAB</t>
  </si>
  <si>
    <t>BRASTEMP CLICK</t>
  </si>
  <si>
    <t>ASSISTENTES NEG_RECE</t>
  </si>
  <si>
    <t>SAC</t>
  </si>
  <si>
    <t>SKY Platinum</t>
  </si>
  <si>
    <t>Sms Siebel</t>
  </si>
  <si>
    <t>AT. Site</t>
  </si>
  <si>
    <t>CANCELADOS</t>
  </si>
  <si>
    <t>SKY  Gold</t>
  </si>
  <si>
    <t>SKY  Bronze</t>
  </si>
  <si>
    <t>SMS ATIVO</t>
  </si>
  <si>
    <t>SKY  Iron</t>
  </si>
  <si>
    <t>SKY  Zinc</t>
  </si>
  <si>
    <t>SKY  Hd</t>
  </si>
  <si>
    <t>SKY Silver</t>
  </si>
  <si>
    <t>SKY  Lead</t>
  </si>
  <si>
    <t>SKY Banda Larga</t>
  </si>
  <si>
    <t>SKY INTERNET</t>
  </si>
  <si>
    <t>CERTISIGN INFO URA</t>
  </si>
  <si>
    <t>CERTISIGN INFO TRF</t>
  </si>
  <si>
    <t>CERTISIGN INFO CONEC</t>
  </si>
  <si>
    <t>CERTISIGN SUPORTE N1</t>
  </si>
  <si>
    <t>CERTISIGN CLIENTE</t>
  </si>
  <si>
    <t>CERTISIGN SUPORTE N2</t>
  </si>
  <si>
    <t>CERTISIGN BKOFFICE</t>
  </si>
  <si>
    <t>CERTISIGN CHAT</t>
  </si>
  <si>
    <t>CERTISIGN EMAIL</t>
  </si>
  <si>
    <t>CERTISIGN SUP CORP</t>
  </si>
  <si>
    <t>CERTISIGN TELEVENDAS</t>
  </si>
  <si>
    <t>CERTISIGN_ATIVO</t>
  </si>
  <si>
    <t>CERTISIGN_REL</t>
  </si>
  <si>
    <t>CERTISIGN SUP TRF 1</t>
  </si>
  <si>
    <t>CERTISIGN SUP TRF 2</t>
  </si>
  <si>
    <t>CERTISIGN SUP TRF 3</t>
  </si>
  <si>
    <t>suporte a processos</t>
  </si>
  <si>
    <t>BRADESCO_ATIVO</t>
  </si>
  <si>
    <t>TIER 1</t>
  </si>
  <si>
    <t>TIER 2HD</t>
  </si>
  <si>
    <t>TIER 2SD</t>
  </si>
  <si>
    <t>TIER 3</t>
  </si>
  <si>
    <t>TIER 4</t>
  </si>
  <si>
    <t>GOL SAC PORTUGUES</t>
  </si>
  <si>
    <t>CRC_ATEND.INTER. ESP</t>
  </si>
  <si>
    <t>CRC_ATEND.INTER. ING</t>
  </si>
  <si>
    <t>CRC_INTERLINE</t>
  </si>
  <si>
    <t>CRC_ACOMODAÇAO</t>
  </si>
  <si>
    <t>CRC_GRUPOS</t>
  </si>
  <si>
    <t>CRC_CRISE</t>
  </si>
  <si>
    <t>CRC_GRUPOS ATIVO</t>
  </si>
  <si>
    <t>GOL_SUL AMERICA AGE</t>
  </si>
  <si>
    <t>CRC_BACK OFFICE</t>
  </si>
  <si>
    <t>GOL_SUL AMERICA 0300</t>
  </si>
  <si>
    <t>GOL_REEMB_NSHO ATIVO</t>
  </si>
  <si>
    <t>CRC_ACOMODAÇAO ATIVO</t>
  </si>
  <si>
    <t>GOL_VOEFACIL ATIVO</t>
  </si>
  <si>
    <t>GOL_GRUP_EVEN ATIVO</t>
  </si>
  <si>
    <t>CRC_CRISE ATIVO</t>
  </si>
  <si>
    <t>GOL_ADM</t>
  </si>
  <si>
    <t>Gol teste</t>
  </si>
  <si>
    <t>GOL SUPERVISORES SAC</t>
  </si>
  <si>
    <t>MEDIF</t>
  </si>
  <si>
    <t>CRC_TRIPULAÇAO COM.</t>
  </si>
  <si>
    <t>CRC_CALL BACK</t>
  </si>
  <si>
    <t>CRC 0800 SAC ATENDEN</t>
  </si>
  <si>
    <t>ACCD AEROPORTO</t>
  </si>
  <si>
    <t>CRC_REEMBOLSO</t>
  </si>
  <si>
    <t>CRC GOLLOG</t>
  </si>
  <si>
    <t>VRG_INTER INGLES</t>
  </si>
  <si>
    <t>CRC_0300 DOMESTICO</t>
  </si>
  <si>
    <t>CRC SAC CANCELAMENTO</t>
  </si>
  <si>
    <t>CRC SAC INFORMACAO</t>
  </si>
  <si>
    <t>CRC GOLLOG ANIMAIS</t>
  </si>
  <si>
    <t>HOME VOE VOZ</t>
  </si>
  <si>
    <t>CRC CORP AGE</t>
  </si>
  <si>
    <t>Gol 0 A Espanhol</t>
  </si>
  <si>
    <t>CRC_ACOMODAÇAO ESPAN</t>
  </si>
  <si>
    <t>Gol 3 COMERCIAL CORP</t>
  </si>
  <si>
    <t>CRC_CHAT ATEN_ONLINE</t>
  </si>
  <si>
    <t>CRC_CHAT AGENCIA</t>
  </si>
  <si>
    <t>CRC_CHAT RECLAMACAO</t>
  </si>
  <si>
    <t>Gol Retencao Ativo</t>
  </si>
  <si>
    <t>Gol D Voefacil</t>
  </si>
  <si>
    <t>Gol Varig Reembolso</t>
  </si>
  <si>
    <t>TESTE TLF</t>
  </si>
  <si>
    <t>CRC_CHAT CORPORATIVO</t>
  </si>
  <si>
    <t>Gol S P Cart Voe Gol</t>
  </si>
  <si>
    <t>CRC_MONITORIA</t>
  </si>
  <si>
    <t>Gol S Consulta</t>
  </si>
  <si>
    <t>CRC_CHAT REEMBOLSO A</t>
  </si>
  <si>
    <t>CRC 0800 DOMESTICO</t>
  </si>
  <si>
    <t>CRC ATEND INTER PORT</t>
  </si>
  <si>
    <t>CRC_EVENTOS</t>
  </si>
  <si>
    <t>CRC_CHAT REEMBOLSO</t>
  </si>
  <si>
    <t>CRC_CONSOLIDADORAS</t>
  </si>
  <si>
    <t>CRC_APOIO</t>
  </si>
  <si>
    <t>TPB T Telecom/PS</t>
  </si>
  <si>
    <t>CRC_CHAT ACOMODAÇÃO</t>
  </si>
  <si>
    <t>CRC_INTER. GR. ESP</t>
  </si>
  <si>
    <t>Gol G PAX Espanhol</t>
  </si>
  <si>
    <t>CRC_INTER.GR. INGLES</t>
  </si>
  <si>
    <t>CRC_CHAT INTER. PAX</t>
  </si>
  <si>
    <t>CRC_SUPORTE HOME BAS</t>
  </si>
  <si>
    <t>Gol IVR Homologacao</t>
  </si>
  <si>
    <t>SUPORTE HB ACOMODACA</t>
  </si>
  <si>
    <t>SUPORTE HB REEMBOLSO</t>
  </si>
  <si>
    <t>SUPORTE ATEND ONLINE</t>
  </si>
  <si>
    <t>CRC_CHAT INTER. GRUP</t>
  </si>
  <si>
    <t>CRC_FALECONOSCO</t>
  </si>
  <si>
    <t>CRC_TMC</t>
  </si>
  <si>
    <t>Gol Teste TI</t>
  </si>
  <si>
    <t>Gol Voe Facil Capt</t>
  </si>
  <si>
    <t>Gol Plusoft</t>
  </si>
  <si>
    <t>Gol V INTERNACIONAL</t>
  </si>
  <si>
    <t>Gol Varig Nacional</t>
  </si>
  <si>
    <t>GOL D moni QUALID</t>
  </si>
  <si>
    <t>Gol T Dedic Ativo</t>
  </si>
  <si>
    <t>Gol Phanton Skill</t>
  </si>
  <si>
    <t>Gol IVR/SAC</t>
  </si>
  <si>
    <t>Gol Testes IVR</t>
  </si>
  <si>
    <t>Gol IVR Ativa</t>
  </si>
  <si>
    <t>Gol I A V Avaya</t>
  </si>
  <si>
    <t>Gol IVR Portal Voz</t>
  </si>
  <si>
    <t>Gol D Auditivo</t>
  </si>
  <si>
    <t>Gol I Satisfacao</t>
  </si>
  <si>
    <t>Gol URA ATIVA</t>
  </si>
  <si>
    <t>Gol IVR Nova</t>
  </si>
  <si>
    <t>DSC_FORNECEDOR</t>
  </si>
  <si>
    <t>DSC_CLT CARGA</t>
  </si>
  <si>
    <t>DSC_FINANCEIRO</t>
  </si>
  <si>
    <t>DSC_REC HUMANOS</t>
  </si>
  <si>
    <t>DSC_SERV FINANCEIRO</t>
  </si>
  <si>
    <t>DSC_SUP TRIPULANTE</t>
  </si>
  <si>
    <t>DSC_BEN_INTERLINE</t>
  </si>
  <si>
    <t>DSC_ATEN_ESPANHOL</t>
  </si>
  <si>
    <t>DSC_ATEN_PORTUGUES</t>
  </si>
  <si>
    <t>SML_LOJA</t>
  </si>
  <si>
    <t>SML_VIP</t>
  </si>
  <si>
    <t>SML_TRIAGEM</t>
  </si>
  <si>
    <t>SML_PERMUTA</t>
  </si>
  <si>
    <t>CRC_VOE_FACIL</t>
  </si>
  <si>
    <t>Gol D Acomodacao</t>
  </si>
  <si>
    <t>Gol D Power Dialer</t>
  </si>
  <si>
    <t>Gol T D Retensao</t>
  </si>
  <si>
    <t>Gol Internal Router</t>
  </si>
  <si>
    <t>Gol T P Gravadores</t>
  </si>
  <si>
    <t>Virtual Hold</t>
  </si>
  <si>
    <t>Virtual H OutBound</t>
  </si>
  <si>
    <t>Thiago Garcia</t>
  </si>
  <si>
    <t>Vagner Rocha</t>
  </si>
  <si>
    <t>Pericles Jose</t>
  </si>
  <si>
    <t>TBH 2</t>
  </si>
  <si>
    <t>TBH_Proposal_1</t>
  </si>
  <si>
    <t>Antonio Mazzola</t>
  </si>
  <si>
    <t>Sandro Passos</t>
  </si>
  <si>
    <t>HP IPG Pre Sales</t>
  </si>
  <si>
    <t>HP Welcome Desk</t>
  </si>
  <si>
    <t>HP EB SMB Pre Sales</t>
  </si>
  <si>
    <t>HP Rsr anti educatio</t>
  </si>
  <si>
    <t>HP Livre 2</t>
  </si>
  <si>
    <t>HP IPG Ntk Specialis</t>
  </si>
  <si>
    <t>Quiet Room 2</t>
  </si>
  <si>
    <t>HP Campanha TSG</t>
  </si>
  <si>
    <t>Eduardo Brach</t>
  </si>
  <si>
    <t>HP Campanha PSG</t>
  </si>
  <si>
    <t>HP HPFS</t>
  </si>
  <si>
    <t>HP PSG Ins Sales Adm</t>
  </si>
  <si>
    <t>HP TSG Channel</t>
  </si>
  <si>
    <t>HP Canais de Governo</t>
  </si>
  <si>
    <t>HP PSG Ntk Support</t>
  </si>
  <si>
    <t>HP EB SMB SP</t>
  </si>
  <si>
    <t>HP EB SMB SP int</t>
  </si>
  <si>
    <t>HP EB SMB RJ</t>
  </si>
  <si>
    <t>HP EB SMB MG</t>
  </si>
  <si>
    <t>HP EB SMB PR</t>
  </si>
  <si>
    <t>HP EB SMB SC</t>
  </si>
  <si>
    <t>HP EB SMB RS</t>
  </si>
  <si>
    <t>HP EB SMB ROB</t>
  </si>
  <si>
    <t>HP PSG NA</t>
  </si>
  <si>
    <t>HP EB Corp Enter 1</t>
  </si>
  <si>
    <t>HP EB Corp Enter 2</t>
  </si>
  <si>
    <t>HP Livre</t>
  </si>
  <si>
    <t>TBH 3</t>
  </si>
  <si>
    <t>Ana Paula Ferrao</t>
  </si>
  <si>
    <t>Paloma Goncalves</t>
  </si>
  <si>
    <t>Michelle Ayres</t>
  </si>
  <si>
    <t>TBH 4</t>
  </si>
  <si>
    <t>Renato Gabarron</t>
  </si>
  <si>
    <t>Alexandre Amaro</t>
  </si>
  <si>
    <t>Sayuri Kudo</t>
  </si>
  <si>
    <t>Hugo Silva</t>
  </si>
  <si>
    <t>Carla Malvazzio</t>
  </si>
  <si>
    <t>Fernanda Souza</t>
  </si>
  <si>
    <t>Lucimara Nascimento</t>
  </si>
  <si>
    <t>Luana Leite</t>
  </si>
  <si>
    <t>EB ESSN 3</t>
  </si>
  <si>
    <t>Aline Finelli</t>
  </si>
  <si>
    <t>Vanessa Crusius</t>
  </si>
  <si>
    <t>Andresa Pardini</t>
  </si>
  <si>
    <t>Daniel Boas</t>
  </si>
  <si>
    <t>Laiz Fornazier</t>
  </si>
  <si>
    <t>Wesley_Santos</t>
  </si>
  <si>
    <t>TBH 6</t>
  </si>
  <si>
    <t>Carolina Chaim</t>
  </si>
  <si>
    <t>TBH 7</t>
  </si>
  <si>
    <t>Fabio Couto</t>
  </si>
  <si>
    <t>Rose Souza</t>
  </si>
  <si>
    <t>Kleber Terra</t>
  </si>
  <si>
    <t>Raphael Guilger</t>
  </si>
  <si>
    <t>Juliana Ramos</t>
  </si>
  <si>
    <t>Lilian Rodrigues</t>
  </si>
  <si>
    <t>HP EB SMB Storage</t>
  </si>
  <si>
    <t>Carla Varao</t>
  </si>
  <si>
    <t>Rafael Leite</t>
  </si>
  <si>
    <t>Jessica Sperto</t>
  </si>
  <si>
    <t>Pedro Giudice</t>
  </si>
  <si>
    <t>Marcos Rogerio</t>
  </si>
  <si>
    <t>Sala de Treinamento</t>
  </si>
  <si>
    <t>Andrea Forzan</t>
  </si>
  <si>
    <t>TBH 9</t>
  </si>
  <si>
    <t>Cassio Correa</t>
  </si>
  <si>
    <t>Thiago Osler</t>
  </si>
  <si>
    <t>Juliana Lima</t>
  </si>
  <si>
    <t>Alexandre Araujo</t>
  </si>
  <si>
    <t>TBH_HPS1</t>
  </si>
  <si>
    <t>Leandro Castro</t>
  </si>
  <si>
    <t>TBH 10</t>
  </si>
  <si>
    <t>Luciano Nunes</t>
  </si>
  <si>
    <t>Juliana Rizk</t>
  </si>
  <si>
    <t>Rafael Sissini</t>
  </si>
  <si>
    <t>Vivian Melo</t>
  </si>
  <si>
    <t>Wander Oliveira</t>
  </si>
  <si>
    <t>Sabrina Rosas</t>
  </si>
  <si>
    <t>Patricia Correa</t>
  </si>
  <si>
    <t>Admilson Rodrigues</t>
  </si>
  <si>
    <t>Marcos Alves Silva</t>
  </si>
  <si>
    <t>Danielly Freitas</t>
  </si>
  <si>
    <t>Suzana Billi</t>
  </si>
  <si>
    <t>TBH 11</t>
  </si>
  <si>
    <t>TBH 12</t>
  </si>
  <si>
    <t>Ana Marques</t>
  </si>
  <si>
    <t>TBH 13</t>
  </si>
  <si>
    <t>Bruno Carrara</t>
  </si>
  <si>
    <t>Miriam Souza</t>
  </si>
  <si>
    <t>Glaucia Carrilho</t>
  </si>
  <si>
    <t>TBH 14</t>
  </si>
  <si>
    <t>Cintia Mezadri</t>
  </si>
  <si>
    <t>Natalie Lima</t>
  </si>
  <si>
    <t>HP Education</t>
  </si>
  <si>
    <t>Elaine Sousa</t>
  </si>
  <si>
    <t>Michele Januares</t>
  </si>
  <si>
    <t>Jeferson Marcolino</t>
  </si>
  <si>
    <t>Juliana Pim</t>
  </si>
  <si>
    <t>Rogerio Coelho</t>
  </si>
  <si>
    <t>PSG Canal 1</t>
  </si>
  <si>
    <t>TBH 15</t>
  </si>
  <si>
    <t>Rafael Nista</t>
  </si>
  <si>
    <t>Caio Cezar</t>
  </si>
  <si>
    <t>Edivan Mariano</t>
  </si>
  <si>
    <t>Lilian Marco</t>
  </si>
  <si>
    <t>Silvio Watakabe</t>
  </si>
  <si>
    <t>TBH 16</t>
  </si>
  <si>
    <t>Camilla Cardoso</t>
  </si>
  <si>
    <t>Cintia Souza</t>
  </si>
  <si>
    <t>TBH 17</t>
  </si>
  <si>
    <t>Gisele Oliveira</t>
  </si>
  <si>
    <t>Alan Catita</t>
  </si>
  <si>
    <t>TBH 18</t>
  </si>
  <si>
    <t>HP PSG SMB</t>
  </si>
  <si>
    <t>TBH 19</t>
  </si>
  <si>
    <t>Alessandra Barcelos</t>
  </si>
  <si>
    <t>Simone Nabarro</t>
  </si>
  <si>
    <t>Patricia Almeida</t>
  </si>
  <si>
    <t>TBH 20</t>
  </si>
  <si>
    <t>Derik Leite</t>
  </si>
  <si>
    <t>TBH 21</t>
  </si>
  <si>
    <t>Donizete Leite</t>
  </si>
  <si>
    <t>Viviane Rodrigues</t>
  </si>
  <si>
    <t>Alexsandro Lofredo</t>
  </si>
  <si>
    <t>Robson Rubens</t>
  </si>
  <si>
    <t>TBH 22</t>
  </si>
  <si>
    <t>TBH 23</t>
  </si>
  <si>
    <t>Luanda Losso2</t>
  </si>
  <si>
    <t>TBH 25</t>
  </si>
  <si>
    <t>TBH 26</t>
  </si>
  <si>
    <t>TBH 27</t>
  </si>
  <si>
    <t>Henrique Silva</t>
  </si>
  <si>
    <t>TBH 28</t>
  </si>
  <si>
    <t>Thamires Rodrigues</t>
  </si>
  <si>
    <t>TBH 29</t>
  </si>
  <si>
    <t>HP Territorio RS DA</t>
  </si>
  <si>
    <t>HP Territorio SP DA</t>
  </si>
  <si>
    <t>HP Territorio RJ DA</t>
  </si>
  <si>
    <t>HP Territorio MG DA</t>
  </si>
  <si>
    <t>HP Territorio PR DA</t>
  </si>
  <si>
    <t>HP Territorio SC DA</t>
  </si>
  <si>
    <t>HP PSG DA</t>
  </si>
  <si>
    <t>HP TSG DA VERTICAL</t>
  </si>
  <si>
    <t>HP ESG DA CANAL</t>
  </si>
  <si>
    <t>HP VAR Business DA</t>
  </si>
  <si>
    <t>HP Welcome Desk DA</t>
  </si>
  <si>
    <t>HP VAr Corporate DA</t>
  </si>
  <si>
    <t>HP Interior SP DA</t>
  </si>
  <si>
    <t>HP VAR PRIME DA</t>
  </si>
  <si>
    <t>HP EB Inside PreSale</t>
  </si>
  <si>
    <t>HP Global Accounts</t>
  </si>
  <si>
    <t>HP IPG Enterprise</t>
  </si>
  <si>
    <t>HP RACE Inside Sales</t>
  </si>
  <si>
    <t>HP Grupo de FAX</t>
  </si>
  <si>
    <t>Patricia Candiani</t>
  </si>
  <si>
    <t>Maria Migliorini</t>
  </si>
  <si>
    <t>TBH 30</t>
  </si>
  <si>
    <t>TBH 31</t>
  </si>
  <si>
    <t>TBH 32</t>
  </si>
  <si>
    <t>Rosangela Nascimento</t>
  </si>
  <si>
    <t>Karina da Silva</t>
  </si>
  <si>
    <t>TBH 33</t>
  </si>
  <si>
    <t>Eric Barbosa</t>
  </si>
  <si>
    <t>Bruno Normand</t>
  </si>
  <si>
    <t>Danilo Iglesias</t>
  </si>
  <si>
    <t>Marcus Pansier</t>
  </si>
  <si>
    <t>HP IPG</t>
  </si>
  <si>
    <t>Alexandre Lopes</t>
  </si>
  <si>
    <t>Carina Silva</t>
  </si>
  <si>
    <t>Daniela Andrade</t>
  </si>
  <si>
    <t>Denis Martin</t>
  </si>
  <si>
    <t>IPG SMB 9</t>
  </si>
  <si>
    <t>Camila Assis</t>
  </si>
  <si>
    <t>Anna Cavallaro</t>
  </si>
  <si>
    <t>Luiz Gonzaga</t>
  </si>
  <si>
    <t>Renato Lourenco</t>
  </si>
  <si>
    <t>Tatiane Zambotto</t>
  </si>
  <si>
    <t>Adriana Rodrigues</t>
  </si>
  <si>
    <t>Sandra Silva</t>
  </si>
  <si>
    <t>Luciana Ferreira</t>
  </si>
  <si>
    <t>Adriana Leal</t>
  </si>
  <si>
    <t>Mayara Pinheiro</t>
  </si>
  <si>
    <t>Thiago Oliveira</t>
  </si>
  <si>
    <t>Tamires Dias</t>
  </si>
  <si>
    <t>Suelen Silva</t>
  </si>
  <si>
    <t>HP Livre 1</t>
  </si>
  <si>
    <t>Lilia Dias</t>
  </si>
  <si>
    <t>Adriana Almino</t>
  </si>
  <si>
    <t>Marcos Moreira</t>
  </si>
  <si>
    <t>SMB Pan 1</t>
  </si>
  <si>
    <t>Joao Cezar</t>
  </si>
  <si>
    <t>Paulo Farkas</t>
  </si>
  <si>
    <t>Jessica Lima</t>
  </si>
  <si>
    <t>Guilherme Moura</t>
  </si>
  <si>
    <t>Nathalia Santana</t>
  </si>
  <si>
    <t>Karina Souto</t>
  </si>
  <si>
    <t>Priscila Vambersy</t>
  </si>
  <si>
    <t>TBH_Livre_6</t>
  </si>
  <si>
    <t>Claudio Guimaraes</t>
  </si>
  <si>
    <t>HP PSG 3</t>
  </si>
  <si>
    <t>Silvia Oliveira</t>
  </si>
  <si>
    <t>Helen Farah</t>
  </si>
  <si>
    <t>HP PSG 5</t>
  </si>
  <si>
    <t>HP PSG 6</t>
  </si>
  <si>
    <t>Rubia Toledo</t>
  </si>
  <si>
    <t>Alexandre Gomes</t>
  </si>
  <si>
    <t>Evandro Kafski</t>
  </si>
  <si>
    <t>Camila Alonso</t>
  </si>
  <si>
    <t>Mayra Bezerra</t>
  </si>
  <si>
    <t>Felipe Silva</t>
  </si>
  <si>
    <t>Katia Carneiro</t>
  </si>
  <si>
    <t>Anderson_Silva</t>
  </si>
  <si>
    <t>Gabriela Malavota</t>
  </si>
  <si>
    <t>Regina Silva</t>
  </si>
  <si>
    <t>Rogério Santos</t>
  </si>
  <si>
    <t>EB ESSN 1</t>
  </si>
  <si>
    <t>Fernanda Costa</t>
  </si>
  <si>
    <t>Alexandre dos Santos</t>
  </si>
  <si>
    <t>EB ESSN 2</t>
  </si>
  <si>
    <t>Iranyh de Araujo</t>
  </si>
  <si>
    <t>Thiago Potenza</t>
  </si>
  <si>
    <t>Luciano Gabriel</t>
  </si>
  <si>
    <t>EB ESSN 7</t>
  </si>
  <si>
    <t>Vanessa Scuola</t>
  </si>
  <si>
    <t>SMB Pan 2</t>
  </si>
  <si>
    <t>SMB Pan 3</t>
  </si>
  <si>
    <t>Luciano Oliveira</t>
  </si>
  <si>
    <t>SMB PAN 5</t>
  </si>
  <si>
    <t>Augusto Cesar</t>
  </si>
  <si>
    <t>Mariehla Mendes</t>
  </si>
  <si>
    <t>Mariana Peixinho</t>
  </si>
  <si>
    <t>SMB Pan 6</t>
  </si>
  <si>
    <t>Leonardo Bertella</t>
  </si>
  <si>
    <t>Fabriane Telles</t>
  </si>
  <si>
    <t>VOICE PORTAL</t>
  </si>
  <si>
    <t>B2W SUBA MENU TELEVE</t>
  </si>
  <si>
    <t>B2W SUBA MENU SAC</t>
  </si>
  <si>
    <t>B2W SUBA PEDIDO B2C</t>
  </si>
  <si>
    <t>B2W SUBA LIST CASAM</t>
  </si>
  <si>
    <t>B2W SUBA INF 2 B2C</t>
  </si>
  <si>
    <t>B2W SUBA INF 3 B2C</t>
  </si>
  <si>
    <t>B2W SUBA 4 B2C</t>
  </si>
  <si>
    <t>B2W SUBA 5 B2C</t>
  </si>
  <si>
    <t>B2W SUBA 2 2 B2C</t>
  </si>
  <si>
    <t>B2W SUBA 2 3 B2C</t>
  </si>
  <si>
    <t>B2W SUBA 2 4 B2C</t>
  </si>
  <si>
    <t>B2W SUBA 2 5 B2C</t>
  </si>
  <si>
    <t>B2W SUBA 2 6 B2C</t>
  </si>
  <si>
    <t>Jacqueline Prata</t>
  </si>
  <si>
    <t>B2W SUBA 5 3 B2C</t>
  </si>
  <si>
    <t>B2W SUBA 6 1 B2C</t>
  </si>
  <si>
    <t>SAC 6 2 B2C</t>
  </si>
  <si>
    <t>B2W SUBA 7 B2C</t>
  </si>
  <si>
    <t>B2W SUBA DEV 2 1 B2C</t>
  </si>
  <si>
    <t>B2W SUBA DEV 2 2 B2C</t>
  </si>
  <si>
    <t>B2W SUBA DEV 3 B2C</t>
  </si>
  <si>
    <t>B2W SUBA DEV 4 1 B2C</t>
  </si>
  <si>
    <t>B2W SUBA DEV 4 2 B2C</t>
  </si>
  <si>
    <t>B2W SUBA DEV 5 1 B2C</t>
  </si>
  <si>
    <t>B2W SUBA DEV 5 2 B2C</t>
  </si>
  <si>
    <t>B2W SUBA DEV 6 1 B2C</t>
  </si>
  <si>
    <t>B2W SUBA DEV 6 2 B2C</t>
  </si>
  <si>
    <t>B2W SUBA CANC B2C</t>
  </si>
  <si>
    <t>B2W SUBA CANC 2 1 B2</t>
  </si>
  <si>
    <t>B2W SUBA CANC 2 2 B2</t>
  </si>
  <si>
    <t>B2W SUBA CANC 3 B2C</t>
  </si>
  <si>
    <t>B2W SUBA CANC 4 1 B2</t>
  </si>
  <si>
    <t>B2W SUBA CANC 4 2 B2</t>
  </si>
  <si>
    <t>B2W CHAT</t>
  </si>
  <si>
    <t>B2W EMAIL</t>
  </si>
  <si>
    <t>B2W ACOM 40034848</t>
  </si>
  <si>
    <t>B2W ACOM Apoio</t>
  </si>
  <si>
    <t>B2W ACOM Sup Téc NOK</t>
  </si>
  <si>
    <t>B2W ACOM Sup Téc SAM</t>
  </si>
  <si>
    <t>B2W ACOM Sup Téc POS</t>
  </si>
  <si>
    <t>B2W ACOM Sup Téc AOC</t>
  </si>
  <si>
    <t>B2W BKO</t>
  </si>
  <si>
    <t>B2W FINANCEIRO</t>
  </si>
  <si>
    <t>Simone Caldeira</t>
  </si>
  <si>
    <t>Eliane Barboza</t>
  </si>
  <si>
    <t>Mara Oliveira</t>
  </si>
  <si>
    <t>Everton Martins</t>
  </si>
  <si>
    <t>Michelle Curia</t>
  </si>
  <si>
    <t>Nubia Benassi</t>
  </si>
  <si>
    <t>Karen Alves</t>
  </si>
  <si>
    <t>Alan Souza</t>
  </si>
  <si>
    <t>Anderson Sousa</t>
  </si>
  <si>
    <t>Raquel Lima</t>
  </si>
  <si>
    <t>Saimom Braga</t>
  </si>
  <si>
    <t>Andrea Oliveira</t>
  </si>
  <si>
    <t>Elaine Brustolin</t>
  </si>
  <si>
    <t>Andre Santana</t>
  </si>
  <si>
    <t>Katia Silva</t>
  </si>
  <si>
    <t>Livre TP 1</t>
  </si>
  <si>
    <t>TBH_PSG_ CANAL 1</t>
  </si>
  <si>
    <t>Juliana Natale</t>
  </si>
  <si>
    <t>Flavia Fernandes</t>
  </si>
  <si>
    <t>HP Livre 3</t>
  </si>
  <si>
    <t>Teste</t>
  </si>
  <si>
    <t>Genesys</t>
  </si>
  <si>
    <t>Recepção</t>
  </si>
  <si>
    <t>TWF</t>
  </si>
  <si>
    <t>Plug UOL</t>
  </si>
  <si>
    <t>Toda Oferta Ativo</t>
  </si>
  <si>
    <t>AF Games</t>
  </si>
  <si>
    <t>Emprego Certo PF</t>
  </si>
  <si>
    <t>Emprego Certo PJ</t>
  </si>
  <si>
    <t>Banda Larga</t>
  </si>
  <si>
    <t>AF Voip</t>
  </si>
  <si>
    <t>Afiliados</t>
  </si>
  <si>
    <t>Vendas Produtos</t>
  </si>
  <si>
    <t>Retenção</t>
  </si>
  <si>
    <t>Suporte</t>
  </si>
  <si>
    <t>Canais Especiais</t>
  </si>
  <si>
    <t>Cobrança</t>
  </si>
  <si>
    <t>VIP Cobrança</t>
  </si>
  <si>
    <t>Novos Produtos</t>
  </si>
  <si>
    <t>Ativo de Produtos</t>
  </si>
  <si>
    <t>Anti Attrition</t>
  </si>
  <si>
    <t>UOL Sat</t>
  </si>
  <si>
    <t>Cobr Novos Produtos</t>
  </si>
  <si>
    <t>Configuração</t>
  </si>
  <si>
    <t>Links Receptivo</t>
  </si>
  <si>
    <t>Sup. Conteudo Adulto</t>
  </si>
  <si>
    <t>Inativo</t>
  </si>
  <si>
    <t>SUPERVISÃO</t>
  </si>
  <si>
    <t>VIP Suporte</t>
  </si>
  <si>
    <t>Shopping UOL Suporte</t>
  </si>
  <si>
    <t>Lord</t>
  </si>
  <si>
    <t>Televendas</t>
  </si>
  <si>
    <t>Televendas Apoio</t>
  </si>
  <si>
    <t>Suporte Empresas</t>
  </si>
  <si>
    <t>Shopping UOL Ativo</t>
  </si>
  <si>
    <t>Click Fale B. Larga</t>
  </si>
  <si>
    <t>Web Call</t>
  </si>
  <si>
    <t>Click Fale Retenção</t>
  </si>
  <si>
    <t>Ativo</t>
  </si>
  <si>
    <t>Links Internos</t>
  </si>
  <si>
    <t>Modem</t>
  </si>
  <si>
    <t>Suporte Antivírus</t>
  </si>
  <si>
    <t>Ret Novos Produtos</t>
  </si>
  <si>
    <t>UOL Empresas</t>
  </si>
  <si>
    <t>Links Ativo</t>
  </si>
  <si>
    <t>Vendas_Empresas</t>
  </si>
  <si>
    <t>Back Office</t>
  </si>
  <si>
    <t>Thiago Silverio</t>
  </si>
  <si>
    <t>Links Patrocinados</t>
  </si>
  <si>
    <t>Pag Seguro Receptivo</t>
  </si>
  <si>
    <t>Service Desk UOL</t>
  </si>
  <si>
    <t>CR VIP CORPORATIVO</t>
  </si>
  <si>
    <t>CR VIP ESTRATEGICO</t>
  </si>
  <si>
    <t>MP DUVIDA RELATORIO</t>
  </si>
  <si>
    <t>MP DUVIDA PAGAMENTO</t>
  </si>
  <si>
    <t>MP OUTRAS INFO</t>
  </si>
  <si>
    <t>SERASA RETENCAO</t>
  </si>
  <si>
    <t>CR PME NEGOCIACAO</t>
  </si>
  <si>
    <t>SERASA COBRANÇA</t>
  </si>
  <si>
    <t>QUALITY CALL</t>
  </si>
  <si>
    <t>SERASA COBRANCA RECE</t>
  </si>
  <si>
    <t>SERASA BACKOFFICE</t>
  </si>
  <si>
    <t>CR VIP e_Atendimento</t>
  </si>
  <si>
    <t>CR PME e_Atendimento</t>
  </si>
  <si>
    <t>TP SAC CD</t>
  </si>
  <si>
    <t>TP SAC CD AGEN</t>
  </si>
  <si>
    <t>TP BACKOFFICE SERASA</t>
  </si>
  <si>
    <t>CRT VIP DA</t>
  </si>
  <si>
    <t>CR PME PGTO FATURA</t>
  </si>
  <si>
    <t>CR PME CONTRAT PRODT</t>
  </si>
  <si>
    <t>CR PME LOGON</t>
  </si>
  <si>
    <t>CR PME ARQ DE DADOS</t>
  </si>
  <si>
    <t>CR VIP SAC CD</t>
  </si>
  <si>
    <t>CR VIP SAC CD AGENDA</t>
  </si>
  <si>
    <t>CRT VIP CD</t>
  </si>
  <si>
    <t>CRT PME CS</t>
  </si>
  <si>
    <t>CRT VIP CS</t>
  </si>
  <si>
    <t>CR VIP REGULARIZACÃO</t>
  </si>
  <si>
    <t>CR VIP PGTO FATURA</t>
  </si>
  <si>
    <t>CR VIP CONTRAT PRODT</t>
  </si>
  <si>
    <t>CR VIP LOGON</t>
  </si>
  <si>
    <t>CR VIP ARQ DE DADOS</t>
  </si>
  <si>
    <t>CR VIP CSTI</t>
  </si>
  <si>
    <t>URA DE CONTINGENCIA</t>
  </si>
  <si>
    <t>SERASA_SERV CONSU</t>
  </si>
  <si>
    <t>SERASA EXPERIAN NAV</t>
  </si>
  <si>
    <t>SIMPLIFY</t>
  </si>
  <si>
    <t>SERASA CD EMAIL</t>
  </si>
  <si>
    <t>SERASA MP BACKOFFICE</t>
  </si>
  <si>
    <t>SERASA MP PESQUISA</t>
  </si>
  <si>
    <t>SERASA RETENCAO BACK</t>
  </si>
  <si>
    <t>Tabela Z</t>
  </si>
  <si>
    <t>Tabela W</t>
  </si>
  <si>
    <t>Tabela Final</t>
  </si>
  <si>
    <t>nome do supervisor</t>
  </si>
  <si>
    <t>Supervisor 1</t>
  </si>
  <si>
    <t>Supervisor 2</t>
  </si>
  <si>
    <t>Consolidado</t>
  </si>
  <si>
    <t>Tempo Médio de Atendimento (TMA)</t>
  </si>
  <si>
    <t>Sequência de Fibonacci</t>
  </si>
  <si>
    <t>Insira na célula K6 desta planilha uma tabela dinâmica utilizando a tabela de dados abaixo. O layout deve ser montado da seguinte forma:
     1. No filtro de relatório deve conter os campos ServerName e syn_ACD da tabela de dados abaixo;
     2. Nos rótulos de linha deve conter o campo STARTTIME da tabela de dados abaixo;
     3. Nos rótulos de coluna de conter o campo ROW_DATE da tabela de dados abaixo;
     4. Nos valores deve conter a somatória do campo CALLSOFFERED;
     5. Nos valores deve conter a média do campo MAXSTAFFED. Configure o campo com o formato de número "número" 
          com 0 casas decimais;
     6. Nos valores insira um campo calculado chamado "Percentual de Chamadas Abandonadas" com o seguinte cálculo: 
          ABNCALLS / CALLSOFFERED. Configure o campo com o formato de número "porcentagem" com 2 casas decimais.</t>
  </si>
  <si>
    <r>
      <t xml:space="preserve">A Sucessão de Fibonacci ou Sequência de Fibonacci é uma sequência de números naturais, na qual os primeiros dois termos são 0 e 1, e cada termo subsequente corresponde à soma dos dois precedente.
Através do VBA (Visual Basic for Application), construa um código com o nome </t>
    </r>
    <r>
      <rPr>
        <b/>
        <sz val="11"/>
        <color theme="1"/>
        <rFont val="Calibri"/>
        <family val="2"/>
        <scheme val="minor"/>
      </rPr>
      <t>SequenciaFibonacci</t>
    </r>
    <r>
      <rPr>
        <sz val="11"/>
        <color theme="1"/>
        <rFont val="Calibri"/>
        <family val="2"/>
        <scheme val="minor"/>
      </rPr>
      <t xml:space="preserve"> que crie a partir da célula A10 o total de elementos da série de fibonacci digitados no TextBox após clicar no botão </t>
    </r>
    <r>
      <rPr>
        <b/>
        <sz val="11"/>
        <color theme="1"/>
        <rFont val="Calibri"/>
        <family val="2"/>
        <scheme val="minor"/>
      </rPr>
      <t>Gerar Sequência:</t>
    </r>
  </si>
  <si>
    <t>Carga Horária Escalada</t>
  </si>
  <si>
    <t>Horário de Entrada Escalado</t>
  </si>
  <si>
    <t>Status</t>
  </si>
  <si>
    <t>T</t>
  </si>
  <si>
    <t>FO</t>
  </si>
  <si>
    <t>Nome do Operador</t>
  </si>
  <si>
    <t>Nome do Supervisor</t>
  </si>
  <si>
    <t>Matrícula do Operador</t>
  </si>
  <si>
    <t>Tempo Total Logado</t>
  </si>
  <si>
    <t>Mapa Operacional</t>
  </si>
  <si>
    <t>Tabela de Tempo Total Logado</t>
  </si>
  <si>
    <t>% Abesenteísmo</t>
  </si>
  <si>
    <t>Service Level Agreements (SLA)  ou 
Telephone Service Factor (TSF)</t>
  </si>
  <si>
    <t>Tempo Médio Operacional (TMO)</t>
  </si>
  <si>
    <t>número da fila de atendimento</t>
  </si>
  <si>
    <t>tempo total em pós-atendimento after call work (ACW)</t>
  </si>
  <si>
    <t>% Aderência a Escala</t>
  </si>
  <si>
    <t>Primeiro Login</t>
  </si>
  <si>
    <t>Último Logout</t>
  </si>
  <si>
    <t>Service Level Agreements (SLA)
ou
Telephone Service Factor (TSF)</t>
  </si>
  <si>
    <r>
      <t xml:space="preserve">Dentre os principais </t>
    </r>
    <r>
      <rPr>
        <b/>
        <sz val="11"/>
        <color theme="1"/>
        <rFont val="Calibri"/>
        <family val="2"/>
        <scheme val="minor"/>
      </rPr>
      <t>Key Performance Indicators (KPI)</t>
    </r>
    <r>
      <rPr>
        <sz val="11"/>
        <color theme="1"/>
        <rFont val="Calibri"/>
        <family val="2"/>
        <scheme val="minor"/>
      </rPr>
      <t xml:space="preserve"> analisados mensalmente pelo departamento de Workforce Management (WFM), destacamos neste exercício 2 deles. O primeiro chama-se </t>
    </r>
    <r>
      <rPr>
        <b/>
        <sz val="11"/>
        <color theme="1"/>
        <rFont val="Calibri"/>
        <family val="2"/>
        <scheme val="minor"/>
      </rPr>
      <t>Service Level Agreements (SLA)</t>
    </r>
    <r>
      <rPr>
        <sz val="11"/>
        <color theme="1"/>
        <rFont val="Calibri"/>
        <family val="2"/>
        <scheme val="minor"/>
      </rPr>
      <t xml:space="preserve"> ou </t>
    </r>
    <r>
      <rPr>
        <b/>
        <sz val="11"/>
        <color theme="1"/>
        <rFont val="Calibri"/>
        <family val="2"/>
        <scheme val="minor"/>
      </rPr>
      <t>Telephone Service Factor (TSF)</t>
    </r>
    <r>
      <rPr>
        <sz val="11"/>
        <color theme="1"/>
        <rFont val="Calibri"/>
        <family val="2"/>
        <scheme val="minor"/>
      </rPr>
      <t xml:space="preserve"> que tem como objetivo medir o percentual de chamadas atendidas que esperaram na fila de atendimento durante um determinado intervalo. Por exemplo: 70% em 30 segundos. O segundo chama-se </t>
    </r>
    <r>
      <rPr>
        <b/>
        <sz val="11"/>
        <color theme="1"/>
        <rFont val="Calibri"/>
        <family val="2"/>
        <scheme val="minor"/>
      </rPr>
      <t>% Abandono</t>
    </r>
    <r>
      <rPr>
        <sz val="11"/>
        <color theme="1"/>
        <rFont val="Calibri"/>
        <family val="2"/>
        <scheme val="minor"/>
      </rPr>
      <t xml:space="preserve"> que tem como objetivo medir o percentual das chamadas abandonadas na fila de atendimento. Por exemplo: 8%.
Com base no texto calcule no </t>
    </r>
    <r>
      <rPr>
        <b/>
        <sz val="11"/>
        <color theme="1"/>
        <rFont val="Calibri"/>
        <family val="2"/>
        <scheme val="minor"/>
      </rPr>
      <t>Quadro A</t>
    </r>
    <r>
      <rPr>
        <sz val="11"/>
        <color theme="1"/>
        <rFont val="Calibri"/>
        <family val="2"/>
        <scheme val="minor"/>
      </rPr>
      <t xml:space="preserve"> os resultados obtidos no mês de agosto/2012 utilizando as funções do Microsoft Excel.
Dados necessários para construção dos cálculos:
          total de chamadas oferecidas = total de chamadas atendidas </t>
    </r>
    <r>
      <rPr>
        <b/>
        <sz val="11"/>
        <color theme="1"/>
        <rFont val="Calibri"/>
        <family val="2"/>
        <scheme val="minor"/>
      </rPr>
      <t>+</t>
    </r>
    <r>
      <rPr>
        <sz val="11"/>
        <color theme="1"/>
        <rFont val="Calibri"/>
        <family val="2"/>
        <scheme val="minor"/>
      </rPr>
      <t xml:space="preserve"> total de chamadas abandonadas;
          total de chamadas atendidas que esperam até X segundos na fila de atendimento </t>
    </r>
    <r>
      <rPr>
        <b/>
        <sz val="11"/>
        <color theme="1"/>
        <rFont val="Calibri"/>
        <family val="2"/>
        <scheme val="minor"/>
      </rPr>
      <t>está contido em</t>
    </r>
    <r>
      <rPr>
        <sz val="11"/>
        <color theme="1"/>
        <rFont val="Calibri"/>
        <family val="2"/>
        <scheme val="minor"/>
      </rPr>
      <t xml:space="preserve"> total de chamadas atendidas.</t>
    </r>
  </si>
  <si>
    <r>
      <t xml:space="preserve">Dentre os principais </t>
    </r>
    <r>
      <rPr>
        <b/>
        <sz val="11"/>
        <color theme="1"/>
        <rFont val="Calibri"/>
        <family val="2"/>
        <scheme val="minor"/>
      </rPr>
      <t>Key Performance Indicators (KPI)</t>
    </r>
    <r>
      <rPr>
        <sz val="11"/>
        <color theme="1"/>
        <rFont val="Calibri"/>
        <family val="2"/>
        <scheme val="minor"/>
      </rPr>
      <t xml:space="preserve"> analisados mensalmente pelo departamento de Workforce Management (WFM), destacamos neste exercício 2 deles. O primeiro chama-se </t>
    </r>
    <r>
      <rPr>
        <b/>
        <sz val="11"/>
        <color theme="1"/>
        <rFont val="Calibri"/>
        <family val="2"/>
        <scheme val="minor"/>
      </rPr>
      <t>Tempo Médio de Atendimento (TMA)</t>
    </r>
    <r>
      <rPr>
        <sz val="11"/>
        <color theme="1"/>
        <rFont val="Calibri"/>
        <family val="2"/>
        <scheme val="minor"/>
      </rPr>
      <t xml:space="preserve"> que tem como objetivo, medir o tempo médio de duração de todas as chamadas atendidas em um determinado intervalo de análise. O segundo chama-se </t>
    </r>
    <r>
      <rPr>
        <b/>
        <sz val="11"/>
        <color theme="1"/>
        <rFont val="Calibri"/>
        <family val="2"/>
        <scheme val="minor"/>
      </rPr>
      <t>Tempo Médio Operacional (TMO)</t>
    </r>
    <r>
      <rPr>
        <sz val="11"/>
        <color theme="1"/>
        <rFont val="Calibri"/>
        <family val="2"/>
        <scheme val="minor"/>
      </rPr>
      <t xml:space="preserve"> que tem como objetivo, medir o tempo médio de duração de todas as chamadas atendidas e atividades de pós-atendimento ligadas a essas chamadas antes de atender uma próxima chamada.
Com base no texto calcule no </t>
    </r>
    <r>
      <rPr>
        <b/>
        <sz val="11"/>
        <color theme="1"/>
        <rFont val="Calibri"/>
        <family val="2"/>
        <scheme val="minor"/>
      </rPr>
      <t>Quadro A</t>
    </r>
    <r>
      <rPr>
        <sz val="11"/>
        <color theme="1"/>
        <rFont val="Calibri"/>
        <family val="2"/>
        <scheme val="minor"/>
      </rPr>
      <t xml:space="preserve"> os resultados obtidos no mês de agosto/2012 utilizando as funções do Microsoft Excel.
Dados necessários para construção dos cálculos:
          Na </t>
    </r>
    <r>
      <rPr>
        <b/>
        <sz val="11"/>
        <color theme="1"/>
        <rFont val="Calibri"/>
        <family val="2"/>
        <scheme val="minor"/>
      </rPr>
      <t>Tabela X</t>
    </r>
    <r>
      <rPr>
        <sz val="11"/>
        <color theme="1"/>
        <rFont val="Calibri"/>
        <family val="2"/>
        <scheme val="minor"/>
      </rPr>
      <t xml:space="preserve"> o campo </t>
    </r>
    <r>
      <rPr>
        <b/>
        <sz val="11"/>
        <color theme="1"/>
        <rFont val="Calibri"/>
        <family val="2"/>
        <scheme val="minor"/>
      </rPr>
      <t>tempo total falado</t>
    </r>
    <r>
      <rPr>
        <sz val="11"/>
        <color theme="1"/>
        <rFont val="Calibri"/>
        <family val="2"/>
        <scheme val="minor"/>
      </rPr>
      <t xml:space="preserve"> está expresso em segundos;
          Na </t>
    </r>
    <r>
      <rPr>
        <b/>
        <sz val="11"/>
        <color theme="1"/>
        <rFont val="Calibri"/>
        <family val="2"/>
        <scheme val="minor"/>
      </rPr>
      <t>Tabela X</t>
    </r>
    <r>
      <rPr>
        <sz val="11"/>
        <color theme="1"/>
        <rFont val="Calibri"/>
        <family val="2"/>
        <scheme val="minor"/>
      </rPr>
      <t xml:space="preserve"> o campo </t>
    </r>
    <r>
      <rPr>
        <b/>
        <sz val="11"/>
        <color theme="1"/>
        <rFont val="Calibri"/>
        <family val="2"/>
        <scheme val="minor"/>
      </rPr>
      <t>tempo total em retenção</t>
    </r>
    <r>
      <rPr>
        <sz val="11"/>
        <color theme="1"/>
        <rFont val="Calibri"/>
        <family val="2"/>
        <scheme val="minor"/>
      </rPr>
      <t xml:space="preserve"> está expresso em segundos;
          Na </t>
    </r>
    <r>
      <rPr>
        <b/>
        <sz val="11"/>
        <color theme="1"/>
        <rFont val="Calibri"/>
        <family val="2"/>
        <scheme val="minor"/>
      </rPr>
      <t>Tabela X</t>
    </r>
    <r>
      <rPr>
        <sz val="11"/>
        <color theme="1"/>
        <rFont val="Calibri"/>
        <family val="2"/>
        <scheme val="minor"/>
      </rPr>
      <t xml:space="preserve"> o campo </t>
    </r>
    <r>
      <rPr>
        <b/>
        <sz val="11"/>
        <color theme="1"/>
        <rFont val="Calibri"/>
        <family val="2"/>
        <scheme val="minor"/>
      </rPr>
      <t>tempo total em pós-atendimento</t>
    </r>
    <r>
      <rPr>
        <sz val="11"/>
        <color theme="1"/>
        <rFont val="Calibri"/>
        <family val="2"/>
        <scheme val="minor"/>
      </rPr>
      <t xml:space="preserve"> está expresso em segundos.</t>
    </r>
  </si>
  <si>
    <r>
      <t xml:space="preserve">Dentre os principais </t>
    </r>
    <r>
      <rPr>
        <b/>
        <sz val="11"/>
        <color theme="1"/>
        <rFont val="Calibri"/>
        <family val="2"/>
        <scheme val="minor"/>
      </rPr>
      <t>Key Performance Indicators (KPI)</t>
    </r>
    <r>
      <rPr>
        <sz val="11"/>
        <color theme="1"/>
        <rFont val="Calibri"/>
        <family val="2"/>
        <scheme val="minor"/>
      </rPr>
      <t xml:space="preserve"> analisados mensalmente pelo departamento de </t>
    </r>
    <r>
      <rPr>
        <b/>
        <sz val="11"/>
        <color theme="1"/>
        <rFont val="Calibri"/>
        <family val="2"/>
        <scheme val="minor"/>
      </rPr>
      <t>Workforce Management (WFM)</t>
    </r>
    <r>
      <rPr>
        <sz val="11"/>
        <color theme="1"/>
        <rFont val="Calibri"/>
        <family val="2"/>
        <scheme val="minor"/>
      </rPr>
      <t xml:space="preserve">, destacamos neste exercício o </t>
    </r>
    <r>
      <rPr>
        <b/>
        <sz val="11"/>
        <color theme="1"/>
        <rFont val="Calibri"/>
        <family val="2"/>
        <scheme val="minor"/>
      </rPr>
      <t xml:space="preserve">% Absenteísmo </t>
    </r>
    <r>
      <rPr>
        <sz val="11"/>
        <color theme="1"/>
        <rFont val="Calibri"/>
        <family val="2"/>
        <scheme val="minor"/>
      </rPr>
      <t xml:space="preserve">que tem como objetivo medir o percentual de faltas e atrazos nas escalas diárias dos operadores e </t>
    </r>
    <r>
      <rPr>
        <b/>
        <sz val="11"/>
        <color theme="1"/>
        <rFont val="Calibri"/>
        <family val="2"/>
        <scheme val="minor"/>
      </rPr>
      <t>% Aderência a Escala</t>
    </r>
    <r>
      <rPr>
        <sz val="11"/>
        <color theme="1"/>
        <rFont val="Calibri"/>
        <family val="2"/>
        <scheme val="minor"/>
      </rPr>
      <t xml:space="preserve"> que tem como objetivo medir o percentual de cumprimento dos horários das escalas planejadas em relação as escalas realizadas.
Com base no texto calcule no </t>
    </r>
    <r>
      <rPr>
        <b/>
        <sz val="11"/>
        <color theme="1"/>
        <rFont val="Calibri"/>
        <family val="2"/>
        <scheme val="minor"/>
      </rPr>
      <t>Quadro A</t>
    </r>
    <r>
      <rPr>
        <sz val="11"/>
        <color theme="1"/>
        <rFont val="Calibri"/>
        <family val="2"/>
        <scheme val="minor"/>
      </rPr>
      <t xml:space="preserve"> os resultados consolidados nos 3 dias de setembro/2012 utilizando as funções do Microsoft Excel.
Dados necessários para construção dos cálculos:
          T = Trabalha;
          FO = Folga.</t>
    </r>
  </si>
  <si>
    <t>Etapa 1</t>
  </si>
  <si>
    <t>Etapa 5</t>
  </si>
  <si>
    <t>Etapa 8</t>
  </si>
  <si>
    <t>Etapa 10</t>
  </si>
  <si>
    <t>Resultado</t>
  </si>
  <si>
    <t>18 | 9 | 4 | 27 | 23 |</t>
  </si>
  <si>
    <t>9 | 4 | 18 | 23 | 27 |</t>
  </si>
  <si>
    <t>4 | 9 | 18 | 23 | 27 |</t>
  </si>
  <si>
    <t>A ordem final é:</t>
  </si>
  <si>
    <t>18 é maior que 9 ?</t>
  </si>
  <si>
    <t>9 é maior que 4 ?</t>
  </si>
  <si>
    <t>4 é maior que 9 ?</t>
  </si>
  <si>
    <t>Sim, então troca com o 9!</t>
  </si>
  <si>
    <t>Sim, então troca com o 4!</t>
  </si>
  <si>
    <t>Não, então continua a mesma coisa!</t>
  </si>
  <si>
    <t>Etapa 2</t>
  </si>
  <si>
    <t>Etapa 6</t>
  </si>
  <si>
    <t>Etapa 9</t>
  </si>
  <si>
    <t>9 | 18 | 4 | 27 | 23 |</t>
  </si>
  <si>
    <t>18 é maior que 4 ?</t>
  </si>
  <si>
    <t>9 é maior que 18 ?</t>
  </si>
  <si>
    <t>Etapa 3</t>
  </si>
  <si>
    <t>Etapa 7</t>
  </si>
  <si>
    <t>9 | 4 | 18 | 27 | 23 |</t>
  </si>
  <si>
    <t>18 é maior que 27 ?</t>
  </si>
  <si>
    <t>18 é maior que 23 ?</t>
  </si>
  <si>
    <t>Etapa 4</t>
  </si>
  <si>
    <t>27 é maior que 23 ?</t>
  </si>
  <si>
    <t>Sim, então troca com o 23!</t>
  </si>
  <si>
    <t>Exemplo do Bubble Sort</t>
  </si>
  <si>
    <r>
      <t xml:space="preserve">O </t>
    </r>
    <r>
      <rPr>
        <b/>
        <sz val="11"/>
        <color theme="1"/>
        <rFont val="Calibri"/>
        <family val="2"/>
        <scheme val="minor"/>
      </rPr>
      <t>bubble sort</t>
    </r>
    <r>
      <rPr>
        <sz val="11"/>
        <color theme="1"/>
        <rFont val="Calibri"/>
        <family val="2"/>
        <scheme val="minor"/>
      </rPr>
      <t>, é um algoritmo de ordenação que tem como objetivo percorrer o vector diversas vezes fazendo flutuar para o topo o menor elemento do vetor. Abaixo temos uma simulação deste método de ordenação. Através do VBA (Visual Basic for Application), construa um código com o nome B</t>
    </r>
    <r>
      <rPr>
        <b/>
        <sz val="11"/>
        <color theme="1"/>
        <rFont val="Calibri"/>
        <family val="2"/>
        <scheme val="minor"/>
      </rPr>
      <t>ubbleSort</t>
    </r>
    <r>
      <rPr>
        <sz val="11"/>
        <color theme="1"/>
        <rFont val="Calibri"/>
        <family val="2"/>
        <scheme val="minor"/>
      </rPr>
      <t xml:space="preserve"> que utilize o método bubble sort e cole o resultado do vetor ordenado a partir da célula E24 após clicar no botão </t>
    </r>
    <r>
      <rPr>
        <b/>
        <sz val="11"/>
        <color theme="1"/>
        <rFont val="Calibri"/>
        <family val="2"/>
        <scheme val="minor"/>
      </rPr>
      <t xml:space="preserve">Ordenar Sequência:
</t>
    </r>
    <r>
      <rPr>
        <sz val="11"/>
        <color theme="1"/>
        <rFont val="Calibri"/>
        <family val="2"/>
        <scheme val="minor"/>
      </rPr>
      <t>Vetor = [10, 8, 7, 7, 9, 4, 2, 3, 1, 0]</t>
    </r>
  </si>
  <si>
    <t>Através do VBA (Visual Basic for Application) e HTML construa um código que monte um e-mail através do Microsoft Outlook ao clicar no botão "Enviar E-mail".</t>
  </si>
  <si>
    <t>Para:</t>
  </si>
  <si>
    <t>Relatórios Diário de Chamadas</t>
  </si>
  <si>
    <t>Conteúdo:</t>
  </si>
  <si>
    <t>Boa Tarde</t>
  </si>
  <si>
    <t>Segue o relatório diário de volumetria:</t>
  </si>
  <si>
    <t>Atenciosamente,</t>
  </si>
  <si>
    <t>Departamento de WFM</t>
  </si>
  <si>
    <t>Tel.: 11 2163-3270</t>
  </si>
  <si>
    <t>Assunto:</t>
  </si>
  <si>
    <r>
      <t xml:space="preserve">Através do VBA (Visual Basic for Application) construa um código que importe uma consulta de dados de um banco de  dados Microsoft Access ao clicar no botão "Importar Relatório". O relatório deve ser colado na célula A10 desta planilha. Fique a vontade para escolher os tipos de conecções informados abaixo.
Dados necessários para construção do código:
          </t>
    </r>
    <r>
      <rPr>
        <b/>
        <sz val="11"/>
        <color theme="1"/>
        <rFont val="Calibri"/>
        <family val="2"/>
        <scheme val="minor"/>
      </rPr>
      <t>Nome e Caminho do Banco de Dados:</t>
    </r>
    <r>
      <rPr>
        <sz val="11"/>
        <color theme="1"/>
        <rFont val="Calibri"/>
        <family val="2"/>
        <scheme val="minor"/>
      </rPr>
      <t xml:space="preserve"> "...\Processo Seletivo\BDQ12.accdb"
          </t>
    </r>
    <r>
      <rPr>
        <b/>
        <sz val="11"/>
        <color theme="1"/>
        <rFont val="Calibri"/>
        <family val="2"/>
        <scheme val="minor"/>
      </rPr>
      <t>Nome da Tabela:</t>
    </r>
    <r>
      <rPr>
        <sz val="11"/>
        <color theme="1"/>
        <rFont val="Calibri"/>
        <family val="2"/>
        <scheme val="minor"/>
      </rPr>
      <t xml:space="preserve"> TabelaX
          OLE DB Provider
          </t>
    </r>
    <r>
      <rPr>
        <b/>
        <sz val="11"/>
        <color theme="1"/>
        <rFont val="Calibri"/>
        <family val="2"/>
        <scheme val="minor"/>
      </rPr>
      <t>Connection String:</t>
    </r>
    <r>
      <rPr>
        <sz val="11"/>
        <color theme="1"/>
        <rFont val="Calibri"/>
        <family val="2"/>
        <scheme val="minor"/>
      </rPr>
      <t xml:space="preserve"> "Provider=Microsoft.ACE.OLEDB.12.0;Data Source=C:\myFolder\myAccess2007file.accdb;Persist Security Info=False;"
          ODBC Driver
          </t>
    </r>
    <r>
      <rPr>
        <b/>
        <sz val="11"/>
        <color theme="1"/>
        <rFont val="Calibri"/>
        <family val="2"/>
        <scheme val="minor"/>
      </rPr>
      <t>Connection String:</t>
    </r>
    <r>
      <rPr>
        <sz val="11"/>
        <color theme="1"/>
        <rFont val="Calibri"/>
        <family val="2"/>
        <scheme val="minor"/>
      </rPr>
      <t xml:space="preserve"> "Driver={Microsoft Access Driver (*.mdb, *.accdb)};Dbq=C:\mydatabase.accdb;Uid=Admin;Pwd=;"
          </t>
    </r>
    <r>
      <rPr>
        <b/>
        <sz val="11"/>
        <color theme="1"/>
        <rFont val="Calibri"/>
        <family val="2"/>
        <scheme val="minor"/>
      </rPr>
      <t>Consulta:</t>
    </r>
    <r>
      <rPr>
        <sz val="11"/>
        <color theme="1"/>
        <rFont val="Calibri"/>
        <family val="2"/>
        <scheme val="minor"/>
      </rPr>
      <t xml:space="preserve"> "SELECT * FROM TabelaX"</t>
    </r>
  </si>
  <si>
    <r>
      <t xml:space="preserve">Através do VBA (Visual Basic for Application) construa um código que importe uma consulta de dados da planilha Questao13Dados deste arquivo ao clicar no botão "Importar Relatório". O relatório deve ser colado na célula A10 desta planilha. Fique a vontade para escolher os tipos de conecções informados abaixo.
Dados necessários para construção do código:
          </t>
    </r>
    <r>
      <rPr>
        <b/>
        <sz val="11"/>
        <color theme="1"/>
        <rFont val="Calibri"/>
        <family val="2"/>
        <scheme val="minor"/>
      </rPr>
      <t>Nome e Caminho do Data File:</t>
    </r>
    <r>
      <rPr>
        <sz val="11"/>
        <color theme="1"/>
        <rFont val="Calibri"/>
        <family val="2"/>
        <scheme val="minor"/>
      </rPr>
      <t xml:space="preserve"> "...\Processo Seletivo\ProvaMIS.xlsm"
          </t>
    </r>
    <r>
      <rPr>
        <b/>
        <sz val="11"/>
        <color theme="1"/>
        <rFont val="Calibri"/>
        <family val="2"/>
        <scheme val="minor"/>
      </rPr>
      <t>Nome da Planilha:</t>
    </r>
    <r>
      <rPr>
        <sz val="11"/>
        <color theme="1"/>
        <rFont val="Calibri"/>
        <family val="2"/>
        <scheme val="minor"/>
      </rPr>
      <t xml:space="preserve"> Questao13Dados
          OLE DB Provider
          </t>
    </r>
    <r>
      <rPr>
        <b/>
        <sz val="11"/>
        <color theme="1"/>
        <rFont val="Calibri"/>
        <family val="2"/>
        <scheme val="minor"/>
      </rPr>
      <t>Connection String:</t>
    </r>
    <r>
      <rPr>
        <sz val="11"/>
        <color theme="1"/>
        <rFont val="Calibri"/>
        <family val="2"/>
        <scheme val="minor"/>
      </rPr>
      <t xml:space="preserve"> "Provider=Microsoft.ACE.OLEDB.12.0;Data Source=c:\myFolder\myExcel2010file.xlsm;Extended Properties=""Excel 12.0 Macro;HDR=YES"";"
          ODBC Driver
          </t>
    </r>
    <r>
      <rPr>
        <b/>
        <sz val="11"/>
        <color theme="1"/>
        <rFont val="Calibri"/>
        <family val="2"/>
        <scheme val="minor"/>
      </rPr>
      <t>Connection String:</t>
    </r>
    <r>
      <rPr>
        <sz val="11"/>
        <color theme="1"/>
        <rFont val="Calibri"/>
        <family val="2"/>
        <scheme val="minor"/>
      </rPr>
      <t xml:space="preserve"> "Driver={Microsoft Excel Driver (*.xls, *.xlsx, *.xlsm, *.xlsb)};DBQ=C:\MyExcel.xlsm;"
          </t>
    </r>
    <r>
      <rPr>
        <b/>
        <sz val="11"/>
        <color theme="1"/>
        <rFont val="Calibri"/>
        <family val="2"/>
        <scheme val="minor"/>
      </rPr>
      <t>Consulta:</t>
    </r>
    <r>
      <rPr>
        <sz val="11"/>
        <color theme="1"/>
        <rFont val="Calibri"/>
        <family val="2"/>
        <scheme val="minor"/>
      </rPr>
      <t xml:space="preserve"> "SELECT * FROM [Questao13Dados$]"</t>
    </r>
  </si>
  <si>
    <t>alexsandro.luna@teleperformance.com</t>
  </si>
  <si>
    <r>
      <t xml:space="preserve">Abaixo existem duas tabelas. A </t>
    </r>
    <r>
      <rPr>
        <b/>
        <sz val="11"/>
        <color theme="1"/>
        <rFont val="Calibri"/>
        <family val="2"/>
        <scheme val="minor"/>
      </rPr>
      <t>Tabela X</t>
    </r>
    <r>
      <rPr>
        <sz val="11"/>
        <color theme="1"/>
        <rFont val="Calibri"/>
        <family val="2"/>
        <scheme val="minor"/>
      </rPr>
      <t xml:space="preserve"> é resultado de uma consulta realizada na </t>
    </r>
    <r>
      <rPr>
        <b/>
        <sz val="11"/>
        <color theme="1"/>
        <rFont val="Calibri"/>
        <family val="2"/>
        <scheme val="minor"/>
      </rPr>
      <t>Tabela Y</t>
    </r>
    <r>
      <rPr>
        <sz val="11"/>
        <color theme="1"/>
        <rFont val="Calibri"/>
        <family val="2"/>
        <scheme val="minor"/>
      </rPr>
      <t xml:space="preserve">. Escreva essa consulta na linguagem SQL utilizada pelo Microsoft Access no quadro abaixo:
</t>
    </r>
    <r>
      <rPr>
        <b/>
        <sz val="11"/>
        <color theme="1"/>
        <rFont val="Calibri"/>
        <family val="2"/>
        <scheme val="minor"/>
      </rPr>
      <t>Observação:</t>
    </r>
    <r>
      <rPr>
        <sz val="11"/>
        <color theme="1"/>
        <rFont val="Calibri"/>
        <family val="2"/>
        <scheme val="minor"/>
      </rPr>
      <t xml:space="preserve"> Utilize como apoio o Microsoft Access para montar a tabela e a consulta. Salve com o nome Exercicio_08.
Dados necessários para construção do código: 
          </t>
    </r>
    <r>
      <rPr>
        <b/>
        <sz val="11"/>
        <color theme="1"/>
        <rFont val="Calibri"/>
        <family val="2"/>
        <scheme val="minor"/>
      </rPr>
      <t>tempo médio operacional (TMO):</t>
    </r>
    <r>
      <rPr>
        <sz val="11"/>
        <color theme="1"/>
        <rFont val="Calibri"/>
        <family val="2"/>
        <scheme val="minor"/>
      </rPr>
      <t xml:space="preserve"> (tempo total falado +  tempo total em retenção (HOLD) + tempo total em pós-atendimento) / total de chamadas atendidas, ou seja, é o tempo 
                                                                                médio utilizado para atender todas a ligações e seus processos em um intervalo de tempo</t>
    </r>
  </si>
  <si>
    <r>
      <t xml:space="preserve">Abaixo existem duas tabelas. A </t>
    </r>
    <r>
      <rPr>
        <b/>
        <sz val="11"/>
        <color theme="1"/>
        <rFont val="Calibri"/>
        <family val="2"/>
        <scheme val="minor"/>
      </rPr>
      <t>Tabela X</t>
    </r>
    <r>
      <rPr>
        <sz val="11"/>
        <color theme="1"/>
        <rFont val="Calibri"/>
        <family val="2"/>
        <scheme val="minor"/>
      </rPr>
      <t xml:space="preserve"> é resultado de uma consulta realizada na </t>
    </r>
    <r>
      <rPr>
        <b/>
        <sz val="11"/>
        <color theme="1"/>
        <rFont val="Calibri"/>
        <family val="2"/>
        <scheme val="minor"/>
      </rPr>
      <t>Tabela Y</t>
    </r>
    <r>
      <rPr>
        <sz val="11"/>
        <color theme="1"/>
        <rFont val="Calibri"/>
        <family val="2"/>
        <scheme val="minor"/>
      </rPr>
      <t xml:space="preserve">. Escreva essa consulta na linguagem SQL utilizada pelo Microsoft Access no quadro abaixo:
</t>
    </r>
    <r>
      <rPr>
        <b/>
        <sz val="11"/>
        <color theme="1"/>
        <rFont val="Calibri"/>
        <family val="2"/>
        <scheme val="minor"/>
      </rPr>
      <t>Observação:</t>
    </r>
    <r>
      <rPr>
        <sz val="11"/>
        <color theme="1"/>
        <rFont val="Calibri"/>
        <family val="2"/>
        <scheme val="minor"/>
      </rPr>
      <t xml:space="preserve"> Utilize como apoio o Microsoft Access para montar a tabela e a consulta. Salve com o nome Exercicio_09.
Dados necessários para construção do código: 
          Os campos </t>
    </r>
    <r>
      <rPr>
        <b/>
        <sz val="11"/>
        <color theme="1"/>
        <rFont val="Calibri"/>
        <family val="2"/>
        <scheme val="minor"/>
      </rPr>
      <t>CALLSOFFERED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ACDCALLS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ABNCALLS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1"/>
        <rFont val="Calibri"/>
        <family val="2"/>
        <scheme val="minor"/>
      </rPr>
      <t>OTHERCALLS</t>
    </r>
    <r>
      <rPr>
        <sz val="11"/>
        <color theme="1"/>
        <rFont val="Calibri"/>
        <family val="2"/>
        <scheme val="minor"/>
      </rPr>
      <t xml:space="preserve"> da </t>
    </r>
    <r>
      <rPr>
        <b/>
        <sz val="11"/>
        <color theme="1"/>
        <rFont val="Calibri"/>
        <family val="2"/>
        <scheme val="minor"/>
      </rPr>
      <t>Tabela X</t>
    </r>
    <r>
      <rPr>
        <sz val="11"/>
        <color theme="1"/>
        <rFont val="Calibri"/>
        <family val="2"/>
        <scheme val="minor"/>
      </rPr>
      <t xml:space="preserve"> são resultados da somatória de suas 
          respectivas colunas na </t>
    </r>
    <r>
      <rPr>
        <b/>
        <sz val="11"/>
        <color theme="1"/>
        <rFont val="Calibri"/>
        <family val="2"/>
        <scheme val="minor"/>
      </rPr>
      <t>Tabela Y</t>
    </r>
    <r>
      <rPr>
        <sz val="11"/>
        <color theme="1"/>
        <rFont val="Calibri"/>
        <family val="2"/>
        <scheme val="minor"/>
      </rPr>
      <t xml:space="preserve"> conforme os critérios de agrupamento dos campos </t>
    </r>
    <r>
      <rPr>
        <b/>
        <sz val="11"/>
        <color theme="1"/>
        <rFont val="Calibri"/>
        <family val="2"/>
        <scheme val="minor"/>
      </rPr>
      <t>ServerName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1"/>
        <rFont val="Calibri"/>
        <family val="2"/>
        <scheme val="minor"/>
      </rPr>
      <t>syn_ACD</t>
    </r>
    <r>
      <rPr>
        <sz val="11"/>
        <color theme="1"/>
        <rFont val="Calibri"/>
        <family val="2"/>
        <scheme val="minor"/>
      </rPr>
      <t xml:space="preserve"> da </t>
    </r>
    <r>
      <rPr>
        <b/>
        <sz val="11"/>
        <color theme="1"/>
        <rFont val="Calibri"/>
        <family val="2"/>
        <scheme val="minor"/>
      </rPr>
      <t>Tabela X.</t>
    </r>
  </si>
  <si>
    <r>
      <t xml:space="preserve">Abaixo existem 5 tabelas. A </t>
    </r>
    <r>
      <rPr>
        <b/>
        <sz val="11"/>
        <color theme="1"/>
        <rFont val="Calibri"/>
        <family val="2"/>
        <scheme val="minor"/>
      </rPr>
      <t>Tabela Final</t>
    </r>
    <r>
      <rPr>
        <sz val="11"/>
        <color theme="1"/>
        <rFont val="Calibri"/>
        <family val="2"/>
        <scheme val="minor"/>
      </rPr>
      <t xml:space="preserve"> é resultado de uma consulta realizada nas </t>
    </r>
    <r>
      <rPr>
        <b/>
        <sz val="11"/>
        <color theme="1"/>
        <rFont val="Calibri"/>
        <family val="2"/>
        <scheme val="minor"/>
      </rPr>
      <t>Tabelas X, Y, Z e W</t>
    </r>
    <r>
      <rPr>
        <sz val="11"/>
        <color theme="1"/>
        <rFont val="Calibri"/>
        <family val="2"/>
        <scheme val="minor"/>
      </rPr>
      <t xml:space="preserve">. Escreva essa consulta na linguagem SQL utilizada pelo Microsoft Access no quadro abaixo:
</t>
    </r>
    <r>
      <rPr>
        <b/>
        <sz val="11"/>
        <color theme="1"/>
        <rFont val="Calibri"/>
        <family val="2"/>
        <scheme val="minor"/>
      </rPr>
      <t>Observação</t>
    </r>
    <r>
      <rPr>
        <sz val="11"/>
        <color theme="1"/>
        <rFont val="Calibri"/>
        <family val="2"/>
        <scheme val="minor"/>
      </rPr>
      <t>: Utilize como apoio o Microsoft Access para montar a tabela e a consulta. Salve com o nome Exercicio_10.</t>
    </r>
  </si>
  <si>
    <t>total de escala</t>
  </si>
  <si>
    <t>(Tudo)</t>
  </si>
  <si>
    <t>Rótulos de Linha</t>
  </si>
  <si>
    <t>Total Geral</t>
  </si>
  <si>
    <t>Rótulos de Coluna</t>
  </si>
  <si>
    <t>Soma de CALLSOFFERED</t>
  </si>
  <si>
    <t>Total Soma de CALLSOFFERED</t>
  </si>
  <si>
    <t>Total Média de MAXSTAFFED</t>
  </si>
  <si>
    <t>Média de MAXSTAFFED</t>
  </si>
  <si>
    <t>Total Soma de Percentual de Chamadas Abandonadas</t>
  </si>
  <si>
    <t>Soma de Percentual de Chamadas Abandonadas</t>
  </si>
  <si>
    <t>SELECT [NOME DO OPERADOR], [MATRICULA DO OPERADOR], [DATA], [FILA DE ATENDIMENTO], SUM([TOTAL DE CHAMADAS ATENDIDAS]), (SUM([tempo total falado])+SUM([tempo total em retenção (HOLD)])+SUM([tempo total em pós-atendimento]))/SUM([TOTAL DE CHAMADAS ATENDIDAS]) AS TMO FROM TABELAY GROUP BY [NOME DO OPERADOR], [MATRICULA DO OPERADOR], [DATA], [FILA DE ATENDIMENTO]</t>
  </si>
  <si>
    <t>SELECT SERVERNAME, SYN_ACD, SUM([CALLSOFFERED]) AS CALLSOFFERED],SUM([ACDCALLS]) AS ACDCALLS],SUM([ABNCALLS]) AS ABNCALLS,SUM([OTHERCALLS]) AS OTHERCALLS FROM TABELAY GROUP BY SERVERNAME, SYN_ACD</t>
  </si>
  <si>
    <t xml:space="preserve">SELECT    TABELAX.SERVERNAME
 , TABELAY.SYN_ACD
 , TABELAZ.SYN_SPLIT
 , TABELAW.ROW_DATE
 , SUM(TABELAW.[CALLSOFFERED]) AS CALLSOFFERED 
FROM TABELAW 
INNER JOIN TABELAZ
 ON TABELAZ.CODIGO_ACD = TABELAW.CODIGO_ACD
INNER JOIN TABELAY
 ON TABELAY.CODIGO_ACD = TABELAW.CODIGO_ACD
INNER JOIN TABELAX
 ON TABELAX.CODIGO_CMSSERVER = TABELAY.CODIGO_CMSSERVER
GROUP BY TABELAX.SERVERNAME
 , TABELAY.SYN_ACD
 , TABELAZ.SYN_SPLIT
 , TABELAW.ROW_DATE
</t>
  </si>
  <si>
    <t>Previsto entrada</t>
  </si>
  <si>
    <t>Previsto saida</t>
  </si>
  <si>
    <t>x</t>
  </si>
  <si>
    <t>logado ad</t>
  </si>
  <si>
    <t>Super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</si>
</sst>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indexed="8"/>
      <name val="Calibri"/>
      <family val="2"/>
    </font>
    <font>
      <sz val="9"/>
      <color indexed="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0"/>
      </patternFill>
    </fill>
    <fill>
      <patternFill patternType="solid">
        <fgColor theme="0"/>
        <bgColor indexed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 applyNumberFormat="0" applyFill="0" applyBorder="0" applyAlignment="0" applyProtection="0"/>
    <xf numFmtId="164" fontId="4" fillId="0" borderId="0"/>
    <xf numFmtId="0" fontId="3" fillId="0" borderId="0"/>
    <xf numFmtId="0" fontId="3" fillId="0" borderId="0"/>
  </cellStyleXfs>
  <cellXfs count="170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>
      <alignment wrapText="1"/>
    </xf>
    <xf numFmtId="0" fontId="2" fillId="0" borderId="2" xfId="1" applyFont="1" applyFill="1" applyBorder="1" applyAlignment="1"/>
    <xf numFmtId="14" fontId="2" fillId="0" borderId="2" xfId="1" applyNumberFormat="1" applyFont="1" applyFill="1" applyBorder="1" applyAlignment="1">
      <alignment horizontal="center"/>
    </xf>
    <xf numFmtId="21" fontId="2" fillId="0" borderId="2" xfId="1" applyNumberFormat="1" applyFont="1" applyFill="1" applyBorder="1" applyAlignment="1">
      <alignment horizontal="center"/>
    </xf>
    <xf numFmtId="14" fontId="2" fillId="0" borderId="2" xfId="1" applyNumberFormat="1" applyFont="1" applyFill="1" applyBorder="1" applyAlignment="1">
      <alignment horizontal="center" wrapText="1"/>
    </xf>
    <xf numFmtId="21" fontId="2" fillId="0" borderId="2" xfId="1" applyNumberFormat="1" applyFont="1" applyFill="1" applyBorder="1" applyAlignment="1">
      <alignment horizontal="center" wrapText="1"/>
    </xf>
    <xf numFmtId="3" fontId="2" fillId="0" borderId="2" xfId="1" applyNumberFormat="1" applyFont="1" applyFill="1" applyBorder="1" applyAlignment="1">
      <alignment horizontal="center" wrapText="1"/>
    </xf>
    <xf numFmtId="3" fontId="2" fillId="0" borderId="2" xfId="1" applyNumberFormat="1" applyFont="1" applyFill="1" applyBorder="1" applyAlignment="1">
      <alignment horizontal="center"/>
    </xf>
    <xf numFmtId="0" fontId="2" fillId="2" borderId="1" xfId="2" applyFont="1" applyFill="1" applyBorder="1" applyAlignment="1">
      <alignment horizontal="center"/>
    </xf>
    <xf numFmtId="0" fontId="2" fillId="0" borderId="2" xfId="2" applyFont="1" applyFill="1" applyBorder="1" applyAlignment="1">
      <alignment wrapText="1"/>
    </xf>
    <xf numFmtId="3" fontId="2" fillId="0" borderId="2" xfId="2" applyNumberFormat="1" applyFont="1" applyFill="1" applyBorder="1" applyAlignment="1">
      <alignment horizontal="center" wrapText="1"/>
    </xf>
    <xf numFmtId="0" fontId="1" fillId="0" borderId="0" xfId="0" applyFont="1"/>
    <xf numFmtId="14" fontId="2" fillId="0" borderId="2" xfId="4" applyNumberFormat="1" applyFont="1" applyFill="1" applyBorder="1" applyAlignment="1">
      <alignment horizontal="center" wrapText="1"/>
    </xf>
    <xf numFmtId="3" fontId="2" fillId="0" borderId="2" xfId="4" applyNumberFormat="1" applyFont="1" applyFill="1" applyBorder="1" applyAlignment="1">
      <alignment horizontal="center" wrapText="1"/>
    </xf>
    <xf numFmtId="0" fontId="2" fillId="2" borderId="1" xfId="4" applyFont="1" applyFill="1" applyBorder="1" applyAlignment="1">
      <alignment horizontal="center" wrapText="1"/>
    </xf>
    <xf numFmtId="0" fontId="2" fillId="2" borderId="1" xfId="4" applyFont="1" applyFill="1" applyBorder="1" applyAlignment="1">
      <alignment horizontal="center" vertical="center" wrapText="1"/>
    </xf>
    <xf numFmtId="0" fontId="2" fillId="2" borderId="1" xfId="4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4" fontId="2" fillId="0" borderId="2" xfId="5" applyNumberFormat="1" applyFont="1" applyFill="1" applyBorder="1" applyAlignment="1">
      <alignment horizontal="right" wrapText="1"/>
    </xf>
    <xf numFmtId="49" fontId="2" fillId="0" borderId="2" xfId="5" applyNumberFormat="1" applyFont="1" applyFill="1" applyBorder="1" applyAlignment="1">
      <alignment horizontal="right" wrapText="1"/>
    </xf>
    <xf numFmtId="0" fontId="2" fillId="0" borderId="2" xfId="5" applyFont="1" applyFill="1" applyBorder="1" applyAlignment="1">
      <alignment wrapText="1"/>
    </xf>
    <xf numFmtId="0" fontId="2" fillId="2" borderId="1" xfId="5" applyFont="1" applyFill="1" applyBorder="1" applyAlignment="1">
      <alignment horizontal="center" vertical="center" wrapText="1"/>
    </xf>
    <xf numFmtId="0" fontId="2" fillId="0" borderId="2" xfId="5" applyFont="1" applyFill="1" applyBorder="1" applyAlignment="1">
      <alignment horizontal="center" wrapText="1"/>
    </xf>
    <xf numFmtId="3" fontId="2" fillId="0" borderId="2" xfId="5" applyNumberFormat="1" applyFont="1" applyFill="1" applyBorder="1" applyAlignment="1">
      <alignment horizontal="center" wrapText="1"/>
    </xf>
    <xf numFmtId="0" fontId="0" fillId="0" borderId="0" xfId="0" applyProtection="1"/>
    <xf numFmtId="0" fontId="2" fillId="2" borderId="1" xfId="6" applyFont="1" applyFill="1" applyBorder="1" applyAlignment="1">
      <alignment horizontal="center"/>
    </xf>
    <xf numFmtId="0" fontId="2" fillId="0" borderId="2" xfId="6" applyFont="1" applyFill="1" applyBorder="1" applyAlignment="1"/>
    <xf numFmtId="0" fontId="2" fillId="0" borderId="2" xfId="6" applyFont="1" applyFill="1" applyBorder="1" applyAlignment="1">
      <alignment horizontal="center" wrapText="1"/>
    </xf>
    <xf numFmtId="14" fontId="2" fillId="0" borderId="2" xfId="6" applyNumberFormat="1" applyFont="1" applyFill="1" applyBorder="1" applyAlignment="1">
      <alignment horizontal="center" wrapText="1"/>
    </xf>
    <xf numFmtId="3" fontId="2" fillId="0" borderId="2" xfId="6" applyNumberFormat="1" applyFont="1" applyFill="1" applyBorder="1" applyAlignment="1">
      <alignment horizontal="center" wrapText="1"/>
    </xf>
    <xf numFmtId="0" fontId="2" fillId="0" borderId="2" xfId="6" applyFont="1" applyFill="1" applyBorder="1" applyAlignment="1">
      <alignment horizontal="center"/>
    </xf>
    <xf numFmtId="0" fontId="2" fillId="2" borderId="1" xfId="5" applyFont="1" applyFill="1" applyBorder="1" applyAlignment="1">
      <alignment horizontal="center" vertical="center"/>
    </xf>
    <xf numFmtId="0" fontId="2" fillId="0" borderId="2" xfId="5" applyFont="1" applyFill="1" applyBorder="1" applyAlignment="1">
      <alignment horizontal="center"/>
    </xf>
    <xf numFmtId="14" fontId="2" fillId="0" borderId="2" xfId="5" applyNumberFormat="1" applyFont="1" applyFill="1" applyBorder="1" applyAlignment="1">
      <alignment horizontal="right"/>
    </xf>
    <xf numFmtId="0" fontId="2" fillId="0" borderId="2" xfId="5" applyFont="1" applyFill="1" applyBorder="1" applyAlignment="1"/>
    <xf numFmtId="0" fontId="0" fillId="0" borderId="7" xfId="0" applyBorder="1"/>
    <xf numFmtId="0" fontId="1" fillId="0" borderId="7" xfId="0" applyFont="1" applyBorder="1"/>
    <xf numFmtId="0" fontId="0" fillId="0" borderId="6" xfId="0" applyBorder="1"/>
    <xf numFmtId="49" fontId="2" fillId="0" borderId="2" xfId="5" applyNumberFormat="1" applyFont="1" applyFill="1" applyBorder="1" applyAlignment="1">
      <alignment horizontal="right"/>
    </xf>
    <xf numFmtId="3" fontId="2" fillId="0" borderId="2" xfId="5" applyNumberFormat="1" applyFont="1" applyFill="1" applyBorder="1" applyAlignment="1">
      <alignment horizontal="center"/>
    </xf>
    <xf numFmtId="49" fontId="2" fillId="0" borderId="2" xfId="5" applyNumberFormat="1" applyFont="1" applyFill="1" applyBorder="1" applyAlignment="1">
      <alignment horizontal="center" vertical="center" wrapText="1"/>
    </xf>
    <xf numFmtId="0" fontId="2" fillId="0" borderId="2" xfId="5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textRotation="90"/>
    </xf>
    <xf numFmtId="0" fontId="0" fillId="0" borderId="0" xfId="0" applyAlignment="1">
      <alignment horizontal="center"/>
    </xf>
    <xf numFmtId="49" fontId="0" fillId="0" borderId="9" xfId="0" applyNumberFormat="1" applyBorder="1" applyAlignment="1">
      <alignment horizontal="center" textRotation="90"/>
    </xf>
    <xf numFmtId="49" fontId="0" fillId="0" borderId="10" xfId="0" applyNumberFormat="1" applyBorder="1" applyAlignment="1">
      <alignment horizontal="center" textRotation="90"/>
    </xf>
    <xf numFmtId="49" fontId="0" fillId="0" borderId="11" xfId="0" applyNumberFormat="1" applyBorder="1" applyAlignment="1">
      <alignment horizontal="center" textRotation="90"/>
    </xf>
    <xf numFmtId="20" fontId="0" fillId="0" borderId="12" xfId="0" applyNumberFormat="1" applyFill="1" applyBorder="1"/>
    <xf numFmtId="20" fontId="0" fillId="0" borderId="13" xfId="0" applyNumberFormat="1" applyFill="1" applyBorder="1"/>
    <xf numFmtId="0" fontId="0" fillId="0" borderId="14" xfId="0" applyFill="1" applyBorder="1" applyAlignment="1">
      <alignment horizontal="center"/>
    </xf>
    <xf numFmtId="20" fontId="0" fillId="0" borderId="15" xfId="0" applyNumberFormat="1" applyFill="1" applyBorder="1"/>
    <xf numFmtId="20" fontId="0" fillId="0" borderId="16" xfId="0" applyNumberFormat="1" applyFill="1" applyBorder="1"/>
    <xf numFmtId="0" fontId="0" fillId="0" borderId="17" xfId="0" applyFill="1" applyBorder="1" applyAlignment="1">
      <alignment horizontal="center"/>
    </xf>
    <xf numFmtId="20" fontId="0" fillId="0" borderId="12" xfId="0" applyNumberFormat="1" applyBorder="1"/>
    <xf numFmtId="20" fontId="0" fillId="0" borderId="13" xfId="0" applyNumberFormat="1" applyBorder="1"/>
    <xf numFmtId="0" fontId="0" fillId="0" borderId="14" xfId="0" applyBorder="1" applyAlignment="1">
      <alignment horizontal="center"/>
    </xf>
    <xf numFmtId="20" fontId="0" fillId="0" borderId="15" xfId="0" applyNumberFormat="1" applyBorder="1"/>
    <xf numFmtId="0" fontId="0" fillId="0" borderId="16" xfId="0" applyBorder="1"/>
    <xf numFmtId="20" fontId="0" fillId="0" borderId="16" xfId="0" applyNumberFormat="1" applyBorder="1"/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center"/>
    </xf>
    <xf numFmtId="0" fontId="0" fillId="0" borderId="17" xfId="0" applyBorder="1"/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2" fillId="2" borderId="1" xfId="7" applyFont="1" applyFill="1" applyBorder="1" applyAlignment="1">
      <alignment horizontal="center" vertical="center" wrapText="1"/>
    </xf>
    <xf numFmtId="0" fontId="5" fillId="0" borderId="0" xfId="0" applyFont="1"/>
    <xf numFmtId="10" fontId="2" fillId="0" borderId="2" xfId="3" applyNumberFormat="1" applyFont="1" applyFill="1" applyBorder="1" applyAlignment="1">
      <alignment horizontal="center" wrapText="1"/>
    </xf>
    <xf numFmtId="0" fontId="1" fillId="0" borderId="8" xfId="0" applyFont="1" applyFill="1" applyBorder="1"/>
    <xf numFmtId="0" fontId="0" fillId="0" borderId="21" xfId="0" applyFill="1" applyBorder="1"/>
    <xf numFmtId="0" fontId="0" fillId="0" borderId="22" xfId="0" applyFill="1" applyBorder="1"/>
    <xf numFmtId="0" fontId="0" fillId="0" borderId="0" xfId="0" applyFill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1" fillId="4" borderId="8" xfId="0" applyFont="1" applyFill="1" applyBorder="1"/>
    <xf numFmtId="0" fontId="0" fillId="4" borderId="21" xfId="0" applyFill="1" applyBorder="1"/>
    <xf numFmtId="0" fontId="0" fillId="4" borderId="22" xfId="0" applyFill="1" applyBorder="1"/>
    <xf numFmtId="0" fontId="0" fillId="0" borderId="0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6" xfId="0" applyBorder="1" applyAlignment="1">
      <alignment vertical="top"/>
    </xf>
    <xf numFmtId="0" fontId="0" fillId="0" borderId="27" xfId="0" applyBorder="1" applyAlignment="1">
      <alignment vertical="top"/>
    </xf>
    <xf numFmtId="0" fontId="0" fillId="0" borderId="27" xfId="0" applyBorder="1" applyAlignment="1"/>
    <xf numFmtId="0" fontId="1" fillId="0" borderId="29" xfId="0" applyFont="1" applyBorder="1" applyAlignment="1">
      <alignment horizontal="right"/>
    </xf>
    <xf numFmtId="0" fontId="6" fillId="0" borderId="0" xfId="8" applyBorder="1"/>
    <xf numFmtId="0" fontId="1" fillId="0" borderId="29" xfId="0" applyFont="1" applyBorder="1"/>
    <xf numFmtId="3" fontId="0" fillId="0" borderId="0" xfId="0" applyNumberFormat="1"/>
    <xf numFmtId="10" fontId="0" fillId="0" borderId="0" xfId="3" applyNumberFormat="1" applyFont="1"/>
    <xf numFmtId="2" fontId="0" fillId="0" borderId="0" xfId="0" applyNumberFormat="1"/>
    <xf numFmtId="14" fontId="0" fillId="0" borderId="0" xfId="0" applyNumberFormat="1"/>
    <xf numFmtId="0" fontId="2" fillId="5" borderId="1" xfId="2" applyFont="1" applyFill="1" applyBorder="1" applyAlignment="1">
      <alignment horizontal="center"/>
    </xf>
    <xf numFmtId="0" fontId="7" fillId="0" borderId="0" xfId="10" applyFont="1" applyFill="1" applyBorder="1" applyAlignment="1">
      <alignment wrapText="1"/>
    </xf>
    <xf numFmtId="0" fontId="7" fillId="0" borderId="0" xfId="10" applyFont="1" applyFill="1" applyBorder="1" applyAlignment="1">
      <alignment horizontal="right" wrapText="1"/>
    </xf>
    <xf numFmtId="14" fontId="7" fillId="0" borderId="0" xfId="10" applyNumberFormat="1" applyFont="1" applyFill="1" applyBorder="1" applyAlignment="1">
      <alignment horizontal="right" wrapText="1"/>
    </xf>
    <xf numFmtId="3" fontId="7" fillId="0" borderId="0" xfId="10" applyNumberFormat="1" applyFont="1" applyFill="1" applyBorder="1" applyAlignment="1">
      <alignment horizontal="right" wrapText="1"/>
    </xf>
    <xf numFmtId="0" fontId="7" fillId="0" borderId="0" xfId="10" applyFont="1" applyFill="1" applyBorder="1" applyAlignment="1">
      <alignment horizontal="center"/>
    </xf>
    <xf numFmtId="0" fontId="7" fillId="6" borderId="0" xfId="11" applyFont="1" applyFill="1" applyBorder="1" applyAlignment="1">
      <alignment horizontal="center"/>
    </xf>
    <xf numFmtId="0" fontId="7" fillId="7" borderId="0" xfId="11" applyFont="1" applyFill="1" applyBorder="1" applyAlignment="1">
      <alignment wrapText="1"/>
    </xf>
    <xf numFmtId="14" fontId="7" fillId="7" borderId="0" xfId="11" applyNumberFormat="1" applyFont="1" applyFill="1" applyBorder="1" applyAlignment="1">
      <alignment horizontal="right" wrapText="1"/>
    </xf>
    <xf numFmtId="3" fontId="7" fillId="7" borderId="0" xfId="11" applyNumberFormat="1" applyFont="1" applyFill="1" applyBorder="1" applyAlignment="1">
      <alignment horizontal="right" wrapText="1"/>
    </xf>
    <xf numFmtId="0" fontId="8" fillId="0" borderId="2" xfId="7" applyFont="1" applyFill="1" applyBorder="1" applyAlignment="1">
      <alignment horizontal="center" wrapText="1"/>
    </xf>
    <xf numFmtId="14" fontId="8" fillId="0" borderId="2" xfId="7" applyNumberFormat="1" applyFont="1" applyFill="1" applyBorder="1" applyAlignment="1">
      <alignment horizontal="center" wrapText="1"/>
    </xf>
    <xf numFmtId="20" fontId="8" fillId="0" borderId="2" xfId="7" applyNumberFormat="1" applyFont="1" applyFill="1" applyBorder="1" applyAlignment="1">
      <alignment horizontal="center" wrapText="1"/>
    </xf>
    <xf numFmtId="14" fontId="8" fillId="0" borderId="34" xfId="7" applyNumberFormat="1" applyFont="1" applyFill="1" applyBorder="1" applyAlignment="1">
      <alignment horizontal="center" wrapText="1"/>
    </xf>
    <xf numFmtId="0" fontId="8" fillId="0" borderId="35" xfId="7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14" fontId="0" fillId="0" borderId="0" xfId="0" applyNumberFormat="1" applyBorder="1"/>
    <xf numFmtId="0" fontId="5" fillId="0" borderId="0" xfId="0" applyFont="1" applyBorder="1"/>
    <xf numFmtId="0" fontId="8" fillId="0" borderId="0" xfId="7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20" fontId="0" fillId="0" borderId="0" xfId="0" applyNumberFormat="1" applyBorder="1"/>
    <xf numFmtId="22" fontId="8" fillId="0" borderId="2" xfId="7" applyNumberFormat="1" applyFont="1" applyFill="1" applyBorder="1" applyAlignment="1">
      <alignment horizontal="center" wrapText="1"/>
    </xf>
    <xf numFmtId="20" fontId="5" fillId="0" borderId="0" xfId="0" applyNumberFormat="1" applyFont="1"/>
    <xf numFmtId="0" fontId="0" fillId="0" borderId="0" xfId="0" pivotButton="1"/>
    <xf numFmtId="21" fontId="0" fillId="0" borderId="0" xfId="0" applyNumberFormat="1" applyAlignment="1">
      <alignment horizontal="left"/>
    </xf>
    <xf numFmtId="0" fontId="0" fillId="0" borderId="0" xfId="0" applyNumberFormat="1"/>
    <xf numFmtId="10" fontId="0" fillId="0" borderId="0" xfId="0" applyNumberFormat="1"/>
    <xf numFmtId="1" fontId="0" fillId="0" borderId="0" xfId="0" applyNumberFormat="1"/>
    <xf numFmtId="0" fontId="1" fillId="0" borderId="0" xfId="0" applyFont="1" applyAlignment="1">
      <alignment horizontal="left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1" fillId="0" borderId="7" xfId="0" applyFont="1" applyBorder="1" applyAlignment="1">
      <alignment horizontal="left"/>
    </xf>
    <xf numFmtId="10" fontId="5" fillId="0" borderId="7" xfId="3" applyNumberFormat="1" applyFont="1" applyBorder="1" applyAlignment="1" applyProtection="1">
      <alignment horizontal="center"/>
      <protection locked="0"/>
    </xf>
    <xf numFmtId="0" fontId="1" fillId="0" borderId="8" xfId="0" applyFont="1" applyBorder="1" applyAlignment="1">
      <alignment horizont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2" fontId="5" fillId="0" borderId="7" xfId="0" applyNumberFormat="1" applyFont="1" applyBorder="1" applyAlignment="1" applyProtection="1">
      <alignment horizontal="center"/>
      <protection locked="0"/>
    </xf>
    <xf numFmtId="0" fontId="1" fillId="0" borderId="7" xfId="0" applyFont="1" applyBorder="1" applyAlignment="1">
      <alignment horizontal="center" wrapText="1"/>
    </xf>
    <xf numFmtId="14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0" fontId="0" fillId="0" borderId="18" xfId="3" applyNumberFormat="1" applyFont="1" applyBorder="1" applyAlignment="1">
      <alignment horizontal="center"/>
    </xf>
    <xf numFmtId="10" fontId="0" fillId="0" borderId="20" xfId="3" applyNumberFormat="1" applyFont="1" applyBorder="1" applyAlignment="1">
      <alignment horizontal="center"/>
    </xf>
    <xf numFmtId="10" fontId="0" fillId="0" borderId="19" xfId="3" applyNumberFormat="1" applyFont="1" applyBorder="1" applyAlignment="1">
      <alignment horizontal="center"/>
    </xf>
    <xf numFmtId="10" fontId="1" fillId="0" borderId="18" xfId="3" applyNumberFormat="1" applyFont="1" applyBorder="1" applyAlignment="1">
      <alignment horizontal="center"/>
    </xf>
    <xf numFmtId="10" fontId="1" fillId="0" borderId="20" xfId="3" applyNumberFormat="1" applyFont="1" applyBorder="1" applyAlignment="1">
      <alignment horizontal="center"/>
    </xf>
    <xf numFmtId="10" fontId="1" fillId="0" borderId="19" xfId="3" applyNumberFormat="1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5" fillId="0" borderId="3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22" fontId="0" fillId="0" borderId="0" xfId="0" applyNumberFormat="1"/>
    <xf numFmtId="164" fontId="0" fillId="0" borderId="0" xfId="0" applyNumberFormat="1"/>
    <xf numFmtId="0" fontId="2" fillId="2" borderId="36" xfId="7" applyFont="1" applyFill="1" applyBorder="1" applyAlignment="1">
      <alignment horizontal="center" vertical="center" wrapText="1"/>
    </xf>
    <xf numFmtId="20" fontId="0" fillId="0" borderId="0" xfId="0" applyNumberFormat="1"/>
  </cellXfs>
  <cellStyles count="12">
    <cellStyle name="Hiperlink" xfId="8" builtinId="8"/>
    <cellStyle name="Normal" xfId="0" builtinId="0"/>
    <cellStyle name="Normal 2" xfId="9"/>
    <cellStyle name="Normal_4" xfId="1"/>
    <cellStyle name="Normal_6" xfId="2"/>
    <cellStyle name="Normal_Plan1" xfId="7"/>
    <cellStyle name="Normal_Plan3" xfId="4"/>
    <cellStyle name="Normal_Plan5" xfId="5"/>
    <cellStyle name="Normal_Plan7" xfId="6"/>
    <cellStyle name="Normal_Questão08" xfId="10"/>
    <cellStyle name="Normal_Questão10" xfId="11"/>
    <cellStyle name="Porcentagem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485775</xdr:rowOff>
    </xdr:from>
    <xdr:to>
      <xdr:col>3</xdr:col>
      <xdr:colOff>95250</xdr:colOff>
      <xdr:row>0</xdr:row>
      <xdr:rowOff>1057275</xdr:rowOff>
    </xdr:to>
    <xdr:pic>
      <xdr:nvPicPr>
        <xdr:cNvPr id="2" name="Imagem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85775"/>
          <a:ext cx="277177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3</xdr:row>
          <xdr:rowOff>19050</xdr:rowOff>
        </xdr:from>
        <xdr:to>
          <xdr:col>0</xdr:col>
          <xdr:colOff>1400175</xdr:colOff>
          <xdr:row>4</xdr:row>
          <xdr:rowOff>0</xdr:rowOff>
        </xdr:to>
        <xdr:sp macro="" textlink="">
          <xdr:nvSpPr>
            <xdr:cNvPr id="24577" name="Label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2</xdr:row>
          <xdr:rowOff>180975</xdr:rowOff>
        </xdr:from>
        <xdr:to>
          <xdr:col>2</xdr:col>
          <xdr:colOff>104775</xdr:colOff>
          <xdr:row>4</xdr:row>
          <xdr:rowOff>47625</xdr:rowOff>
        </xdr:to>
        <xdr:sp macro="" textlink="">
          <xdr:nvSpPr>
            <xdr:cNvPr id="24578" name="TextBox1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</xdr:row>
          <xdr:rowOff>0</xdr:rowOff>
        </xdr:from>
        <xdr:to>
          <xdr:col>1</xdr:col>
          <xdr:colOff>9525</xdr:colOff>
          <xdr:row>7</xdr:row>
          <xdr:rowOff>114300</xdr:rowOff>
        </xdr:to>
        <xdr:sp macro="" textlink="">
          <xdr:nvSpPr>
            <xdr:cNvPr id="24579" name="btnFibonacci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20</xdr:row>
          <xdr:rowOff>0</xdr:rowOff>
        </xdr:from>
        <xdr:to>
          <xdr:col>4</xdr:col>
          <xdr:colOff>1990725</xdr:colOff>
          <xdr:row>22</xdr:row>
          <xdr:rowOff>76200</xdr:rowOff>
        </xdr:to>
        <xdr:sp macro="" textlink=""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22</xdr:row>
          <xdr:rowOff>66675</xdr:rowOff>
        </xdr:from>
        <xdr:to>
          <xdr:col>6</xdr:col>
          <xdr:colOff>685800</xdr:colOff>
          <xdr:row>25</xdr:row>
          <xdr:rowOff>66675</xdr:rowOff>
        </xdr:to>
        <xdr:sp macro="" textlink="">
          <xdr:nvSpPr>
            <xdr:cNvPr id="38913" name="CommandButton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S Monitoracao" refreshedDate="42040.496676041665" createdVersion="4" refreshedVersion="4" minRefreshableVersion="3" recordCount="480">
  <cacheSource type="worksheet">
    <worksheetSource ref="A3:I483" sheet="Questão04"/>
  </cacheSource>
  <cacheFields count="10">
    <cacheField name="ServerName" numFmtId="0">
      <sharedItems/>
    </cacheField>
    <cacheField name="syn_ACD" numFmtId="0">
      <sharedItems count="4">
        <s v="LAPA"/>
        <s v="LAPA DAC B"/>
        <s v="AguaBranca"/>
        <s v="Teleperformance"/>
      </sharedItems>
    </cacheField>
    <cacheField name="ROW_DATE" numFmtId="14">
      <sharedItems containsSemiMixedTypes="0" containsNonDate="0" containsDate="1" containsString="0" minDate="2012-07-01T00:00:00" maxDate="2012-07-06T00:00:00" count="5">
        <d v="2012-07-01T00:00:00"/>
        <d v="2012-07-02T00:00:00"/>
        <d v="2012-07-03T00:00:00"/>
        <d v="2012-07-04T00:00:00"/>
        <d v="2012-07-05T00:00:00"/>
      </sharedItems>
    </cacheField>
    <cacheField name="STARTTIME" numFmtId="21">
      <sharedItems containsSemiMixedTypes="0" containsNonDate="0" containsDate="1" containsString="0" minDate="1899-12-30T08:00:00" maxDate="1899-12-30T19:30:00" count="24">
        <d v="1899-12-30T08:00:00"/>
        <d v="1899-12-30T08:30:00"/>
        <d v="1899-12-30T09:00:00"/>
        <d v="1899-12-30T09:30:00"/>
        <d v="1899-12-30T10:00:00"/>
        <d v="1899-12-30T10:30:00"/>
        <d v="1899-12-30T11:00:00"/>
        <d v="1899-12-30T11:30:00"/>
        <d v="1899-12-30T12:00:00"/>
        <d v="1899-12-30T12:30:00"/>
        <d v="1899-12-30T13:00:00"/>
        <d v="1899-12-30T13:30:00"/>
        <d v="1899-12-30T14:00:00"/>
        <d v="1899-12-30T14:30:00"/>
        <d v="1899-12-30T15:00:00"/>
        <d v="1899-12-30T15:30:00"/>
        <d v="1899-12-30T16:00:00"/>
        <d v="1899-12-30T16:30:00"/>
        <d v="1899-12-30T17:00:00"/>
        <d v="1899-12-30T17:30:00"/>
        <d v="1899-12-30T18:00:00"/>
        <d v="1899-12-30T18:30:00"/>
        <d v="1899-12-30T19:00:00"/>
        <d v="1899-12-30T19:30:00"/>
      </sharedItems>
    </cacheField>
    <cacheField name="MAXSTAFFED" numFmtId="3">
      <sharedItems containsSemiMixedTypes="0" containsString="0" containsNumber="1" containsInteger="1" minValue="175" maxValue="1194"/>
    </cacheField>
    <cacheField name="CALLSOFFERED" numFmtId="3">
      <sharedItems containsSemiMixedTypes="0" containsString="0" containsNumber="1" containsInteger="1" minValue="1" maxValue="10580"/>
    </cacheField>
    <cacheField name="ACDCALLS" numFmtId="3">
      <sharedItems containsSemiMixedTypes="0" containsString="0" containsNumber="1" containsInteger="1" minValue="1" maxValue="9774"/>
    </cacheField>
    <cacheField name="ABNCALLS" numFmtId="3">
      <sharedItems containsSemiMixedTypes="0" containsString="0" containsNumber="1" containsInteger="1" minValue="0" maxValue="1857"/>
    </cacheField>
    <cacheField name="OTHERCALLS" numFmtId="3">
      <sharedItems containsSemiMixedTypes="0" containsString="0" containsNumber="1" containsInteger="1" minValue="0" maxValue="275"/>
    </cacheField>
    <cacheField name="Percentual de Chamadas Abandonadas" numFmtId="0" formula="ABNCALLS/CALLSOFFERED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0">
  <r>
    <s v="10.241.8.9"/>
    <x v="0"/>
    <x v="0"/>
    <x v="0"/>
    <n v="721"/>
    <n v="1215"/>
    <n v="1152"/>
    <n v="63"/>
    <n v="0"/>
  </r>
  <r>
    <s v="10.241.8.9"/>
    <x v="0"/>
    <x v="0"/>
    <x v="1"/>
    <n v="764"/>
    <n v="1678"/>
    <n v="1617"/>
    <n v="61"/>
    <n v="0"/>
  </r>
  <r>
    <s v="10.241.8.9"/>
    <x v="0"/>
    <x v="0"/>
    <x v="2"/>
    <n v="256"/>
    <n v="2124"/>
    <n v="2095"/>
    <n v="29"/>
    <n v="0"/>
  </r>
  <r>
    <s v="10.241.8.9"/>
    <x v="0"/>
    <x v="0"/>
    <x v="3"/>
    <n v="257"/>
    <n v="2724"/>
    <n v="2686"/>
    <n v="38"/>
    <n v="0"/>
  </r>
  <r>
    <s v="10.241.8.9"/>
    <x v="0"/>
    <x v="0"/>
    <x v="4"/>
    <n v="244"/>
    <n v="3066"/>
    <n v="2902"/>
    <n v="164"/>
    <n v="0"/>
  </r>
  <r>
    <s v="10.241.8.9"/>
    <x v="0"/>
    <x v="0"/>
    <x v="5"/>
    <n v="247"/>
    <n v="3622"/>
    <n v="3271"/>
    <n v="351"/>
    <n v="0"/>
  </r>
  <r>
    <s v="10.241.8.9"/>
    <x v="0"/>
    <x v="0"/>
    <x v="6"/>
    <n v="255"/>
    <n v="3767"/>
    <n v="3170"/>
    <n v="597"/>
    <n v="0"/>
  </r>
  <r>
    <s v="10.241.8.9"/>
    <x v="0"/>
    <x v="0"/>
    <x v="7"/>
    <n v="262"/>
    <n v="4226"/>
    <n v="3599"/>
    <n v="627"/>
    <n v="0"/>
  </r>
  <r>
    <s v="10.241.8.9"/>
    <x v="0"/>
    <x v="0"/>
    <x v="8"/>
    <n v="248"/>
    <n v="4115"/>
    <n v="3528"/>
    <n v="587"/>
    <n v="0"/>
  </r>
  <r>
    <s v="10.241.8.9"/>
    <x v="0"/>
    <x v="0"/>
    <x v="9"/>
    <n v="210"/>
    <n v="3702"/>
    <n v="3302"/>
    <n v="400"/>
    <n v="0"/>
  </r>
  <r>
    <s v="10.241.8.9"/>
    <x v="0"/>
    <x v="0"/>
    <x v="10"/>
    <n v="203"/>
    <n v="3909"/>
    <n v="3274"/>
    <n v="635"/>
    <n v="0"/>
  </r>
  <r>
    <s v="10.241.8.9"/>
    <x v="0"/>
    <x v="0"/>
    <x v="11"/>
    <n v="203"/>
    <n v="3961"/>
    <n v="3237"/>
    <n v="724"/>
    <n v="0"/>
  </r>
  <r>
    <s v="10.241.8.9"/>
    <x v="0"/>
    <x v="0"/>
    <x v="12"/>
    <n v="208"/>
    <n v="3974"/>
    <n v="3477"/>
    <n v="497"/>
    <n v="0"/>
  </r>
  <r>
    <s v="10.241.8.9"/>
    <x v="0"/>
    <x v="0"/>
    <x v="13"/>
    <n v="218"/>
    <n v="3555"/>
    <n v="3143"/>
    <n v="412"/>
    <n v="0"/>
  </r>
  <r>
    <s v="10.241.8.9"/>
    <x v="0"/>
    <x v="0"/>
    <x v="14"/>
    <n v="209"/>
    <n v="4473"/>
    <n v="3933"/>
    <n v="540"/>
    <n v="0"/>
  </r>
  <r>
    <s v="10.241.8.9"/>
    <x v="0"/>
    <x v="0"/>
    <x v="15"/>
    <n v="216"/>
    <n v="3148"/>
    <n v="2986"/>
    <n v="162"/>
    <n v="0"/>
  </r>
  <r>
    <s v="10.241.8.9"/>
    <x v="0"/>
    <x v="0"/>
    <x v="16"/>
    <n v="209"/>
    <n v="3052"/>
    <n v="2998"/>
    <n v="54"/>
    <n v="0"/>
  </r>
  <r>
    <s v="10.241.8.9"/>
    <x v="0"/>
    <x v="0"/>
    <x v="17"/>
    <n v="192"/>
    <n v="3017"/>
    <n v="2959"/>
    <n v="58"/>
    <n v="0"/>
  </r>
  <r>
    <s v="10.241.8.9"/>
    <x v="0"/>
    <x v="0"/>
    <x v="18"/>
    <n v="175"/>
    <n v="2850"/>
    <n v="2809"/>
    <n v="41"/>
    <n v="0"/>
  </r>
  <r>
    <s v="10.241.8.9"/>
    <x v="0"/>
    <x v="0"/>
    <x v="19"/>
    <n v="194"/>
    <n v="2917"/>
    <n v="2870"/>
    <n v="47"/>
    <n v="0"/>
  </r>
  <r>
    <s v="10.241.8.9"/>
    <x v="0"/>
    <x v="0"/>
    <x v="20"/>
    <n v="196"/>
    <n v="4083"/>
    <n v="3849"/>
    <n v="234"/>
    <n v="0"/>
  </r>
  <r>
    <s v="10.241.8.9"/>
    <x v="0"/>
    <x v="0"/>
    <x v="21"/>
    <n v="188"/>
    <n v="3538"/>
    <n v="3309"/>
    <n v="229"/>
    <n v="0"/>
  </r>
  <r>
    <s v="10.241.8.9"/>
    <x v="0"/>
    <x v="0"/>
    <x v="22"/>
    <n v="217"/>
    <n v="3255"/>
    <n v="2929"/>
    <n v="326"/>
    <n v="0"/>
  </r>
  <r>
    <s v="10.241.8.9"/>
    <x v="0"/>
    <x v="0"/>
    <x v="23"/>
    <n v="216"/>
    <n v="3034"/>
    <n v="2841"/>
    <n v="193"/>
    <n v="0"/>
  </r>
  <r>
    <s v="10.241.8.9"/>
    <x v="0"/>
    <x v="1"/>
    <x v="0"/>
    <n v="223"/>
    <n v="2578"/>
    <n v="2511"/>
    <n v="67"/>
    <n v="0"/>
  </r>
  <r>
    <s v="10.241.8.9"/>
    <x v="0"/>
    <x v="1"/>
    <x v="1"/>
    <n v="307"/>
    <n v="3548"/>
    <n v="3467"/>
    <n v="81"/>
    <n v="0"/>
  </r>
  <r>
    <s v="10.241.8.9"/>
    <x v="0"/>
    <x v="1"/>
    <x v="2"/>
    <n v="345"/>
    <n v="5349"/>
    <n v="5123"/>
    <n v="133"/>
    <n v="93"/>
  </r>
  <r>
    <s v="10.241.8.9"/>
    <x v="0"/>
    <x v="1"/>
    <x v="3"/>
    <n v="330"/>
    <n v="6996"/>
    <n v="6633"/>
    <n v="209"/>
    <n v="154"/>
  </r>
  <r>
    <s v="10.241.8.9"/>
    <x v="0"/>
    <x v="1"/>
    <x v="4"/>
    <n v="323"/>
    <n v="7771"/>
    <n v="7303"/>
    <n v="300"/>
    <n v="168"/>
  </r>
  <r>
    <s v="10.241.8.9"/>
    <x v="0"/>
    <x v="1"/>
    <x v="5"/>
    <n v="321"/>
    <n v="8025"/>
    <n v="7544"/>
    <n v="307"/>
    <n v="174"/>
  </r>
  <r>
    <s v="10.241.8.9"/>
    <x v="0"/>
    <x v="1"/>
    <x v="6"/>
    <n v="301"/>
    <n v="8422"/>
    <n v="7966"/>
    <n v="239"/>
    <n v="217"/>
  </r>
  <r>
    <s v="10.241.8.9"/>
    <x v="0"/>
    <x v="1"/>
    <x v="7"/>
    <n v="298"/>
    <n v="9052"/>
    <n v="8603"/>
    <n v="267"/>
    <n v="182"/>
  </r>
  <r>
    <s v="10.241.8.9"/>
    <x v="0"/>
    <x v="1"/>
    <x v="8"/>
    <n v="287"/>
    <n v="8529"/>
    <n v="8070"/>
    <n v="286"/>
    <n v="173"/>
  </r>
  <r>
    <s v="10.241.8.9"/>
    <x v="0"/>
    <x v="1"/>
    <x v="9"/>
    <n v="339"/>
    <n v="8341"/>
    <n v="7945"/>
    <n v="252"/>
    <n v="144"/>
  </r>
  <r>
    <s v="10.241.8.9"/>
    <x v="0"/>
    <x v="1"/>
    <x v="10"/>
    <n v="296"/>
    <n v="8268"/>
    <n v="7758"/>
    <n v="333"/>
    <n v="177"/>
  </r>
  <r>
    <s v="10.241.8.9"/>
    <x v="0"/>
    <x v="1"/>
    <x v="11"/>
    <n v="312"/>
    <n v="8549"/>
    <n v="8015"/>
    <n v="346"/>
    <n v="188"/>
  </r>
  <r>
    <s v="10.241.8.9"/>
    <x v="0"/>
    <x v="1"/>
    <x v="12"/>
    <n v="360"/>
    <n v="7936"/>
    <n v="7335"/>
    <n v="481"/>
    <n v="120"/>
  </r>
  <r>
    <s v="10.241.8.9"/>
    <x v="0"/>
    <x v="1"/>
    <x v="13"/>
    <n v="334"/>
    <n v="8548"/>
    <n v="7699"/>
    <n v="618"/>
    <n v="231"/>
  </r>
  <r>
    <s v="10.241.8.9"/>
    <x v="0"/>
    <x v="1"/>
    <x v="14"/>
    <n v="282"/>
    <n v="7405"/>
    <n v="6943"/>
    <n v="415"/>
    <n v="47"/>
  </r>
  <r>
    <s v="10.241.8.9"/>
    <x v="0"/>
    <x v="1"/>
    <x v="15"/>
    <n v="351"/>
    <n v="8647"/>
    <n v="8063"/>
    <n v="379"/>
    <n v="205"/>
  </r>
  <r>
    <s v="10.241.8.9"/>
    <x v="0"/>
    <x v="1"/>
    <x v="16"/>
    <n v="329"/>
    <n v="8849"/>
    <n v="8352"/>
    <n v="274"/>
    <n v="223"/>
  </r>
  <r>
    <s v="10.241.8.9"/>
    <x v="0"/>
    <x v="1"/>
    <x v="17"/>
    <n v="342"/>
    <n v="8705"/>
    <n v="8252"/>
    <n v="269"/>
    <n v="184"/>
  </r>
  <r>
    <s v="10.241.8.9"/>
    <x v="0"/>
    <x v="1"/>
    <x v="18"/>
    <n v="404"/>
    <n v="8369"/>
    <n v="7922"/>
    <n v="307"/>
    <n v="140"/>
  </r>
  <r>
    <s v="10.241.8.9"/>
    <x v="0"/>
    <x v="1"/>
    <x v="19"/>
    <n v="358"/>
    <n v="8957"/>
    <n v="8459"/>
    <n v="302"/>
    <n v="196"/>
  </r>
  <r>
    <s v="10.241.8.9"/>
    <x v="0"/>
    <x v="1"/>
    <x v="20"/>
    <n v="354"/>
    <n v="8375"/>
    <n v="7750"/>
    <n v="419"/>
    <n v="206"/>
  </r>
  <r>
    <s v="10.241.8.9"/>
    <x v="0"/>
    <x v="1"/>
    <x v="21"/>
    <n v="354"/>
    <n v="10247"/>
    <n v="8988"/>
    <n v="1056"/>
    <n v="203"/>
  </r>
  <r>
    <s v="10.241.8.9"/>
    <x v="0"/>
    <x v="1"/>
    <x v="22"/>
    <n v="355"/>
    <n v="9008"/>
    <n v="7730"/>
    <n v="1114"/>
    <n v="164"/>
  </r>
  <r>
    <s v="10.241.8.9"/>
    <x v="0"/>
    <x v="1"/>
    <x v="23"/>
    <n v="323"/>
    <n v="8400"/>
    <n v="7672"/>
    <n v="589"/>
    <n v="139"/>
  </r>
  <r>
    <s v="10.241.8.9"/>
    <x v="0"/>
    <x v="2"/>
    <x v="0"/>
    <n v="216"/>
    <n v="2704"/>
    <n v="2601"/>
    <n v="103"/>
    <n v="0"/>
  </r>
  <r>
    <s v="10.241.8.9"/>
    <x v="0"/>
    <x v="2"/>
    <x v="1"/>
    <n v="356"/>
    <n v="3921"/>
    <n v="3849"/>
    <n v="72"/>
    <n v="0"/>
  </r>
  <r>
    <s v="10.241.8.9"/>
    <x v="0"/>
    <x v="2"/>
    <x v="2"/>
    <n v="343"/>
    <n v="6237"/>
    <n v="6000"/>
    <n v="175"/>
    <n v="62"/>
  </r>
  <r>
    <s v="10.241.8.9"/>
    <x v="0"/>
    <x v="2"/>
    <x v="3"/>
    <n v="372"/>
    <n v="7879"/>
    <n v="7323"/>
    <n v="399"/>
    <n v="157"/>
  </r>
  <r>
    <s v="10.241.8.9"/>
    <x v="0"/>
    <x v="2"/>
    <x v="4"/>
    <n v="318"/>
    <n v="8337"/>
    <n v="7804"/>
    <n v="327"/>
    <n v="206"/>
  </r>
  <r>
    <s v="10.241.8.9"/>
    <x v="0"/>
    <x v="2"/>
    <x v="5"/>
    <n v="314"/>
    <n v="8174"/>
    <n v="7682"/>
    <n v="281"/>
    <n v="211"/>
  </r>
  <r>
    <s v="10.241.8.9"/>
    <x v="0"/>
    <x v="2"/>
    <x v="6"/>
    <n v="317"/>
    <n v="8535"/>
    <n v="7728"/>
    <n v="612"/>
    <n v="195"/>
  </r>
  <r>
    <s v="10.241.8.9"/>
    <x v="0"/>
    <x v="2"/>
    <x v="7"/>
    <n v="309"/>
    <n v="9788"/>
    <n v="8902"/>
    <n v="709"/>
    <n v="177"/>
  </r>
  <r>
    <s v="10.241.8.9"/>
    <x v="0"/>
    <x v="2"/>
    <x v="8"/>
    <n v="296"/>
    <n v="8584"/>
    <n v="7842"/>
    <n v="564"/>
    <n v="178"/>
  </r>
  <r>
    <s v="10.241.8.9"/>
    <x v="0"/>
    <x v="2"/>
    <x v="9"/>
    <n v="291"/>
    <n v="8695"/>
    <n v="8015"/>
    <n v="502"/>
    <n v="178"/>
  </r>
  <r>
    <s v="10.241.8.9"/>
    <x v="0"/>
    <x v="2"/>
    <x v="10"/>
    <n v="319"/>
    <n v="8036"/>
    <n v="7307"/>
    <n v="575"/>
    <n v="154"/>
  </r>
  <r>
    <s v="10.241.8.9"/>
    <x v="0"/>
    <x v="2"/>
    <x v="11"/>
    <n v="303"/>
    <n v="8954"/>
    <n v="8262"/>
    <n v="542"/>
    <n v="150"/>
  </r>
  <r>
    <s v="10.241.8.9"/>
    <x v="0"/>
    <x v="2"/>
    <x v="12"/>
    <n v="316"/>
    <n v="8283"/>
    <n v="7616"/>
    <n v="517"/>
    <n v="150"/>
  </r>
  <r>
    <s v="10.241.8.9"/>
    <x v="0"/>
    <x v="2"/>
    <x v="13"/>
    <n v="335"/>
    <n v="8108"/>
    <n v="7484"/>
    <n v="456"/>
    <n v="168"/>
  </r>
  <r>
    <s v="10.241.8.9"/>
    <x v="0"/>
    <x v="2"/>
    <x v="14"/>
    <n v="362"/>
    <n v="7526"/>
    <n v="7069"/>
    <n v="326"/>
    <n v="131"/>
  </r>
  <r>
    <s v="10.241.8.9"/>
    <x v="0"/>
    <x v="2"/>
    <x v="15"/>
    <n v="380"/>
    <n v="8217"/>
    <n v="7552"/>
    <n v="427"/>
    <n v="238"/>
  </r>
  <r>
    <s v="10.241.8.9"/>
    <x v="0"/>
    <x v="2"/>
    <x v="16"/>
    <n v="346"/>
    <n v="8763"/>
    <n v="8125"/>
    <n v="406"/>
    <n v="232"/>
  </r>
  <r>
    <s v="10.241.8.9"/>
    <x v="0"/>
    <x v="2"/>
    <x v="17"/>
    <n v="385"/>
    <n v="8526"/>
    <n v="8018"/>
    <n v="312"/>
    <n v="196"/>
  </r>
  <r>
    <s v="10.241.8.9"/>
    <x v="0"/>
    <x v="2"/>
    <x v="18"/>
    <n v="392"/>
    <n v="8761"/>
    <n v="8190"/>
    <n v="364"/>
    <n v="207"/>
  </r>
  <r>
    <s v="10.241.8.9"/>
    <x v="0"/>
    <x v="2"/>
    <x v="19"/>
    <n v="369"/>
    <n v="10580"/>
    <n v="9774"/>
    <n v="587"/>
    <n v="219"/>
  </r>
  <r>
    <s v="10.241.8.9"/>
    <x v="0"/>
    <x v="2"/>
    <x v="20"/>
    <n v="351"/>
    <n v="8451"/>
    <n v="7727"/>
    <n v="592"/>
    <n v="132"/>
  </r>
  <r>
    <s v="10.241.8.9"/>
    <x v="0"/>
    <x v="2"/>
    <x v="21"/>
    <n v="346"/>
    <n v="8246"/>
    <n v="7689"/>
    <n v="398"/>
    <n v="159"/>
  </r>
  <r>
    <s v="10.241.8.9"/>
    <x v="0"/>
    <x v="2"/>
    <x v="22"/>
    <n v="343"/>
    <n v="7683"/>
    <n v="6951"/>
    <n v="615"/>
    <n v="117"/>
  </r>
  <r>
    <s v="10.241.8.9"/>
    <x v="0"/>
    <x v="2"/>
    <x v="23"/>
    <n v="315"/>
    <n v="7558"/>
    <n v="6681"/>
    <n v="745"/>
    <n v="132"/>
  </r>
  <r>
    <s v="10.241.8.9"/>
    <x v="0"/>
    <x v="3"/>
    <x v="0"/>
    <n v="219"/>
    <n v="2751"/>
    <n v="2676"/>
    <n v="75"/>
    <n v="0"/>
  </r>
  <r>
    <s v="10.241.8.9"/>
    <x v="0"/>
    <x v="3"/>
    <x v="1"/>
    <n v="290"/>
    <n v="3742"/>
    <n v="3651"/>
    <n v="91"/>
    <n v="0"/>
  </r>
  <r>
    <s v="10.241.8.9"/>
    <x v="0"/>
    <x v="3"/>
    <x v="2"/>
    <n v="270"/>
    <n v="5935"/>
    <n v="5545"/>
    <n v="208"/>
    <n v="182"/>
  </r>
  <r>
    <s v="10.241.8.9"/>
    <x v="0"/>
    <x v="3"/>
    <x v="3"/>
    <n v="303"/>
    <n v="7311"/>
    <n v="6618"/>
    <n v="459"/>
    <n v="234"/>
  </r>
  <r>
    <s v="10.241.8.9"/>
    <x v="0"/>
    <x v="3"/>
    <x v="4"/>
    <n v="262"/>
    <n v="7529"/>
    <n v="6951"/>
    <n v="396"/>
    <n v="182"/>
  </r>
  <r>
    <s v="10.241.8.9"/>
    <x v="0"/>
    <x v="3"/>
    <x v="5"/>
    <n v="280"/>
    <n v="7878"/>
    <n v="7328"/>
    <n v="348"/>
    <n v="202"/>
  </r>
  <r>
    <s v="10.241.8.9"/>
    <x v="0"/>
    <x v="3"/>
    <x v="6"/>
    <n v="294"/>
    <n v="8457"/>
    <n v="7743"/>
    <n v="449"/>
    <n v="265"/>
  </r>
  <r>
    <s v="10.241.8.9"/>
    <x v="0"/>
    <x v="3"/>
    <x v="7"/>
    <n v="293"/>
    <n v="9068"/>
    <n v="8381"/>
    <n v="412"/>
    <n v="275"/>
  </r>
  <r>
    <s v="10.241.8.9"/>
    <x v="0"/>
    <x v="3"/>
    <x v="8"/>
    <n v="308"/>
    <n v="8214"/>
    <n v="7645"/>
    <n v="405"/>
    <n v="164"/>
  </r>
  <r>
    <s v="10.241.8.9"/>
    <x v="0"/>
    <x v="3"/>
    <x v="9"/>
    <n v="310"/>
    <n v="8268"/>
    <n v="7564"/>
    <n v="509"/>
    <n v="195"/>
  </r>
  <r>
    <s v="10.241.8.9"/>
    <x v="0"/>
    <x v="3"/>
    <x v="10"/>
    <n v="325"/>
    <n v="9160"/>
    <n v="8463"/>
    <n v="485"/>
    <n v="212"/>
  </r>
  <r>
    <s v="10.241.8.9"/>
    <x v="0"/>
    <x v="3"/>
    <x v="11"/>
    <n v="286"/>
    <n v="8831"/>
    <n v="8147"/>
    <n v="529"/>
    <n v="155"/>
  </r>
  <r>
    <s v="10.241.8.9"/>
    <x v="0"/>
    <x v="3"/>
    <x v="12"/>
    <n v="291"/>
    <n v="8446"/>
    <n v="7656"/>
    <n v="596"/>
    <n v="194"/>
  </r>
  <r>
    <s v="10.241.8.9"/>
    <x v="0"/>
    <x v="3"/>
    <x v="13"/>
    <n v="314"/>
    <n v="8311"/>
    <n v="7483"/>
    <n v="593"/>
    <n v="235"/>
  </r>
  <r>
    <s v="10.241.8.9"/>
    <x v="0"/>
    <x v="3"/>
    <x v="14"/>
    <n v="307"/>
    <n v="7454"/>
    <n v="7105"/>
    <n v="282"/>
    <n v="67"/>
  </r>
  <r>
    <s v="10.241.8.9"/>
    <x v="0"/>
    <x v="3"/>
    <x v="15"/>
    <n v="319"/>
    <n v="8255"/>
    <n v="7703"/>
    <n v="347"/>
    <n v="205"/>
  </r>
  <r>
    <s v="10.241.8.9"/>
    <x v="0"/>
    <x v="3"/>
    <x v="16"/>
    <n v="290"/>
    <n v="8317"/>
    <n v="7611"/>
    <n v="496"/>
    <n v="210"/>
  </r>
  <r>
    <s v="10.241.8.9"/>
    <x v="0"/>
    <x v="3"/>
    <x v="17"/>
    <n v="285"/>
    <n v="8643"/>
    <n v="8046"/>
    <n v="438"/>
    <n v="159"/>
  </r>
  <r>
    <s v="10.241.8.9"/>
    <x v="0"/>
    <x v="3"/>
    <x v="18"/>
    <n v="391"/>
    <n v="8091"/>
    <n v="7515"/>
    <n v="399"/>
    <n v="177"/>
  </r>
  <r>
    <s v="10.241.8.9"/>
    <x v="0"/>
    <x v="3"/>
    <x v="19"/>
    <n v="363"/>
    <n v="7966"/>
    <n v="7484"/>
    <n v="358"/>
    <n v="124"/>
  </r>
  <r>
    <s v="10.241.8.9"/>
    <x v="0"/>
    <x v="3"/>
    <x v="20"/>
    <n v="395"/>
    <n v="7780"/>
    <n v="7248"/>
    <n v="389"/>
    <n v="143"/>
  </r>
  <r>
    <s v="10.241.8.9"/>
    <x v="0"/>
    <x v="3"/>
    <x v="21"/>
    <n v="382"/>
    <n v="7893"/>
    <n v="7238"/>
    <n v="434"/>
    <n v="221"/>
  </r>
  <r>
    <s v="10.241.8.9"/>
    <x v="0"/>
    <x v="3"/>
    <x v="22"/>
    <n v="308"/>
    <n v="7186"/>
    <n v="6454"/>
    <n v="618"/>
    <n v="114"/>
  </r>
  <r>
    <s v="10.241.8.9"/>
    <x v="0"/>
    <x v="3"/>
    <x v="23"/>
    <n v="297"/>
    <n v="7305"/>
    <n v="6483"/>
    <n v="659"/>
    <n v="163"/>
  </r>
  <r>
    <s v="10.241.8.9"/>
    <x v="0"/>
    <x v="4"/>
    <x v="0"/>
    <n v="209"/>
    <n v="2432"/>
    <n v="2375"/>
    <n v="57"/>
    <n v="0"/>
  </r>
  <r>
    <s v="10.241.8.9"/>
    <x v="0"/>
    <x v="4"/>
    <x v="1"/>
    <n v="219"/>
    <n v="3473"/>
    <n v="3407"/>
    <n v="66"/>
    <n v="0"/>
  </r>
  <r>
    <s v="10.241.8.9"/>
    <x v="0"/>
    <x v="4"/>
    <x v="2"/>
    <n v="266"/>
    <n v="5755"/>
    <n v="5513"/>
    <n v="189"/>
    <n v="53"/>
  </r>
  <r>
    <s v="10.241.8.9"/>
    <x v="0"/>
    <x v="4"/>
    <x v="3"/>
    <n v="250"/>
    <n v="7200"/>
    <n v="6634"/>
    <n v="357"/>
    <n v="209"/>
  </r>
  <r>
    <s v="10.241.8.9"/>
    <x v="0"/>
    <x v="4"/>
    <x v="4"/>
    <n v="267"/>
    <n v="7535"/>
    <n v="6924"/>
    <n v="424"/>
    <n v="187"/>
  </r>
  <r>
    <s v="10.241.8.9"/>
    <x v="0"/>
    <x v="4"/>
    <x v="5"/>
    <n v="269"/>
    <n v="7677"/>
    <n v="7265"/>
    <n v="260"/>
    <n v="152"/>
  </r>
  <r>
    <s v="10.241.8.9"/>
    <x v="0"/>
    <x v="4"/>
    <x v="6"/>
    <n v="279"/>
    <n v="8080"/>
    <n v="7502"/>
    <n v="401"/>
    <n v="177"/>
  </r>
  <r>
    <s v="10.241.8.9"/>
    <x v="0"/>
    <x v="4"/>
    <x v="7"/>
    <n v="267"/>
    <n v="8530"/>
    <n v="8026"/>
    <n v="374"/>
    <n v="130"/>
  </r>
  <r>
    <s v="10.241.8.9"/>
    <x v="0"/>
    <x v="4"/>
    <x v="8"/>
    <n v="264"/>
    <n v="7622"/>
    <n v="6976"/>
    <n v="507"/>
    <n v="139"/>
  </r>
  <r>
    <s v="10.241.8.9"/>
    <x v="0"/>
    <x v="4"/>
    <x v="9"/>
    <n v="263"/>
    <n v="7874"/>
    <n v="7216"/>
    <n v="525"/>
    <n v="133"/>
  </r>
  <r>
    <s v="10.241.8.9"/>
    <x v="0"/>
    <x v="4"/>
    <x v="10"/>
    <n v="264"/>
    <n v="7177"/>
    <n v="6809"/>
    <n v="259"/>
    <n v="109"/>
  </r>
  <r>
    <s v="10.241.8.9"/>
    <x v="0"/>
    <x v="4"/>
    <x v="11"/>
    <n v="274"/>
    <n v="8203"/>
    <n v="7747"/>
    <n v="321"/>
    <n v="135"/>
  </r>
  <r>
    <s v="10.241.8.9"/>
    <x v="0"/>
    <x v="4"/>
    <x v="12"/>
    <n v="267"/>
    <n v="7516"/>
    <n v="7073"/>
    <n v="340"/>
    <n v="103"/>
  </r>
  <r>
    <s v="10.241.8.9"/>
    <x v="0"/>
    <x v="4"/>
    <x v="13"/>
    <n v="275"/>
    <n v="7570"/>
    <n v="6954"/>
    <n v="527"/>
    <n v="89"/>
  </r>
  <r>
    <s v="10.241.8.9"/>
    <x v="0"/>
    <x v="4"/>
    <x v="14"/>
    <n v="247"/>
    <n v="7564"/>
    <n v="7062"/>
    <n v="402"/>
    <n v="100"/>
  </r>
  <r>
    <s v="10.241.8.9"/>
    <x v="0"/>
    <x v="4"/>
    <x v="15"/>
    <n v="353"/>
    <n v="7745"/>
    <n v="7142"/>
    <n v="373"/>
    <n v="230"/>
  </r>
  <r>
    <s v="10.241.8.9"/>
    <x v="0"/>
    <x v="4"/>
    <x v="16"/>
    <n v="321"/>
    <n v="7751"/>
    <n v="7236"/>
    <n v="338"/>
    <n v="177"/>
  </r>
  <r>
    <s v="10.241.8.9"/>
    <x v="0"/>
    <x v="4"/>
    <x v="17"/>
    <n v="311"/>
    <n v="7891"/>
    <n v="7339"/>
    <n v="339"/>
    <n v="213"/>
  </r>
  <r>
    <s v="10.241.8.9"/>
    <x v="0"/>
    <x v="4"/>
    <x v="18"/>
    <n v="405"/>
    <n v="7860"/>
    <n v="7298"/>
    <n v="374"/>
    <n v="188"/>
  </r>
  <r>
    <s v="10.241.8.9"/>
    <x v="0"/>
    <x v="4"/>
    <x v="19"/>
    <n v="385"/>
    <n v="7733"/>
    <n v="7168"/>
    <n v="400"/>
    <n v="165"/>
  </r>
  <r>
    <s v="10.241.8.9"/>
    <x v="0"/>
    <x v="4"/>
    <x v="20"/>
    <n v="370"/>
    <n v="7637"/>
    <n v="6993"/>
    <n v="483"/>
    <n v="161"/>
  </r>
  <r>
    <s v="10.241.8.9"/>
    <x v="0"/>
    <x v="4"/>
    <x v="21"/>
    <n v="390"/>
    <n v="7739"/>
    <n v="7166"/>
    <n v="409"/>
    <n v="164"/>
  </r>
  <r>
    <s v="10.241.8.9"/>
    <x v="0"/>
    <x v="4"/>
    <x v="22"/>
    <n v="300"/>
    <n v="7469"/>
    <n v="6835"/>
    <n v="505"/>
    <n v="129"/>
  </r>
  <r>
    <s v="10.241.8.9"/>
    <x v="0"/>
    <x v="4"/>
    <x v="23"/>
    <n v="295"/>
    <n v="7385"/>
    <n v="6799"/>
    <n v="432"/>
    <n v="154"/>
  </r>
  <r>
    <s v="10.241.8.9"/>
    <x v="1"/>
    <x v="0"/>
    <x v="0"/>
    <n v="440"/>
    <n v="128"/>
    <n v="125"/>
    <n v="3"/>
    <n v="0"/>
  </r>
  <r>
    <s v="10.241.8.9"/>
    <x v="1"/>
    <x v="0"/>
    <x v="1"/>
    <n v="633"/>
    <n v="151"/>
    <n v="151"/>
    <n v="0"/>
    <n v="0"/>
  </r>
  <r>
    <s v="10.241.8.9"/>
    <x v="1"/>
    <x v="0"/>
    <x v="2"/>
    <n v="623"/>
    <n v="286"/>
    <n v="283"/>
    <n v="3"/>
    <n v="0"/>
  </r>
  <r>
    <s v="10.241.8.9"/>
    <x v="1"/>
    <x v="0"/>
    <x v="3"/>
    <n v="645"/>
    <n v="383"/>
    <n v="380"/>
    <n v="3"/>
    <n v="0"/>
  </r>
  <r>
    <s v="10.241.8.9"/>
    <x v="1"/>
    <x v="0"/>
    <x v="4"/>
    <n v="586"/>
    <n v="455"/>
    <n v="451"/>
    <n v="4"/>
    <n v="0"/>
  </r>
  <r>
    <s v="10.241.8.9"/>
    <x v="1"/>
    <x v="0"/>
    <x v="5"/>
    <n v="599"/>
    <n v="528"/>
    <n v="522"/>
    <n v="6"/>
    <n v="0"/>
  </r>
  <r>
    <s v="10.241.8.9"/>
    <x v="1"/>
    <x v="0"/>
    <x v="6"/>
    <n v="576"/>
    <n v="568"/>
    <n v="561"/>
    <n v="7"/>
    <n v="0"/>
  </r>
  <r>
    <s v="10.241.8.9"/>
    <x v="1"/>
    <x v="0"/>
    <x v="7"/>
    <n v="510"/>
    <n v="584"/>
    <n v="578"/>
    <n v="6"/>
    <n v="0"/>
  </r>
  <r>
    <s v="10.241.8.9"/>
    <x v="1"/>
    <x v="0"/>
    <x v="8"/>
    <n v="476"/>
    <n v="577"/>
    <n v="571"/>
    <n v="6"/>
    <n v="0"/>
  </r>
  <r>
    <s v="10.241.8.9"/>
    <x v="1"/>
    <x v="0"/>
    <x v="9"/>
    <n v="506"/>
    <n v="507"/>
    <n v="501"/>
    <n v="6"/>
    <n v="0"/>
  </r>
  <r>
    <s v="10.241.8.9"/>
    <x v="1"/>
    <x v="0"/>
    <x v="10"/>
    <n v="521"/>
    <n v="466"/>
    <n v="456"/>
    <n v="10"/>
    <n v="0"/>
  </r>
  <r>
    <s v="10.241.8.9"/>
    <x v="1"/>
    <x v="0"/>
    <x v="11"/>
    <n v="475"/>
    <n v="455"/>
    <n v="455"/>
    <n v="0"/>
    <n v="0"/>
  </r>
  <r>
    <s v="10.241.8.9"/>
    <x v="1"/>
    <x v="0"/>
    <x v="12"/>
    <n v="471"/>
    <n v="503"/>
    <n v="498"/>
    <n v="5"/>
    <n v="0"/>
  </r>
  <r>
    <s v="10.241.8.9"/>
    <x v="1"/>
    <x v="0"/>
    <x v="13"/>
    <n v="458"/>
    <n v="431"/>
    <n v="416"/>
    <n v="15"/>
    <n v="0"/>
  </r>
  <r>
    <s v="10.241.8.9"/>
    <x v="1"/>
    <x v="0"/>
    <x v="14"/>
    <n v="683"/>
    <n v="441"/>
    <n v="434"/>
    <n v="7"/>
    <n v="0"/>
  </r>
  <r>
    <s v="10.241.8.9"/>
    <x v="1"/>
    <x v="0"/>
    <x v="15"/>
    <n v="652"/>
    <n v="422"/>
    <n v="417"/>
    <n v="5"/>
    <n v="0"/>
  </r>
  <r>
    <s v="10.241.8.9"/>
    <x v="1"/>
    <x v="0"/>
    <x v="16"/>
    <n v="603"/>
    <n v="416"/>
    <n v="409"/>
    <n v="7"/>
    <n v="0"/>
  </r>
  <r>
    <s v="10.241.8.9"/>
    <x v="1"/>
    <x v="0"/>
    <x v="17"/>
    <n v="608"/>
    <n v="449"/>
    <n v="438"/>
    <n v="11"/>
    <n v="0"/>
  </r>
  <r>
    <s v="10.241.8.9"/>
    <x v="1"/>
    <x v="0"/>
    <x v="18"/>
    <n v="659"/>
    <n v="412"/>
    <n v="398"/>
    <n v="14"/>
    <n v="0"/>
  </r>
  <r>
    <s v="10.241.8.9"/>
    <x v="1"/>
    <x v="0"/>
    <x v="19"/>
    <n v="731"/>
    <n v="370"/>
    <n v="361"/>
    <n v="9"/>
    <n v="0"/>
  </r>
  <r>
    <s v="10.241.8.9"/>
    <x v="1"/>
    <x v="0"/>
    <x v="20"/>
    <n v="599"/>
    <n v="489"/>
    <n v="488"/>
    <n v="1"/>
    <n v="0"/>
  </r>
  <r>
    <s v="10.241.8.9"/>
    <x v="1"/>
    <x v="0"/>
    <x v="21"/>
    <n v="585"/>
    <n v="451"/>
    <n v="443"/>
    <n v="8"/>
    <n v="0"/>
  </r>
  <r>
    <s v="10.241.8.9"/>
    <x v="1"/>
    <x v="0"/>
    <x v="22"/>
    <n v="581"/>
    <n v="395"/>
    <n v="389"/>
    <n v="6"/>
    <n v="0"/>
  </r>
  <r>
    <s v="10.241.8.9"/>
    <x v="1"/>
    <x v="0"/>
    <x v="23"/>
    <n v="536"/>
    <n v="423"/>
    <n v="419"/>
    <n v="4"/>
    <n v="0"/>
  </r>
  <r>
    <s v="10.241.8.9"/>
    <x v="1"/>
    <x v="1"/>
    <x v="0"/>
    <n v="718"/>
    <n v="3483"/>
    <n v="3417"/>
    <n v="66"/>
    <n v="0"/>
  </r>
  <r>
    <s v="10.241.8.9"/>
    <x v="1"/>
    <x v="1"/>
    <x v="1"/>
    <n v="1078"/>
    <n v="5313"/>
    <n v="5076"/>
    <n v="236"/>
    <n v="1"/>
  </r>
  <r>
    <s v="10.241.8.9"/>
    <x v="1"/>
    <x v="1"/>
    <x v="2"/>
    <n v="1124"/>
    <n v="7418"/>
    <n v="7093"/>
    <n v="324"/>
    <n v="1"/>
  </r>
  <r>
    <s v="10.241.8.9"/>
    <x v="1"/>
    <x v="1"/>
    <x v="3"/>
    <n v="1165"/>
    <n v="8765"/>
    <n v="8436"/>
    <n v="324"/>
    <n v="5"/>
  </r>
  <r>
    <s v="10.241.8.9"/>
    <x v="1"/>
    <x v="1"/>
    <x v="4"/>
    <n v="1140"/>
    <n v="9177"/>
    <n v="8863"/>
    <n v="312"/>
    <n v="2"/>
  </r>
  <r>
    <s v="10.241.8.9"/>
    <x v="1"/>
    <x v="1"/>
    <x v="5"/>
    <n v="1138"/>
    <n v="9653"/>
    <n v="9281"/>
    <n v="369"/>
    <n v="3"/>
  </r>
  <r>
    <s v="10.241.8.9"/>
    <x v="1"/>
    <x v="1"/>
    <x v="6"/>
    <n v="1147"/>
    <n v="9475"/>
    <n v="9072"/>
    <n v="400"/>
    <n v="3"/>
  </r>
  <r>
    <s v="10.241.8.9"/>
    <x v="1"/>
    <x v="1"/>
    <x v="7"/>
    <n v="1153"/>
    <n v="9434"/>
    <n v="9037"/>
    <n v="394"/>
    <n v="3"/>
  </r>
  <r>
    <s v="10.241.8.9"/>
    <x v="1"/>
    <x v="1"/>
    <x v="8"/>
    <n v="1171"/>
    <n v="8577"/>
    <n v="8125"/>
    <n v="452"/>
    <n v="0"/>
  </r>
  <r>
    <s v="10.241.8.9"/>
    <x v="1"/>
    <x v="1"/>
    <x v="9"/>
    <n v="1123"/>
    <n v="8142"/>
    <n v="7679"/>
    <n v="460"/>
    <n v="3"/>
  </r>
  <r>
    <s v="10.241.8.9"/>
    <x v="1"/>
    <x v="1"/>
    <x v="10"/>
    <n v="1115"/>
    <n v="7618"/>
    <n v="7247"/>
    <n v="368"/>
    <n v="3"/>
  </r>
  <r>
    <s v="10.241.8.9"/>
    <x v="1"/>
    <x v="1"/>
    <x v="11"/>
    <n v="1135"/>
    <n v="8084"/>
    <n v="7799"/>
    <n v="284"/>
    <n v="1"/>
  </r>
  <r>
    <s v="10.241.8.9"/>
    <x v="1"/>
    <x v="1"/>
    <x v="12"/>
    <n v="1130"/>
    <n v="8146"/>
    <n v="7826"/>
    <n v="319"/>
    <n v="1"/>
  </r>
  <r>
    <s v="10.241.8.9"/>
    <x v="1"/>
    <x v="1"/>
    <x v="13"/>
    <n v="1174"/>
    <n v="7931"/>
    <n v="7652"/>
    <n v="278"/>
    <n v="1"/>
  </r>
  <r>
    <s v="10.241.8.9"/>
    <x v="1"/>
    <x v="1"/>
    <x v="14"/>
    <n v="1136"/>
    <n v="7930"/>
    <n v="7575"/>
    <n v="352"/>
    <n v="3"/>
  </r>
  <r>
    <s v="10.241.8.9"/>
    <x v="1"/>
    <x v="1"/>
    <x v="15"/>
    <n v="1112"/>
    <n v="7971"/>
    <n v="7695"/>
    <n v="275"/>
    <n v="1"/>
  </r>
  <r>
    <s v="10.241.8.9"/>
    <x v="1"/>
    <x v="1"/>
    <x v="16"/>
    <n v="1134"/>
    <n v="7592"/>
    <n v="7341"/>
    <n v="250"/>
    <n v="1"/>
  </r>
  <r>
    <s v="10.241.8.9"/>
    <x v="1"/>
    <x v="1"/>
    <x v="17"/>
    <n v="1072"/>
    <n v="7703"/>
    <n v="7339"/>
    <n v="363"/>
    <n v="1"/>
  </r>
  <r>
    <s v="10.241.8.9"/>
    <x v="1"/>
    <x v="1"/>
    <x v="18"/>
    <n v="1057"/>
    <n v="7367"/>
    <n v="6974"/>
    <n v="393"/>
    <n v="0"/>
  </r>
  <r>
    <s v="10.241.8.9"/>
    <x v="1"/>
    <x v="1"/>
    <x v="19"/>
    <n v="1088"/>
    <n v="6530"/>
    <n v="6055"/>
    <n v="475"/>
    <n v="0"/>
  </r>
  <r>
    <s v="10.241.8.9"/>
    <x v="1"/>
    <x v="1"/>
    <x v="20"/>
    <n v="969"/>
    <n v="4962"/>
    <n v="4624"/>
    <n v="338"/>
    <n v="0"/>
  </r>
  <r>
    <s v="10.241.8.9"/>
    <x v="1"/>
    <x v="1"/>
    <x v="21"/>
    <n v="814"/>
    <n v="4287"/>
    <n v="4024"/>
    <n v="263"/>
    <n v="0"/>
  </r>
  <r>
    <s v="10.241.8.9"/>
    <x v="1"/>
    <x v="1"/>
    <x v="22"/>
    <n v="836"/>
    <n v="3698"/>
    <n v="3581"/>
    <n v="117"/>
    <n v="0"/>
  </r>
  <r>
    <s v="10.241.8.9"/>
    <x v="1"/>
    <x v="1"/>
    <x v="23"/>
    <n v="767"/>
    <n v="3269"/>
    <n v="3181"/>
    <n v="88"/>
    <n v="0"/>
  </r>
  <r>
    <s v="10.241.8.9"/>
    <x v="1"/>
    <x v="2"/>
    <x v="0"/>
    <n v="698"/>
    <n v="3607"/>
    <n v="3458"/>
    <n v="149"/>
    <n v="0"/>
  </r>
  <r>
    <s v="10.241.8.9"/>
    <x v="1"/>
    <x v="2"/>
    <x v="1"/>
    <n v="928"/>
    <n v="5468"/>
    <n v="5153"/>
    <n v="312"/>
    <n v="3"/>
  </r>
  <r>
    <s v="10.241.8.9"/>
    <x v="1"/>
    <x v="2"/>
    <x v="2"/>
    <n v="1060"/>
    <n v="6965"/>
    <n v="6656"/>
    <n v="306"/>
    <n v="3"/>
  </r>
  <r>
    <s v="10.241.8.9"/>
    <x v="1"/>
    <x v="2"/>
    <x v="3"/>
    <n v="1084"/>
    <n v="8172"/>
    <n v="7914"/>
    <n v="258"/>
    <n v="0"/>
  </r>
  <r>
    <s v="10.241.8.9"/>
    <x v="1"/>
    <x v="2"/>
    <x v="4"/>
    <n v="1088"/>
    <n v="8613"/>
    <n v="8320"/>
    <n v="291"/>
    <n v="2"/>
  </r>
  <r>
    <s v="10.241.8.9"/>
    <x v="1"/>
    <x v="2"/>
    <x v="5"/>
    <n v="1092"/>
    <n v="9199"/>
    <n v="8954"/>
    <n v="239"/>
    <n v="6"/>
  </r>
  <r>
    <s v="10.241.8.9"/>
    <x v="1"/>
    <x v="2"/>
    <x v="6"/>
    <n v="1102"/>
    <n v="8622"/>
    <n v="8396"/>
    <n v="223"/>
    <n v="3"/>
  </r>
  <r>
    <s v="10.241.8.9"/>
    <x v="1"/>
    <x v="2"/>
    <x v="7"/>
    <n v="1115"/>
    <n v="8355"/>
    <n v="8103"/>
    <n v="248"/>
    <n v="4"/>
  </r>
  <r>
    <s v="10.241.8.9"/>
    <x v="1"/>
    <x v="2"/>
    <x v="8"/>
    <n v="1121"/>
    <n v="7746"/>
    <n v="7441"/>
    <n v="303"/>
    <n v="2"/>
  </r>
  <r>
    <s v="10.241.8.9"/>
    <x v="1"/>
    <x v="2"/>
    <x v="9"/>
    <n v="1079"/>
    <n v="7353"/>
    <n v="6984"/>
    <n v="367"/>
    <n v="2"/>
  </r>
  <r>
    <s v="10.241.8.9"/>
    <x v="1"/>
    <x v="2"/>
    <x v="10"/>
    <n v="1084"/>
    <n v="7232"/>
    <n v="6939"/>
    <n v="293"/>
    <n v="0"/>
  </r>
  <r>
    <s v="10.241.8.9"/>
    <x v="1"/>
    <x v="2"/>
    <x v="11"/>
    <n v="1083"/>
    <n v="7466"/>
    <n v="7241"/>
    <n v="225"/>
    <n v="0"/>
  </r>
  <r>
    <s v="10.241.8.9"/>
    <x v="1"/>
    <x v="2"/>
    <x v="12"/>
    <n v="1105"/>
    <n v="7594"/>
    <n v="7336"/>
    <n v="257"/>
    <n v="1"/>
  </r>
  <r>
    <s v="10.241.8.9"/>
    <x v="1"/>
    <x v="2"/>
    <x v="13"/>
    <n v="1139"/>
    <n v="7589"/>
    <n v="7436"/>
    <n v="152"/>
    <n v="1"/>
  </r>
  <r>
    <s v="10.241.8.9"/>
    <x v="1"/>
    <x v="2"/>
    <x v="14"/>
    <n v="1112"/>
    <n v="7261"/>
    <n v="7002"/>
    <n v="258"/>
    <n v="1"/>
  </r>
  <r>
    <s v="10.241.8.9"/>
    <x v="1"/>
    <x v="2"/>
    <x v="15"/>
    <n v="1047"/>
    <n v="7349"/>
    <n v="7058"/>
    <n v="291"/>
    <n v="0"/>
  </r>
  <r>
    <s v="10.241.8.9"/>
    <x v="1"/>
    <x v="2"/>
    <x v="16"/>
    <n v="1006"/>
    <n v="7421"/>
    <n v="7092"/>
    <n v="329"/>
    <n v="0"/>
  </r>
  <r>
    <s v="10.241.8.9"/>
    <x v="1"/>
    <x v="2"/>
    <x v="17"/>
    <n v="980"/>
    <n v="7388"/>
    <n v="6882"/>
    <n v="506"/>
    <n v="0"/>
  </r>
  <r>
    <s v="10.241.8.9"/>
    <x v="1"/>
    <x v="2"/>
    <x v="18"/>
    <n v="1056"/>
    <n v="6827"/>
    <n v="6250"/>
    <n v="576"/>
    <n v="1"/>
  </r>
  <r>
    <s v="10.241.8.9"/>
    <x v="1"/>
    <x v="2"/>
    <x v="19"/>
    <n v="1001"/>
    <n v="6126"/>
    <n v="5537"/>
    <n v="589"/>
    <n v="0"/>
  </r>
  <r>
    <s v="10.241.8.9"/>
    <x v="1"/>
    <x v="2"/>
    <x v="20"/>
    <n v="950"/>
    <n v="4642"/>
    <n v="4219"/>
    <n v="423"/>
    <n v="0"/>
  </r>
  <r>
    <s v="10.241.8.9"/>
    <x v="1"/>
    <x v="2"/>
    <x v="21"/>
    <n v="859"/>
    <n v="3809"/>
    <n v="3492"/>
    <n v="317"/>
    <n v="0"/>
  </r>
  <r>
    <s v="10.241.8.9"/>
    <x v="1"/>
    <x v="2"/>
    <x v="22"/>
    <n v="854"/>
    <n v="3206"/>
    <n v="3042"/>
    <n v="164"/>
    <n v="0"/>
  </r>
  <r>
    <s v="10.241.8.9"/>
    <x v="1"/>
    <x v="2"/>
    <x v="23"/>
    <n v="795"/>
    <n v="2808"/>
    <n v="2740"/>
    <n v="68"/>
    <n v="0"/>
  </r>
  <r>
    <s v="10.241.8.9"/>
    <x v="1"/>
    <x v="3"/>
    <x v="0"/>
    <n v="792"/>
    <n v="3096"/>
    <n v="3046"/>
    <n v="50"/>
    <n v="0"/>
  </r>
  <r>
    <s v="10.241.8.9"/>
    <x v="1"/>
    <x v="3"/>
    <x v="1"/>
    <n v="952"/>
    <n v="4443"/>
    <n v="4290"/>
    <n v="153"/>
    <n v="0"/>
  </r>
  <r>
    <s v="10.241.8.9"/>
    <x v="1"/>
    <x v="3"/>
    <x v="2"/>
    <n v="1047"/>
    <n v="6493"/>
    <n v="6331"/>
    <n v="162"/>
    <n v="0"/>
  </r>
  <r>
    <s v="10.241.8.9"/>
    <x v="1"/>
    <x v="3"/>
    <x v="3"/>
    <n v="1092"/>
    <n v="7600"/>
    <n v="7344"/>
    <n v="256"/>
    <n v="0"/>
  </r>
  <r>
    <s v="10.241.8.9"/>
    <x v="1"/>
    <x v="3"/>
    <x v="4"/>
    <n v="1070"/>
    <n v="8062"/>
    <n v="7767"/>
    <n v="294"/>
    <n v="1"/>
  </r>
  <r>
    <s v="10.241.8.9"/>
    <x v="1"/>
    <x v="3"/>
    <x v="5"/>
    <n v="1099"/>
    <n v="8736"/>
    <n v="8471"/>
    <n v="264"/>
    <n v="1"/>
  </r>
  <r>
    <s v="10.241.8.9"/>
    <x v="1"/>
    <x v="3"/>
    <x v="6"/>
    <n v="1144"/>
    <n v="8024"/>
    <n v="7847"/>
    <n v="175"/>
    <n v="2"/>
  </r>
  <r>
    <s v="10.241.8.9"/>
    <x v="1"/>
    <x v="3"/>
    <x v="7"/>
    <n v="1145"/>
    <n v="7851"/>
    <n v="7688"/>
    <n v="163"/>
    <n v="0"/>
  </r>
  <r>
    <s v="10.241.8.9"/>
    <x v="1"/>
    <x v="3"/>
    <x v="8"/>
    <n v="1134"/>
    <n v="6840"/>
    <n v="6687"/>
    <n v="151"/>
    <n v="2"/>
  </r>
  <r>
    <s v="10.241.8.9"/>
    <x v="1"/>
    <x v="3"/>
    <x v="9"/>
    <n v="1073"/>
    <n v="6017"/>
    <n v="5861"/>
    <n v="156"/>
    <n v="0"/>
  </r>
  <r>
    <s v="10.241.8.9"/>
    <x v="1"/>
    <x v="3"/>
    <x v="10"/>
    <n v="1060"/>
    <n v="6119"/>
    <n v="5996"/>
    <n v="123"/>
    <n v="0"/>
  </r>
  <r>
    <s v="10.241.8.9"/>
    <x v="1"/>
    <x v="3"/>
    <x v="11"/>
    <n v="1084"/>
    <n v="6542"/>
    <n v="6374"/>
    <n v="168"/>
    <n v="0"/>
  </r>
  <r>
    <s v="10.241.8.9"/>
    <x v="1"/>
    <x v="3"/>
    <x v="12"/>
    <n v="1103"/>
    <n v="6362"/>
    <n v="6245"/>
    <n v="116"/>
    <n v="1"/>
  </r>
  <r>
    <s v="10.241.8.9"/>
    <x v="1"/>
    <x v="3"/>
    <x v="13"/>
    <n v="1127"/>
    <n v="6720"/>
    <n v="6560"/>
    <n v="160"/>
    <n v="0"/>
  </r>
  <r>
    <s v="10.241.8.9"/>
    <x v="1"/>
    <x v="3"/>
    <x v="14"/>
    <n v="1111"/>
    <n v="6523"/>
    <n v="6326"/>
    <n v="195"/>
    <n v="2"/>
  </r>
  <r>
    <s v="10.241.8.9"/>
    <x v="1"/>
    <x v="3"/>
    <x v="15"/>
    <n v="1107"/>
    <n v="6462"/>
    <n v="6251"/>
    <n v="211"/>
    <n v="0"/>
  </r>
  <r>
    <s v="10.241.8.9"/>
    <x v="1"/>
    <x v="3"/>
    <x v="16"/>
    <n v="1121"/>
    <n v="6647"/>
    <n v="6447"/>
    <n v="200"/>
    <n v="0"/>
  </r>
  <r>
    <s v="10.241.8.9"/>
    <x v="1"/>
    <x v="3"/>
    <x v="17"/>
    <n v="1126"/>
    <n v="6532"/>
    <n v="6188"/>
    <n v="344"/>
    <n v="0"/>
  </r>
  <r>
    <s v="10.241.8.9"/>
    <x v="1"/>
    <x v="3"/>
    <x v="18"/>
    <n v="1169"/>
    <n v="5904"/>
    <n v="5528"/>
    <n v="376"/>
    <n v="0"/>
  </r>
  <r>
    <s v="10.241.8.9"/>
    <x v="1"/>
    <x v="3"/>
    <x v="19"/>
    <n v="1076"/>
    <n v="4942"/>
    <n v="4579"/>
    <n v="363"/>
    <n v="0"/>
  </r>
  <r>
    <s v="10.241.8.9"/>
    <x v="1"/>
    <x v="3"/>
    <x v="20"/>
    <n v="997"/>
    <n v="3694"/>
    <n v="3480"/>
    <n v="214"/>
    <n v="0"/>
  </r>
  <r>
    <s v="10.241.8.9"/>
    <x v="1"/>
    <x v="3"/>
    <x v="21"/>
    <n v="868"/>
    <n v="3081"/>
    <n v="2938"/>
    <n v="143"/>
    <n v="0"/>
  </r>
  <r>
    <s v="10.241.8.9"/>
    <x v="1"/>
    <x v="3"/>
    <x v="22"/>
    <n v="812"/>
    <n v="2507"/>
    <n v="2465"/>
    <n v="42"/>
    <n v="0"/>
  </r>
  <r>
    <s v="10.241.8.9"/>
    <x v="1"/>
    <x v="3"/>
    <x v="23"/>
    <n v="771"/>
    <n v="2270"/>
    <n v="2242"/>
    <n v="28"/>
    <n v="0"/>
  </r>
  <r>
    <s v="10.241.8.9"/>
    <x v="1"/>
    <x v="4"/>
    <x v="0"/>
    <n v="898"/>
    <n v="2572"/>
    <n v="2541"/>
    <n v="31"/>
    <n v="0"/>
  </r>
  <r>
    <s v="10.241.8.9"/>
    <x v="1"/>
    <x v="4"/>
    <x v="1"/>
    <n v="978"/>
    <n v="3836"/>
    <n v="3744"/>
    <n v="92"/>
    <n v="0"/>
  </r>
  <r>
    <s v="10.241.8.9"/>
    <x v="1"/>
    <x v="4"/>
    <x v="2"/>
    <n v="1055"/>
    <n v="5769"/>
    <n v="5616"/>
    <n v="153"/>
    <n v="0"/>
  </r>
  <r>
    <s v="10.241.8.9"/>
    <x v="1"/>
    <x v="4"/>
    <x v="3"/>
    <n v="1117"/>
    <n v="6705"/>
    <n v="6506"/>
    <n v="197"/>
    <n v="2"/>
  </r>
  <r>
    <s v="10.241.8.9"/>
    <x v="1"/>
    <x v="4"/>
    <x v="4"/>
    <n v="1138"/>
    <n v="7717"/>
    <n v="7516"/>
    <n v="201"/>
    <n v="0"/>
  </r>
  <r>
    <s v="10.241.8.9"/>
    <x v="1"/>
    <x v="4"/>
    <x v="5"/>
    <n v="1143"/>
    <n v="7642"/>
    <n v="7474"/>
    <n v="167"/>
    <n v="1"/>
  </r>
  <r>
    <s v="10.241.8.9"/>
    <x v="1"/>
    <x v="4"/>
    <x v="6"/>
    <n v="1174"/>
    <n v="7341"/>
    <n v="7173"/>
    <n v="167"/>
    <n v="1"/>
  </r>
  <r>
    <s v="10.241.8.9"/>
    <x v="1"/>
    <x v="4"/>
    <x v="7"/>
    <n v="1191"/>
    <n v="7309"/>
    <n v="7174"/>
    <n v="135"/>
    <n v="0"/>
  </r>
  <r>
    <s v="10.241.8.9"/>
    <x v="1"/>
    <x v="4"/>
    <x v="8"/>
    <n v="1194"/>
    <n v="6495"/>
    <n v="6380"/>
    <n v="115"/>
    <n v="0"/>
  </r>
  <r>
    <s v="10.241.8.9"/>
    <x v="1"/>
    <x v="4"/>
    <x v="9"/>
    <n v="1148"/>
    <n v="5899"/>
    <n v="5825"/>
    <n v="74"/>
    <n v="0"/>
  </r>
  <r>
    <s v="10.241.8.9"/>
    <x v="1"/>
    <x v="4"/>
    <x v="10"/>
    <n v="1152"/>
    <n v="5576"/>
    <n v="5494"/>
    <n v="82"/>
    <n v="0"/>
  </r>
  <r>
    <s v="10.241.8.9"/>
    <x v="1"/>
    <x v="4"/>
    <x v="11"/>
    <n v="1171"/>
    <n v="5874"/>
    <n v="5782"/>
    <n v="89"/>
    <n v="3"/>
  </r>
  <r>
    <s v="10.241.8.9"/>
    <x v="1"/>
    <x v="4"/>
    <x v="12"/>
    <n v="1145"/>
    <n v="6394"/>
    <n v="6250"/>
    <n v="144"/>
    <n v="0"/>
  </r>
  <r>
    <s v="10.241.8.9"/>
    <x v="1"/>
    <x v="4"/>
    <x v="13"/>
    <n v="1159"/>
    <n v="6362"/>
    <n v="6187"/>
    <n v="175"/>
    <n v="0"/>
  </r>
  <r>
    <s v="10.241.8.9"/>
    <x v="1"/>
    <x v="4"/>
    <x v="14"/>
    <n v="1119"/>
    <n v="6219"/>
    <n v="6055"/>
    <n v="163"/>
    <n v="1"/>
  </r>
  <r>
    <s v="10.241.8.9"/>
    <x v="1"/>
    <x v="4"/>
    <x v="15"/>
    <n v="1112"/>
    <n v="6003"/>
    <n v="5814"/>
    <n v="189"/>
    <n v="0"/>
  </r>
  <r>
    <s v="10.241.8.9"/>
    <x v="1"/>
    <x v="4"/>
    <x v="16"/>
    <n v="1092"/>
    <n v="6079"/>
    <n v="5896"/>
    <n v="183"/>
    <n v="0"/>
  </r>
  <r>
    <s v="10.241.8.9"/>
    <x v="1"/>
    <x v="4"/>
    <x v="17"/>
    <n v="1159"/>
    <n v="6041"/>
    <n v="5810"/>
    <n v="228"/>
    <n v="3"/>
  </r>
  <r>
    <s v="10.241.8.9"/>
    <x v="1"/>
    <x v="4"/>
    <x v="18"/>
    <n v="1120"/>
    <n v="5722"/>
    <n v="5350"/>
    <n v="372"/>
    <n v="0"/>
  </r>
  <r>
    <s v="10.241.8.9"/>
    <x v="1"/>
    <x v="4"/>
    <x v="19"/>
    <n v="1091"/>
    <n v="4657"/>
    <n v="4300"/>
    <n v="357"/>
    <n v="0"/>
  </r>
  <r>
    <s v="10.241.8.9"/>
    <x v="1"/>
    <x v="4"/>
    <x v="20"/>
    <n v="1004"/>
    <n v="3655"/>
    <n v="3460"/>
    <n v="195"/>
    <n v="0"/>
  </r>
  <r>
    <s v="10.241.8.9"/>
    <x v="1"/>
    <x v="4"/>
    <x v="21"/>
    <n v="824"/>
    <n v="2965"/>
    <n v="2870"/>
    <n v="92"/>
    <n v="3"/>
  </r>
  <r>
    <s v="10.241.8.9"/>
    <x v="1"/>
    <x v="4"/>
    <x v="22"/>
    <n v="800"/>
    <n v="2598"/>
    <n v="2567"/>
    <n v="29"/>
    <n v="2"/>
  </r>
  <r>
    <s v="10.241.8.9"/>
    <x v="1"/>
    <x v="4"/>
    <x v="23"/>
    <n v="758"/>
    <n v="2154"/>
    <n v="2122"/>
    <n v="30"/>
    <n v="2"/>
  </r>
  <r>
    <s v="10.244.148.9"/>
    <x v="2"/>
    <x v="0"/>
    <x v="0"/>
    <n v="247"/>
    <n v="217"/>
    <n v="195"/>
    <n v="21"/>
    <n v="1"/>
  </r>
  <r>
    <s v="10.244.148.9"/>
    <x v="2"/>
    <x v="0"/>
    <x v="1"/>
    <n v="266"/>
    <n v="266"/>
    <n v="254"/>
    <n v="10"/>
    <n v="2"/>
  </r>
  <r>
    <s v="10.244.148.9"/>
    <x v="2"/>
    <x v="0"/>
    <x v="2"/>
    <n v="244"/>
    <n v="392"/>
    <n v="379"/>
    <n v="11"/>
    <n v="2"/>
  </r>
  <r>
    <s v="10.244.148.9"/>
    <x v="2"/>
    <x v="0"/>
    <x v="3"/>
    <n v="247"/>
    <n v="669"/>
    <n v="624"/>
    <n v="42"/>
    <n v="3"/>
  </r>
  <r>
    <s v="10.244.148.9"/>
    <x v="2"/>
    <x v="0"/>
    <x v="4"/>
    <n v="258"/>
    <n v="869"/>
    <n v="795"/>
    <n v="69"/>
    <n v="5"/>
  </r>
  <r>
    <s v="10.244.148.9"/>
    <x v="2"/>
    <x v="0"/>
    <x v="5"/>
    <n v="263"/>
    <n v="992"/>
    <n v="865"/>
    <n v="127"/>
    <n v="0"/>
  </r>
  <r>
    <s v="10.244.148.9"/>
    <x v="2"/>
    <x v="0"/>
    <x v="6"/>
    <n v="266"/>
    <n v="1074"/>
    <n v="971"/>
    <n v="99"/>
    <n v="4"/>
  </r>
  <r>
    <s v="10.244.148.9"/>
    <x v="2"/>
    <x v="0"/>
    <x v="7"/>
    <n v="264"/>
    <n v="1109"/>
    <n v="973"/>
    <n v="135"/>
    <n v="1"/>
  </r>
  <r>
    <s v="10.244.148.9"/>
    <x v="2"/>
    <x v="0"/>
    <x v="8"/>
    <n v="278"/>
    <n v="1033"/>
    <n v="905"/>
    <n v="128"/>
    <n v="0"/>
  </r>
  <r>
    <s v="10.244.148.9"/>
    <x v="2"/>
    <x v="0"/>
    <x v="9"/>
    <n v="256"/>
    <n v="935"/>
    <n v="796"/>
    <n v="138"/>
    <n v="1"/>
  </r>
  <r>
    <s v="10.244.148.9"/>
    <x v="2"/>
    <x v="0"/>
    <x v="10"/>
    <n v="253"/>
    <n v="983"/>
    <n v="854"/>
    <n v="126"/>
    <n v="3"/>
  </r>
  <r>
    <s v="10.244.148.9"/>
    <x v="2"/>
    <x v="0"/>
    <x v="11"/>
    <n v="269"/>
    <n v="1035"/>
    <n v="879"/>
    <n v="152"/>
    <n v="4"/>
  </r>
  <r>
    <s v="10.244.148.9"/>
    <x v="2"/>
    <x v="0"/>
    <x v="12"/>
    <n v="271"/>
    <n v="962"/>
    <n v="800"/>
    <n v="157"/>
    <n v="5"/>
  </r>
  <r>
    <s v="10.244.148.9"/>
    <x v="2"/>
    <x v="0"/>
    <x v="13"/>
    <n v="316"/>
    <n v="905"/>
    <n v="718"/>
    <n v="177"/>
    <n v="10"/>
  </r>
  <r>
    <s v="10.244.148.9"/>
    <x v="2"/>
    <x v="0"/>
    <x v="14"/>
    <n v="303"/>
    <n v="959"/>
    <n v="809"/>
    <n v="146"/>
    <n v="4"/>
  </r>
  <r>
    <s v="10.244.148.9"/>
    <x v="2"/>
    <x v="0"/>
    <x v="15"/>
    <n v="224"/>
    <n v="917"/>
    <n v="796"/>
    <n v="118"/>
    <n v="3"/>
  </r>
  <r>
    <s v="10.244.148.9"/>
    <x v="2"/>
    <x v="0"/>
    <x v="16"/>
    <n v="208"/>
    <n v="880"/>
    <n v="773"/>
    <n v="106"/>
    <n v="1"/>
  </r>
  <r>
    <s v="10.244.148.9"/>
    <x v="2"/>
    <x v="0"/>
    <x v="17"/>
    <n v="194"/>
    <n v="957"/>
    <n v="842"/>
    <n v="115"/>
    <n v="0"/>
  </r>
  <r>
    <s v="10.244.148.9"/>
    <x v="2"/>
    <x v="0"/>
    <x v="18"/>
    <n v="197"/>
    <n v="862"/>
    <n v="776"/>
    <n v="84"/>
    <n v="2"/>
  </r>
  <r>
    <s v="10.244.148.9"/>
    <x v="2"/>
    <x v="0"/>
    <x v="19"/>
    <n v="199"/>
    <n v="835"/>
    <n v="779"/>
    <n v="56"/>
    <n v="0"/>
  </r>
  <r>
    <s v="10.244.148.9"/>
    <x v="2"/>
    <x v="0"/>
    <x v="20"/>
    <n v="205"/>
    <n v="1034"/>
    <n v="922"/>
    <n v="108"/>
    <n v="4"/>
  </r>
  <r>
    <s v="10.244.148.9"/>
    <x v="2"/>
    <x v="0"/>
    <x v="21"/>
    <n v="192"/>
    <n v="1002"/>
    <n v="914"/>
    <n v="85"/>
    <n v="3"/>
  </r>
  <r>
    <s v="10.244.148.9"/>
    <x v="2"/>
    <x v="0"/>
    <x v="22"/>
    <n v="190"/>
    <n v="927"/>
    <n v="809"/>
    <n v="116"/>
    <n v="2"/>
  </r>
  <r>
    <s v="10.244.148.9"/>
    <x v="2"/>
    <x v="0"/>
    <x v="23"/>
    <n v="190"/>
    <n v="924"/>
    <n v="814"/>
    <n v="108"/>
    <n v="2"/>
  </r>
  <r>
    <s v="10.244.148.9"/>
    <x v="2"/>
    <x v="1"/>
    <x v="0"/>
    <n v="439"/>
    <n v="1149"/>
    <n v="954"/>
    <n v="192"/>
    <n v="3"/>
  </r>
  <r>
    <s v="10.244.148.9"/>
    <x v="2"/>
    <x v="1"/>
    <x v="1"/>
    <n v="476"/>
    <n v="1773"/>
    <n v="1681"/>
    <n v="83"/>
    <n v="9"/>
  </r>
  <r>
    <s v="10.244.148.9"/>
    <x v="2"/>
    <x v="1"/>
    <x v="2"/>
    <n v="634"/>
    <n v="3462"/>
    <n v="3133"/>
    <n v="305"/>
    <n v="24"/>
  </r>
  <r>
    <s v="10.244.148.9"/>
    <x v="2"/>
    <x v="1"/>
    <x v="3"/>
    <n v="661"/>
    <n v="4041"/>
    <n v="3604"/>
    <n v="413"/>
    <n v="24"/>
  </r>
  <r>
    <s v="10.244.148.9"/>
    <x v="2"/>
    <x v="1"/>
    <x v="4"/>
    <n v="638"/>
    <n v="4391"/>
    <n v="3874"/>
    <n v="480"/>
    <n v="37"/>
  </r>
  <r>
    <s v="10.244.148.9"/>
    <x v="2"/>
    <x v="1"/>
    <x v="5"/>
    <n v="654"/>
    <n v="4719"/>
    <n v="4240"/>
    <n v="449"/>
    <n v="30"/>
  </r>
  <r>
    <s v="10.244.148.9"/>
    <x v="2"/>
    <x v="1"/>
    <x v="6"/>
    <n v="661"/>
    <n v="4964"/>
    <n v="4404"/>
    <n v="520"/>
    <n v="40"/>
  </r>
  <r>
    <s v="10.244.148.9"/>
    <x v="2"/>
    <x v="1"/>
    <x v="7"/>
    <n v="669"/>
    <n v="4872"/>
    <n v="4234"/>
    <n v="610"/>
    <n v="28"/>
  </r>
  <r>
    <s v="10.244.148.9"/>
    <x v="2"/>
    <x v="1"/>
    <x v="8"/>
    <n v="690"/>
    <n v="4378"/>
    <n v="3802"/>
    <n v="551"/>
    <n v="25"/>
  </r>
  <r>
    <s v="10.244.148.9"/>
    <x v="2"/>
    <x v="1"/>
    <x v="9"/>
    <n v="653"/>
    <n v="4200"/>
    <n v="3625"/>
    <n v="540"/>
    <n v="35"/>
  </r>
  <r>
    <s v="10.244.148.9"/>
    <x v="2"/>
    <x v="1"/>
    <x v="10"/>
    <n v="636"/>
    <n v="3423"/>
    <n v="2997"/>
    <n v="398"/>
    <n v="28"/>
  </r>
  <r>
    <s v="10.244.148.9"/>
    <x v="2"/>
    <x v="1"/>
    <x v="11"/>
    <n v="642"/>
    <n v="4009"/>
    <n v="3334"/>
    <n v="646"/>
    <n v="29"/>
  </r>
  <r>
    <s v="10.244.148.9"/>
    <x v="2"/>
    <x v="1"/>
    <x v="12"/>
    <n v="668"/>
    <n v="5104"/>
    <n v="4183"/>
    <n v="892"/>
    <n v="29"/>
  </r>
  <r>
    <s v="10.244.148.9"/>
    <x v="2"/>
    <x v="1"/>
    <x v="13"/>
    <n v="675"/>
    <n v="5228"/>
    <n v="4346"/>
    <n v="838"/>
    <n v="44"/>
  </r>
  <r>
    <s v="10.244.148.9"/>
    <x v="2"/>
    <x v="1"/>
    <x v="14"/>
    <n v="666"/>
    <n v="4242"/>
    <n v="3456"/>
    <n v="747"/>
    <n v="39"/>
  </r>
  <r>
    <s v="10.244.148.9"/>
    <x v="2"/>
    <x v="1"/>
    <x v="15"/>
    <n v="652"/>
    <n v="5083"/>
    <n v="4276"/>
    <n v="787"/>
    <n v="20"/>
  </r>
  <r>
    <s v="10.244.148.9"/>
    <x v="2"/>
    <x v="1"/>
    <x v="16"/>
    <n v="625"/>
    <n v="5939"/>
    <n v="4600"/>
    <n v="1319"/>
    <n v="20"/>
  </r>
  <r>
    <s v="10.244.148.9"/>
    <x v="2"/>
    <x v="1"/>
    <x v="17"/>
    <n v="614"/>
    <n v="6178"/>
    <n v="4798"/>
    <n v="1351"/>
    <n v="29"/>
  </r>
  <r>
    <s v="10.244.148.9"/>
    <x v="2"/>
    <x v="1"/>
    <x v="18"/>
    <n v="576"/>
    <n v="5518"/>
    <n v="4408"/>
    <n v="1073"/>
    <n v="37"/>
  </r>
  <r>
    <s v="10.244.148.9"/>
    <x v="2"/>
    <x v="1"/>
    <x v="19"/>
    <n v="537"/>
    <n v="6549"/>
    <n v="4652"/>
    <n v="1857"/>
    <n v="40"/>
  </r>
  <r>
    <s v="10.244.148.9"/>
    <x v="2"/>
    <x v="1"/>
    <x v="20"/>
    <n v="432"/>
    <n v="3695"/>
    <n v="3075"/>
    <n v="571"/>
    <n v="49"/>
  </r>
  <r>
    <s v="10.244.148.9"/>
    <x v="2"/>
    <x v="1"/>
    <x v="21"/>
    <n v="415"/>
    <n v="4508"/>
    <n v="3424"/>
    <n v="1038"/>
    <n v="46"/>
  </r>
  <r>
    <s v="10.244.148.9"/>
    <x v="2"/>
    <x v="1"/>
    <x v="22"/>
    <n v="459"/>
    <n v="4536"/>
    <n v="3586"/>
    <n v="922"/>
    <n v="28"/>
  </r>
  <r>
    <s v="10.244.148.9"/>
    <x v="2"/>
    <x v="1"/>
    <x v="23"/>
    <n v="446"/>
    <n v="4017"/>
    <n v="3295"/>
    <n v="712"/>
    <n v="10"/>
  </r>
  <r>
    <s v="10.244.148.9"/>
    <x v="2"/>
    <x v="2"/>
    <x v="0"/>
    <n v="437"/>
    <n v="1165"/>
    <n v="1098"/>
    <n v="64"/>
    <n v="3"/>
  </r>
  <r>
    <s v="10.244.148.9"/>
    <x v="2"/>
    <x v="2"/>
    <x v="1"/>
    <n v="503"/>
    <n v="1898"/>
    <n v="1747"/>
    <n v="130"/>
    <n v="21"/>
  </r>
  <r>
    <s v="10.244.148.9"/>
    <x v="2"/>
    <x v="2"/>
    <x v="2"/>
    <n v="634"/>
    <n v="3677"/>
    <n v="3283"/>
    <n v="364"/>
    <n v="30"/>
  </r>
  <r>
    <s v="10.244.148.9"/>
    <x v="2"/>
    <x v="2"/>
    <x v="3"/>
    <n v="663"/>
    <n v="4440"/>
    <n v="3997"/>
    <n v="404"/>
    <n v="39"/>
  </r>
  <r>
    <s v="10.244.148.9"/>
    <x v="2"/>
    <x v="2"/>
    <x v="4"/>
    <n v="651"/>
    <n v="4405"/>
    <n v="3879"/>
    <n v="487"/>
    <n v="39"/>
  </r>
  <r>
    <s v="10.244.148.9"/>
    <x v="2"/>
    <x v="2"/>
    <x v="5"/>
    <n v="638"/>
    <n v="4988"/>
    <n v="4402"/>
    <n v="524"/>
    <n v="62"/>
  </r>
  <r>
    <s v="10.244.148.9"/>
    <x v="2"/>
    <x v="2"/>
    <x v="6"/>
    <n v="647"/>
    <n v="4733"/>
    <n v="4208"/>
    <n v="495"/>
    <n v="30"/>
  </r>
  <r>
    <s v="10.244.148.9"/>
    <x v="2"/>
    <x v="2"/>
    <x v="7"/>
    <n v="705"/>
    <n v="4786"/>
    <n v="4200"/>
    <n v="535"/>
    <n v="51"/>
  </r>
  <r>
    <s v="10.244.148.9"/>
    <x v="2"/>
    <x v="2"/>
    <x v="8"/>
    <n v="690"/>
    <n v="4346"/>
    <n v="3810"/>
    <n v="496"/>
    <n v="40"/>
  </r>
  <r>
    <s v="10.244.148.9"/>
    <x v="2"/>
    <x v="2"/>
    <x v="9"/>
    <n v="648"/>
    <n v="4235"/>
    <n v="3604"/>
    <n v="595"/>
    <n v="36"/>
  </r>
  <r>
    <s v="10.244.148.9"/>
    <x v="2"/>
    <x v="2"/>
    <x v="10"/>
    <n v="647"/>
    <n v="4348"/>
    <n v="3656"/>
    <n v="660"/>
    <n v="32"/>
  </r>
  <r>
    <s v="10.244.148.9"/>
    <x v="2"/>
    <x v="2"/>
    <x v="11"/>
    <n v="659"/>
    <n v="4969"/>
    <n v="4012"/>
    <n v="927"/>
    <n v="30"/>
  </r>
  <r>
    <s v="10.244.148.9"/>
    <x v="2"/>
    <x v="2"/>
    <x v="12"/>
    <n v="695"/>
    <n v="6212"/>
    <n v="4831"/>
    <n v="1339"/>
    <n v="42"/>
  </r>
  <r>
    <s v="10.244.148.9"/>
    <x v="2"/>
    <x v="2"/>
    <x v="13"/>
    <n v="673"/>
    <n v="6094"/>
    <n v="4931"/>
    <n v="1125"/>
    <n v="38"/>
  </r>
  <r>
    <s v="10.244.148.9"/>
    <x v="2"/>
    <x v="2"/>
    <x v="14"/>
    <n v="682"/>
    <n v="4489"/>
    <n v="3812"/>
    <n v="637"/>
    <n v="40"/>
  </r>
  <r>
    <s v="10.244.148.9"/>
    <x v="2"/>
    <x v="2"/>
    <x v="15"/>
    <n v="627"/>
    <n v="5780"/>
    <n v="4599"/>
    <n v="1158"/>
    <n v="23"/>
  </r>
  <r>
    <s v="10.244.148.9"/>
    <x v="2"/>
    <x v="2"/>
    <x v="16"/>
    <n v="594"/>
    <n v="5990"/>
    <n v="4610"/>
    <n v="1327"/>
    <n v="53"/>
  </r>
  <r>
    <s v="10.244.148.9"/>
    <x v="2"/>
    <x v="2"/>
    <x v="17"/>
    <n v="585"/>
    <n v="5568"/>
    <n v="4498"/>
    <n v="1012"/>
    <n v="58"/>
  </r>
  <r>
    <s v="10.244.148.9"/>
    <x v="2"/>
    <x v="2"/>
    <x v="18"/>
    <n v="559"/>
    <n v="4873"/>
    <n v="4060"/>
    <n v="770"/>
    <n v="43"/>
  </r>
  <r>
    <s v="10.244.148.9"/>
    <x v="2"/>
    <x v="2"/>
    <x v="19"/>
    <n v="549"/>
    <n v="4421"/>
    <n v="3813"/>
    <n v="572"/>
    <n v="36"/>
  </r>
  <r>
    <s v="10.244.148.9"/>
    <x v="2"/>
    <x v="2"/>
    <x v="20"/>
    <n v="457"/>
    <n v="4453"/>
    <n v="3707"/>
    <n v="705"/>
    <n v="41"/>
  </r>
  <r>
    <s v="10.244.148.9"/>
    <x v="2"/>
    <x v="2"/>
    <x v="21"/>
    <n v="427"/>
    <n v="4692"/>
    <n v="3778"/>
    <n v="881"/>
    <n v="33"/>
  </r>
  <r>
    <s v="10.244.148.9"/>
    <x v="2"/>
    <x v="2"/>
    <x v="22"/>
    <n v="444"/>
    <n v="3751"/>
    <n v="3208"/>
    <n v="525"/>
    <n v="18"/>
  </r>
  <r>
    <s v="10.244.148.9"/>
    <x v="2"/>
    <x v="2"/>
    <x v="23"/>
    <n v="447"/>
    <n v="4241"/>
    <n v="3446"/>
    <n v="785"/>
    <n v="10"/>
  </r>
  <r>
    <s v="10.244.148.9"/>
    <x v="2"/>
    <x v="3"/>
    <x v="0"/>
    <n v="473"/>
    <n v="1109"/>
    <n v="1048"/>
    <n v="54"/>
    <n v="7"/>
  </r>
  <r>
    <s v="10.244.148.9"/>
    <x v="2"/>
    <x v="3"/>
    <x v="1"/>
    <n v="505"/>
    <n v="1881"/>
    <n v="1676"/>
    <n v="193"/>
    <n v="12"/>
  </r>
  <r>
    <s v="10.244.148.9"/>
    <x v="2"/>
    <x v="3"/>
    <x v="2"/>
    <n v="654"/>
    <n v="3837"/>
    <n v="3428"/>
    <n v="384"/>
    <n v="25"/>
  </r>
  <r>
    <s v="10.244.148.9"/>
    <x v="2"/>
    <x v="3"/>
    <x v="3"/>
    <n v="621"/>
    <n v="4660"/>
    <n v="4131"/>
    <n v="490"/>
    <n v="39"/>
  </r>
  <r>
    <s v="10.244.148.9"/>
    <x v="2"/>
    <x v="3"/>
    <x v="4"/>
    <n v="646"/>
    <n v="4587"/>
    <n v="3993"/>
    <n v="557"/>
    <n v="37"/>
  </r>
  <r>
    <s v="10.244.148.9"/>
    <x v="2"/>
    <x v="3"/>
    <x v="5"/>
    <n v="634"/>
    <n v="5014"/>
    <n v="4388"/>
    <n v="581"/>
    <n v="45"/>
  </r>
  <r>
    <s v="10.244.148.9"/>
    <x v="2"/>
    <x v="3"/>
    <x v="6"/>
    <n v="630"/>
    <n v="5179"/>
    <n v="4435"/>
    <n v="684"/>
    <n v="60"/>
  </r>
  <r>
    <s v="10.244.148.9"/>
    <x v="2"/>
    <x v="3"/>
    <x v="7"/>
    <n v="633"/>
    <n v="4954"/>
    <n v="4296"/>
    <n v="618"/>
    <n v="40"/>
  </r>
  <r>
    <s v="10.244.148.9"/>
    <x v="2"/>
    <x v="3"/>
    <x v="8"/>
    <n v="672"/>
    <n v="4499"/>
    <n v="3972"/>
    <n v="494"/>
    <n v="33"/>
  </r>
  <r>
    <s v="10.244.148.9"/>
    <x v="2"/>
    <x v="3"/>
    <x v="9"/>
    <n v="653"/>
    <n v="4380"/>
    <n v="3710"/>
    <n v="645"/>
    <n v="25"/>
  </r>
  <r>
    <s v="10.244.148.9"/>
    <x v="2"/>
    <x v="3"/>
    <x v="10"/>
    <n v="653"/>
    <n v="4697"/>
    <n v="3951"/>
    <n v="723"/>
    <n v="23"/>
  </r>
  <r>
    <s v="10.244.148.9"/>
    <x v="2"/>
    <x v="3"/>
    <x v="11"/>
    <n v="661"/>
    <n v="5471"/>
    <n v="4431"/>
    <n v="1014"/>
    <n v="26"/>
  </r>
  <r>
    <s v="10.244.148.9"/>
    <x v="2"/>
    <x v="3"/>
    <x v="12"/>
    <n v="645"/>
    <n v="6057"/>
    <n v="4632"/>
    <n v="1391"/>
    <n v="34"/>
  </r>
  <r>
    <s v="10.244.148.9"/>
    <x v="2"/>
    <x v="3"/>
    <x v="13"/>
    <n v="626"/>
    <n v="5651"/>
    <n v="4574"/>
    <n v="1029"/>
    <n v="48"/>
  </r>
  <r>
    <s v="10.244.148.9"/>
    <x v="2"/>
    <x v="3"/>
    <x v="14"/>
    <n v="674"/>
    <n v="5030"/>
    <n v="3772"/>
    <n v="1202"/>
    <n v="56"/>
  </r>
  <r>
    <s v="10.244.148.9"/>
    <x v="2"/>
    <x v="3"/>
    <x v="15"/>
    <n v="684"/>
    <n v="5773"/>
    <n v="4341"/>
    <n v="1396"/>
    <n v="36"/>
  </r>
  <r>
    <s v="10.244.148.9"/>
    <x v="2"/>
    <x v="3"/>
    <x v="16"/>
    <n v="622"/>
    <n v="5478"/>
    <n v="4687"/>
    <n v="763"/>
    <n v="28"/>
  </r>
  <r>
    <s v="10.244.148.9"/>
    <x v="2"/>
    <x v="3"/>
    <x v="17"/>
    <n v="604"/>
    <n v="6215"/>
    <n v="4832"/>
    <n v="1337"/>
    <n v="46"/>
  </r>
  <r>
    <s v="10.244.148.9"/>
    <x v="2"/>
    <x v="3"/>
    <x v="18"/>
    <n v="570"/>
    <n v="5884"/>
    <n v="4462"/>
    <n v="1387"/>
    <n v="35"/>
  </r>
  <r>
    <s v="10.244.148.9"/>
    <x v="2"/>
    <x v="3"/>
    <x v="19"/>
    <n v="589"/>
    <n v="5713"/>
    <n v="4528"/>
    <n v="1145"/>
    <n v="40"/>
  </r>
  <r>
    <s v="10.244.148.9"/>
    <x v="2"/>
    <x v="3"/>
    <x v="20"/>
    <n v="480"/>
    <n v="4445"/>
    <n v="3702"/>
    <n v="706"/>
    <n v="37"/>
  </r>
  <r>
    <s v="10.244.148.9"/>
    <x v="2"/>
    <x v="3"/>
    <x v="21"/>
    <n v="449"/>
    <n v="4202"/>
    <n v="3312"/>
    <n v="870"/>
    <n v="20"/>
  </r>
  <r>
    <s v="10.244.148.9"/>
    <x v="2"/>
    <x v="3"/>
    <x v="22"/>
    <n v="432"/>
    <n v="3802"/>
    <n v="3233"/>
    <n v="554"/>
    <n v="15"/>
  </r>
  <r>
    <s v="10.244.148.9"/>
    <x v="2"/>
    <x v="3"/>
    <x v="23"/>
    <n v="434"/>
    <n v="4172"/>
    <n v="3236"/>
    <n v="929"/>
    <n v="7"/>
  </r>
  <r>
    <s v="10.244.148.9"/>
    <x v="2"/>
    <x v="4"/>
    <x v="0"/>
    <n v="473"/>
    <n v="1074"/>
    <n v="1002"/>
    <n v="68"/>
    <n v="4"/>
  </r>
  <r>
    <s v="10.244.148.9"/>
    <x v="2"/>
    <x v="4"/>
    <x v="1"/>
    <n v="499"/>
    <n v="1632"/>
    <n v="1492"/>
    <n v="125"/>
    <n v="15"/>
  </r>
  <r>
    <s v="10.244.148.9"/>
    <x v="2"/>
    <x v="4"/>
    <x v="2"/>
    <n v="634"/>
    <n v="4471"/>
    <n v="3415"/>
    <n v="1032"/>
    <n v="24"/>
  </r>
  <r>
    <s v="10.244.148.9"/>
    <x v="2"/>
    <x v="4"/>
    <x v="3"/>
    <n v="609"/>
    <n v="4486"/>
    <n v="3980"/>
    <n v="458"/>
    <n v="48"/>
  </r>
  <r>
    <s v="10.244.148.9"/>
    <x v="2"/>
    <x v="4"/>
    <x v="4"/>
    <n v="575"/>
    <n v="4373"/>
    <n v="3939"/>
    <n v="403"/>
    <n v="31"/>
  </r>
  <r>
    <s v="10.244.148.9"/>
    <x v="2"/>
    <x v="4"/>
    <x v="5"/>
    <n v="569"/>
    <n v="4675"/>
    <n v="4105"/>
    <n v="532"/>
    <n v="38"/>
  </r>
  <r>
    <s v="10.244.148.9"/>
    <x v="2"/>
    <x v="4"/>
    <x v="6"/>
    <n v="574"/>
    <n v="4768"/>
    <n v="4219"/>
    <n v="504"/>
    <n v="45"/>
  </r>
  <r>
    <s v="10.244.148.9"/>
    <x v="2"/>
    <x v="4"/>
    <x v="7"/>
    <n v="645"/>
    <n v="4853"/>
    <n v="4177"/>
    <n v="645"/>
    <n v="31"/>
  </r>
  <r>
    <s v="10.244.148.9"/>
    <x v="2"/>
    <x v="4"/>
    <x v="8"/>
    <n v="641"/>
    <n v="4334"/>
    <n v="3779"/>
    <n v="535"/>
    <n v="20"/>
  </r>
  <r>
    <s v="10.244.148.9"/>
    <x v="2"/>
    <x v="4"/>
    <x v="9"/>
    <n v="625"/>
    <n v="3866"/>
    <n v="3406"/>
    <n v="437"/>
    <n v="23"/>
  </r>
  <r>
    <s v="10.244.148.9"/>
    <x v="2"/>
    <x v="4"/>
    <x v="10"/>
    <n v="629"/>
    <n v="4006"/>
    <n v="3514"/>
    <n v="472"/>
    <n v="20"/>
  </r>
  <r>
    <s v="10.244.148.9"/>
    <x v="2"/>
    <x v="4"/>
    <x v="11"/>
    <n v="640"/>
    <n v="4412"/>
    <n v="3890"/>
    <n v="503"/>
    <n v="19"/>
  </r>
  <r>
    <s v="10.244.148.9"/>
    <x v="2"/>
    <x v="4"/>
    <x v="12"/>
    <n v="578"/>
    <n v="5099"/>
    <n v="4364"/>
    <n v="696"/>
    <n v="39"/>
  </r>
  <r>
    <s v="10.244.148.9"/>
    <x v="2"/>
    <x v="4"/>
    <x v="13"/>
    <n v="666"/>
    <n v="4939"/>
    <n v="4074"/>
    <n v="831"/>
    <n v="34"/>
  </r>
  <r>
    <s v="10.244.148.9"/>
    <x v="2"/>
    <x v="4"/>
    <x v="14"/>
    <n v="724"/>
    <n v="4102"/>
    <n v="3299"/>
    <n v="770"/>
    <n v="33"/>
  </r>
  <r>
    <s v="10.244.148.9"/>
    <x v="2"/>
    <x v="4"/>
    <x v="15"/>
    <n v="699"/>
    <n v="4967"/>
    <n v="3904"/>
    <n v="1027"/>
    <n v="36"/>
  </r>
  <r>
    <s v="10.244.148.9"/>
    <x v="2"/>
    <x v="4"/>
    <x v="16"/>
    <n v="648"/>
    <n v="5178"/>
    <n v="4267"/>
    <n v="885"/>
    <n v="26"/>
  </r>
  <r>
    <s v="10.244.148.9"/>
    <x v="2"/>
    <x v="4"/>
    <x v="17"/>
    <n v="617"/>
    <n v="5487"/>
    <n v="4409"/>
    <n v="1033"/>
    <n v="45"/>
  </r>
  <r>
    <s v="10.244.148.9"/>
    <x v="2"/>
    <x v="4"/>
    <x v="18"/>
    <n v="591"/>
    <n v="5291"/>
    <n v="4202"/>
    <n v="1061"/>
    <n v="28"/>
  </r>
  <r>
    <s v="10.244.148.9"/>
    <x v="2"/>
    <x v="4"/>
    <x v="19"/>
    <n v="569"/>
    <n v="5332"/>
    <n v="4288"/>
    <n v="1018"/>
    <n v="26"/>
  </r>
  <r>
    <s v="10.244.148.9"/>
    <x v="2"/>
    <x v="4"/>
    <x v="20"/>
    <n v="498"/>
    <n v="4446"/>
    <n v="3741"/>
    <n v="671"/>
    <n v="34"/>
  </r>
  <r>
    <s v="10.244.148.9"/>
    <x v="2"/>
    <x v="4"/>
    <x v="21"/>
    <n v="455"/>
    <n v="4425"/>
    <n v="3626"/>
    <n v="784"/>
    <n v="15"/>
  </r>
  <r>
    <s v="10.244.148.9"/>
    <x v="2"/>
    <x v="4"/>
    <x v="22"/>
    <n v="467"/>
    <n v="3867"/>
    <n v="3078"/>
    <n v="777"/>
    <n v="12"/>
  </r>
  <r>
    <s v="10.244.148.9"/>
    <x v="2"/>
    <x v="4"/>
    <x v="23"/>
    <n v="458"/>
    <n v="3882"/>
    <n v="3042"/>
    <n v="831"/>
    <n v="9"/>
  </r>
  <r>
    <s v="172.29.2.12"/>
    <x v="3"/>
    <x v="0"/>
    <x v="0"/>
    <n v="193"/>
    <n v="5"/>
    <n v="5"/>
    <n v="0"/>
    <n v="0"/>
  </r>
  <r>
    <s v="172.29.2.12"/>
    <x v="3"/>
    <x v="0"/>
    <x v="1"/>
    <n v="214"/>
    <n v="1"/>
    <n v="1"/>
    <n v="0"/>
    <n v="0"/>
  </r>
  <r>
    <s v="172.29.2.12"/>
    <x v="3"/>
    <x v="0"/>
    <x v="2"/>
    <n v="281"/>
    <n v="5"/>
    <n v="5"/>
    <n v="0"/>
    <n v="0"/>
  </r>
  <r>
    <s v="172.29.2.12"/>
    <x v="3"/>
    <x v="0"/>
    <x v="3"/>
    <n v="301"/>
    <n v="6"/>
    <n v="6"/>
    <n v="0"/>
    <n v="0"/>
  </r>
  <r>
    <s v="172.29.2.12"/>
    <x v="3"/>
    <x v="0"/>
    <x v="4"/>
    <n v="295"/>
    <n v="4"/>
    <n v="4"/>
    <n v="0"/>
    <n v="0"/>
  </r>
  <r>
    <s v="172.29.2.12"/>
    <x v="3"/>
    <x v="0"/>
    <x v="5"/>
    <n v="300"/>
    <n v="3"/>
    <n v="3"/>
    <n v="0"/>
    <n v="0"/>
  </r>
  <r>
    <s v="172.29.2.12"/>
    <x v="3"/>
    <x v="0"/>
    <x v="6"/>
    <n v="320"/>
    <n v="2"/>
    <n v="2"/>
    <n v="0"/>
    <n v="0"/>
  </r>
  <r>
    <s v="172.29.2.12"/>
    <x v="3"/>
    <x v="0"/>
    <x v="7"/>
    <n v="316"/>
    <n v="6"/>
    <n v="6"/>
    <n v="0"/>
    <n v="0"/>
  </r>
  <r>
    <s v="172.29.2.12"/>
    <x v="3"/>
    <x v="0"/>
    <x v="8"/>
    <n v="294"/>
    <n v="4"/>
    <n v="4"/>
    <n v="0"/>
    <n v="0"/>
  </r>
  <r>
    <s v="172.29.2.12"/>
    <x v="3"/>
    <x v="0"/>
    <x v="9"/>
    <n v="279"/>
    <n v="9"/>
    <n v="9"/>
    <n v="0"/>
    <n v="0"/>
  </r>
  <r>
    <s v="172.29.2.12"/>
    <x v="3"/>
    <x v="0"/>
    <x v="10"/>
    <n v="293"/>
    <n v="5"/>
    <n v="1"/>
    <n v="4"/>
    <n v="0"/>
  </r>
  <r>
    <s v="172.29.2.12"/>
    <x v="3"/>
    <x v="0"/>
    <x v="11"/>
    <n v="311"/>
    <n v="5"/>
    <n v="5"/>
    <n v="0"/>
    <n v="0"/>
  </r>
  <r>
    <s v="172.29.2.12"/>
    <x v="3"/>
    <x v="0"/>
    <x v="12"/>
    <n v="324"/>
    <n v="1"/>
    <n v="1"/>
    <n v="0"/>
    <n v="0"/>
  </r>
  <r>
    <s v="172.29.2.12"/>
    <x v="3"/>
    <x v="0"/>
    <x v="13"/>
    <n v="356"/>
    <n v="1"/>
    <n v="1"/>
    <n v="0"/>
    <n v="0"/>
  </r>
  <r>
    <s v="172.29.2.12"/>
    <x v="3"/>
    <x v="0"/>
    <x v="14"/>
    <n v="213"/>
    <n v="1"/>
    <n v="1"/>
    <n v="0"/>
    <n v="0"/>
  </r>
  <r>
    <s v="172.29.2.12"/>
    <x v="3"/>
    <x v="0"/>
    <x v="15"/>
    <n v="206"/>
    <n v="1"/>
    <n v="1"/>
    <n v="0"/>
    <n v="0"/>
  </r>
  <r>
    <s v="172.29.2.12"/>
    <x v="3"/>
    <x v="0"/>
    <x v="16"/>
    <n v="210"/>
    <n v="2"/>
    <n v="2"/>
    <n v="0"/>
    <n v="0"/>
  </r>
  <r>
    <s v="172.29.2.12"/>
    <x v="3"/>
    <x v="0"/>
    <x v="17"/>
    <n v="217"/>
    <n v="3"/>
    <n v="3"/>
    <n v="0"/>
    <n v="0"/>
  </r>
  <r>
    <s v="172.29.2.12"/>
    <x v="3"/>
    <x v="0"/>
    <x v="18"/>
    <n v="221"/>
    <n v="5"/>
    <n v="5"/>
    <n v="0"/>
    <n v="0"/>
  </r>
  <r>
    <s v="172.29.2.12"/>
    <x v="3"/>
    <x v="0"/>
    <x v="19"/>
    <n v="227"/>
    <n v="2"/>
    <n v="2"/>
    <n v="0"/>
    <n v="0"/>
  </r>
  <r>
    <s v="172.29.2.12"/>
    <x v="3"/>
    <x v="0"/>
    <x v="20"/>
    <n v="235"/>
    <n v="3"/>
    <n v="3"/>
    <n v="0"/>
    <n v="0"/>
  </r>
  <r>
    <s v="172.29.2.12"/>
    <x v="3"/>
    <x v="0"/>
    <x v="21"/>
    <n v="235"/>
    <n v="7"/>
    <n v="5"/>
    <n v="2"/>
    <n v="0"/>
  </r>
  <r>
    <s v="172.29.2.12"/>
    <x v="3"/>
    <x v="0"/>
    <x v="22"/>
    <n v="235"/>
    <n v="4"/>
    <n v="3"/>
    <n v="1"/>
    <n v="0"/>
  </r>
  <r>
    <s v="172.29.2.12"/>
    <x v="3"/>
    <x v="0"/>
    <x v="23"/>
    <n v="227"/>
    <n v="5"/>
    <n v="5"/>
    <n v="0"/>
    <n v="0"/>
  </r>
  <r>
    <s v="172.29.2.12"/>
    <x v="3"/>
    <x v="1"/>
    <x v="0"/>
    <n v="341"/>
    <n v="81"/>
    <n v="81"/>
    <n v="0"/>
    <n v="0"/>
  </r>
  <r>
    <s v="172.29.2.12"/>
    <x v="3"/>
    <x v="1"/>
    <x v="1"/>
    <n v="417"/>
    <n v="153"/>
    <n v="150"/>
    <n v="3"/>
    <n v="0"/>
  </r>
  <r>
    <s v="172.29.2.12"/>
    <x v="3"/>
    <x v="1"/>
    <x v="2"/>
    <n v="430"/>
    <n v="280"/>
    <n v="248"/>
    <n v="32"/>
    <n v="0"/>
  </r>
  <r>
    <s v="172.29.2.12"/>
    <x v="3"/>
    <x v="1"/>
    <x v="3"/>
    <n v="470"/>
    <n v="380"/>
    <n v="291"/>
    <n v="89"/>
    <n v="0"/>
  </r>
  <r>
    <s v="172.29.2.12"/>
    <x v="3"/>
    <x v="1"/>
    <x v="4"/>
    <n v="510"/>
    <n v="436"/>
    <n v="349"/>
    <n v="87"/>
    <n v="0"/>
  </r>
  <r>
    <s v="172.29.2.12"/>
    <x v="3"/>
    <x v="1"/>
    <x v="5"/>
    <n v="517"/>
    <n v="442"/>
    <n v="344"/>
    <n v="98"/>
    <n v="0"/>
  </r>
  <r>
    <s v="172.29.2.12"/>
    <x v="3"/>
    <x v="1"/>
    <x v="6"/>
    <n v="537"/>
    <n v="513"/>
    <n v="380"/>
    <n v="133"/>
    <n v="0"/>
  </r>
  <r>
    <s v="172.29.2.12"/>
    <x v="3"/>
    <x v="1"/>
    <x v="7"/>
    <n v="540"/>
    <n v="421"/>
    <n v="337"/>
    <n v="84"/>
    <n v="0"/>
  </r>
  <r>
    <s v="172.29.2.12"/>
    <x v="3"/>
    <x v="1"/>
    <x v="8"/>
    <n v="530"/>
    <n v="298"/>
    <n v="254"/>
    <n v="44"/>
    <n v="0"/>
  </r>
  <r>
    <s v="172.29.2.12"/>
    <x v="3"/>
    <x v="1"/>
    <x v="9"/>
    <n v="499"/>
    <n v="279"/>
    <n v="271"/>
    <n v="8"/>
    <n v="0"/>
  </r>
  <r>
    <s v="172.29.2.12"/>
    <x v="3"/>
    <x v="1"/>
    <x v="10"/>
    <n v="508"/>
    <n v="266"/>
    <n v="266"/>
    <n v="0"/>
    <n v="0"/>
  </r>
  <r>
    <s v="172.29.2.12"/>
    <x v="3"/>
    <x v="1"/>
    <x v="11"/>
    <n v="538"/>
    <n v="317"/>
    <n v="278"/>
    <n v="39"/>
    <n v="0"/>
  </r>
  <r>
    <s v="172.29.2.12"/>
    <x v="3"/>
    <x v="1"/>
    <x v="12"/>
    <n v="538"/>
    <n v="386"/>
    <n v="288"/>
    <n v="98"/>
    <n v="0"/>
  </r>
  <r>
    <s v="172.29.2.12"/>
    <x v="3"/>
    <x v="1"/>
    <x v="13"/>
    <n v="423"/>
    <n v="445"/>
    <n v="342"/>
    <n v="103"/>
    <n v="0"/>
  </r>
  <r>
    <s v="172.29.2.12"/>
    <x v="3"/>
    <x v="1"/>
    <x v="14"/>
    <n v="401"/>
    <n v="483"/>
    <n v="391"/>
    <n v="92"/>
    <n v="0"/>
  </r>
  <r>
    <s v="172.29.2.12"/>
    <x v="3"/>
    <x v="1"/>
    <x v="15"/>
    <n v="390"/>
    <n v="456"/>
    <n v="366"/>
    <n v="90"/>
    <n v="0"/>
  </r>
  <r>
    <s v="172.29.2.12"/>
    <x v="3"/>
    <x v="1"/>
    <x v="16"/>
    <n v="351"/>
    <n v="500"/>
    <n v="359"/>
    <n v="141"/>
    <n v="0"/>
  </r>
  <r>
    <s v="172.29.2.12"/>
    <x v="3"/>
    <x v="1"/>
    <x v="17"/>
    <n v="336"/>
    <n v="464"/>
    <n v="300"/>
    <n v="164"/>
    <n v="0"/>
  </r>
  <r>
    <s v="172.29.2.12"/>
    <x v="3"/>
    <x v="1"/>
    <x v="18"/>
    <n v="320"/>
    <n v="379"/>
    <n v="263"/>
    <n v="116"/>
    <n v="0"/>
  </r>
  <r>
    <s v="172.29.2.12"/>
    <x v="3"/>
    <x v="1"/>
    <x v="19"/>
    <n v="317"/>
    <n v="247"/>
    <n v="181"/>
    <n v="66"/>
    <n v="0"/>
  </r>
  <r>
    <s v="172.29.2.12"/>
    <x v="3"/>
    <x v="1"/>
    <x v="20"/>
    <n v="240"/>
    <n v="132"/>
    <n v="98"/>
    <n v="34"/>
    <n v="0"/>
  </r>
  <r>
    <s v="172.29.2.12"/>
    <x v="3"/>
    <x v="1"/>
    <x v="21"/>
    <n v="221"/>
    <n v="68"/>
    <n v="68"/>
    <n v="0"/>
    <n v="0"/>
  </r>
  <r>
    <s v="172.29.2.12"/>
    <x v="3"/>
    <x v="1"/>
    <x v="22"/>
    <n v="211"/>
    <n v="41"/>
    <n v="39"/>
    <n v="2"/>
    <n v="0"/>
  </r>
  <r>
    <s v="172.29.2.12"/>
    <x v="3"/>
    <x v="1"/>
    <x v="23"/>
    <n v="192"/>
    <n v="48"/>
    <n v="48"/>
    <n v="0"/>
    <n v="0"/>
  </r>
  <r>
    <s v="172.29.2.12"/>
    <x v="3"/>
    <x v="2"/>
    <x v="0"/>
    <n v="350"/>
    <n v="135"/>
    <n v="129"/>
    <n v="6"/>
    <n v="0"/>
  </r>
  <r>
    <s v="172.29.2.12"/>
    <x v="3"/>
    <x v="2"/>
    <x v="1"/>
    <n v="419"/>
    <n v="216"/>
    <n v="165"/>
    <n v="51"/>
    <n v="0"/>
  </r>
  <r>
    <s v="172.29.2.12"/>
    <x v="3"/>
    <x v="2"/>
    <x v="2"/>
    <n v="432"/>
    <n v="352"/>
    <n v="269"/>
    <n v="83"/>
    <n v="0"/>
  </r>
  <r>
    <s v="172.29.2.12"/>
    <x v="3"/>
    <x v="2"/>
    <x v="3"/>
    <n v="448"/>
    <n v="480"/>
    <n v="347"/>
    <n v="133"/>
    <n v="0"/>
  </r>
  <r>
    <s v="172.29.2.12"/>
    <x v="3"/>
    <x v="2"/>
    <x v="4"/>
    <n v="505"/>
    <n v="492"/>
    <n v="394"/>
    <n v="98"/>
    <n v="0"/>
  </r>
  <r>
    <s v="172.29.2.12"/>
    <x v="3"/>
    <x v="2"/>
    <x v="5"/>
    <n v="514"/>
    <n v="494"/>
    <n v="400"/>
    <n v="94"/>
    <n v="0"/>
  </r>
  <r>
    <s v="172.29.2.12"/>
    <x v="3"/>
    <x v="2"/>
    <x v="6"/>
    <n v="528"/>
    <n v="513"/>
    <n v="380"/>
    <n v="133"/>
    <n v="0"/>
  </r>
  <r>
    <s v="172.29.2.12"/>
    <x v="3"/>
    <x v="2"/>
    <x v="7"/>
    <n v="532"/>
    <n v="470"/>
    <n v="368"/>
    <n v="102"/>
    <n v="0"/>
  </r>
  <r>
    <s v="172.29.2.12"/>
    <x v="3"/>
    <x v="2"/>
    <x v="8"/>
    <n v="516"/>
    <n v="361"/>
    <n v="321"/>
    <n v="40"/>
    <n v="0"/>
  </r>
  <r>
    <s v="172.29.2.12"/>
    <x v="3"/>
    <x v="2"/>
    <x v="9"/>
    <n v="478"/>
    <n v="289"/>
    <n v="289"/>
    <n v="0"/>
    <n v="0"/>
  </r>
  <r>
    <s v="172.29.2.12"/>
    <x v="3"/>
    <x v="2"/>
    <x v="10"/>
    <n v="492"/>
    <n v="301"/>
    <n v="301"/>
    <n v="0"/>
    <n v="0"/>
  </r>
  <r>
    <s v="172.29.2.12"/>
    <x v="3"/>
    <x v="2"/>
    <x v="11"/>
    <n v="512"/>
    <n v="359"/>
    <n v="348"/>
    <n v="11"/>
    <n v="0"/>
  </r>
  <r>
    <s v="172.29.2.12"/>
    <x v="3"/>
    <x v="2"/>
    <x v="12"/>
    <n v="526"/>
    <n v="374"/>
    <n v="291"/>
    <n v="83"/>
    <n v="0"/>
  </r>
  <r>
    <s v="172.29.2.12"/>
    <x v="3"/>
    <x v="2"/>
    <x v="13"/>
    <n v="416"/>
    <n v="431"/>
    <n v="346"/>
    <n v="85"/>
    <n v="0"/>
  </r>
  <r>
    <s v="172.29.2.12"/>
    <x v="3"/>
    <x v="2"/>
    <x v="14"/>
    <n v="409"/>
    <n v="448"/>
    <n v="331"/>
    <n v="117"/>
    <n v="0"/>
  </r>
  <r>
    <s v="172.29.2.12"/>
    <x v="3"/>
    <x v="2"/>
    <x v="15"/>
    <n v="397"/>
    <n v="443"/>
    <n v="362"/>
    <n v="81"/>
    <n v="0"/>
  </r>
  <r>
    <s v="172.29.2.12"/>
    <x v="3"/>
    <x v="2"/>
    <x v="16"/>
    <n v="339"/>
    <n v="450"/>
    <n v="361"/>
    <n v="89"/>
    <n v="0"/>
  </r>
  <r>
    <s v="172.29.2.12"/>
    <x v="3"/>
    <x v="2"/>
    <x v="17"/>
    <n v="336"/>
    <n v="402"/>
    <n v="299"/>
    <n v="103"/>
    <n v="0"/>
  </r>
  <r>
    <s v="172.29.2.12"/>
    <x v="3"/>
    <x v="2"/>
    <x v="18"/>
    <n v="325"/>
    <n v="395"/>
    <n v="254"/>
    <n v="141"/>
    <n v="0"/>
  </r>
  <r>
    <s v="172.29.2.12"/>
    <x v="3"/>
    <x v="2"/>
    <x v="19"/>
    <n v="272"/>
    <n v="329"/>
    <n v="208"/>
    <n v="121"/>
    <n v="0"/>
  </r>
  <r>
    <s v="172.29.2.12"/>
    <x v="3"/>
    <x v="2"/>
    <x v="20"/>
    <n v="228"/>
    <n v="146"/>
    <n v="95"/>
    <n v="51"/>
    <n v="0"/>
  </r>
  <r>
    <s v="172.29.2.12"/>
    <x v="3"/>
    <x v="2"/>
    <x v="21"/>
    <n v="220"/>
    <n v="85"/>
    <n v="68"/>
    <n v="17"/>
    <n v="0"/>
  </r>
  <r>
    <s v="172.29.2.12"/>
    <x v="3"/>
    <x v="2"/>
    <x v="22"/>
    <n v="217"/>
    <n v="42"/>
    <n v="41"/>
    <n v="1"/>
    <n v="0"/>
  </r>
  <r>
    <s v="172.29.2.12"/>
    <x v="3"/>
    <x v="2"/>
    <x v="23"/>
    <n v="221"/>
    <n v="37"/>
    <n v="37"/>
    <n v="0"/>
    <n v="0"/>
  </r>
  <r>
    <s v="172.29.2.12"/>
    <x v="3"/>
    <x v="3"/>
    <x v="0"/>
    <n v="359"/>
    <n v="140"/>
    <n v="138"/>
    <n v="2"/>
    <n v="0"/>
  </r>
  <r>
    <s v="172.29.2.12"/>
    <x v="3"/>
    <x v="3"/>
    <x v="1"/>
    <n v="390"/>
    <n v="251"/>
    <n v="209"/>
    <n v="42"/>
    <n v="0"/>
  </r>
  <r>
    <s v="172.29.2.12"/>
    <x v="3"/>
    <x v="3"/>
    <x v="2"/>
    <n v="418"/>
    <n v="421"/>
    <n v="330"/>
    <n v="91"/>
    <n v="0"/>
  </r>
  <r>
    <s v="172.29.2.12"/>
    <x v="3"/>
    <x v="3"/>
    <x v="3"/>
    <n v="439"/>
    <n v="485"/>
    <n v="374"/>
    <n v="111"/>
    <n v="0"/>
  </r>
  <r>
    <s v="172.29.2.12"/>
    <x v="3"/>
    <x v="3"/>
    <x v="4"/>
    <n v="498"/>
    <n v="551"/>
    <n v="398"/>
    <n v="153"/>
    <n v="0"/>
  </r>
  <r>
    <s v="172.29.2.12"/>
    <x v="3"/>
    <x v="3"/>
    <x v="5"/>
    <n v="509"/>
    <n v="575"/>
    <n v="412"/>
    <n v="163"/>
    <n v="0"/>
  </r>
  <r>
    <s v="172.29.2.12"/>
    <x v="3"/>
    <x v="3"/>
    <x v="6"/>
    <n v="417"/>
    <n v="557"/>
    <n v="390"/>
    <n v="167"/>
    <n v="0"/>
  </r>
  <r>
    <s v="172.29.2.12"/>
    <x v="3"/>
    <x v="3"/>
    <x v="7"/>
    <n v="419"/>
    <n v="503"/>
    <n v="383"/>
    <n v="120"/>
    <n v="0"/>
  </r>
  <r>
    <s v="172.29.2.12"/>
    <x v="3"/>
    <x v="3"/>
    <x v="8"/>
    <n v="518"/>
    <n v="394"/>
    <n v="345"/>
    <n v="49"/>
    <n v="0"/>
  </r>
  <r>
    <s v="172.29.2.12"/>
    <x v="3"/>
    <x v="3"/>
    <x v="9"/>
    <n v="480"/>
    <n v="315"/>
    <n v="313"/>
    <n v="2"/>
    <n v="0"/>
  </r>
  <r>
    <s v="172.29.2.12"/>
    <x v="3"/>
    <x v="3"/>
    <x v="10"/>
    <n v="525"/>
    <n v="330"/>
    <n v="316"/>
    <n v="14"/>
    <n v="0"/>
  </r>
  <r>
    <s v="172.29.2.12"/>
    <x v="3"/>
    <x v="3"/>
    <x v="11"/>
    <n v="254"/>
    <n v="319"/>
    <n v="270"/>
    <n v="49"/>
    <n v="0"/>
  </r>
  <r>
    <s v="172.29.2.12"/>
    <x v="3"/>
    <x v="3"/>
    <x v="12"/>
    <n v="263"/>
    <n v="383"/>
    <n v="333"/>
    <n v="50"/>
    <n v="0"/>
  </r>
  <r>
    <s v="172.29.2.12"/>
    <x v="3"/>
    <x v="3"/>
    <x v="13"/>
    <n v="245"/>
    <n v="460"/>
    <n v="391"/>
    <n v="69"/>
    <n v="0"/>
  </r>
  <r>
    <s v="172.29.2.12"/>
    <x v="3"/>
    <x v="3"/>
    <x v="14"/>
    <n v="242"/>
    <n v="435"/>
    <n v="374"/>
    <n v="61"/>
    <n v="0"/>
  </r>
  <r>
    <s v="172.29.2.12"/>
    <x v="3"/>
    <x v="3"/>
    <x v="15"/>
    <n v="247"/>
    <n v="431"/>
    <n v="357"/>
    <n v="74"/>
    <n v="0"/>
  </r>
  <r>
    <s v="172.29.2.12"/>
    <x v="3"/>
    <x v="3"/>
    <x v="16"/>
    <n v="446"/>
    <n v="406"/>
    <n v="318"/>
    <n v="88"/>
    <n v="0"/>
  </r>
  <r>
    <s v="172.29.2.12"/>
    <x v="3"/>
    <x v="3"/>
    <x v="17"/>
    <n v="412"/>
    <n v="469"/>
    <n v="327"/>
    <n v="142"/>
    <n v="0"/>
  </r>
  <r>
    <s v="172.29.2.12"/>
    <x v="3"/>
    <x v="3"/>
    <x v="18"/>
    <n v="328"/>
    <n v="413"/>
    <n v="286"/>
    <n v="127"/>
    <n v="0"/>
  </r>
  <r>
    <s v="172.29.2.12"/>
    <x v="3"/>
    <x v="3"/>
    <x v="19"/>
    <n v="330"/>
    <n v="299"/>
    <n v="201"/>
    <n v="98"/>
    <n v="0"/>
  </r>
  <r>
    <s v="172.29.2.12"/>
    <x v="3"/>
    <x v="3"/>
    <x v="20"/>
    <n v="246"/>
    <n v="150"/>
    <n v="124"/>
    <n v="26"/>
    <n v="0"/>
  </r>
  <r>
    <s v="172.29.2.12"/>
    <x v="3"/>
    <x v="3"/>
    <x v="21"/>
    <n v="227"/>
    <n v="69"/>
    <n v="66"/>
    <n v="3"/>
    <n v="0"/>
  </r>
  <r>
    <s v="172.29.2.12"/>
    <x v="3"/>
    <x v="3"/>
    <x v="22"/>
    <n v="229"/>
    <n v="60"/>
    <n v="60"/>
    <n v="0"/>
    <n v="0"/>
  </r>
  <r>
    <s v="172.29.2.12"/>
    <x v="3"/>
    <x v="3"/>
    <x v="23"/>
    <n v="221"/>
    <n v="43"/>
    <n v="43"/>
    <n v="0"/>
    <n v="0"/>
  </r>
  <r>
    <s v="172.29.2.12"/>
    <x v="3"/>
    <x v="4"/>
    <x v="0"/>
    <n v="386"/>
    <n v="111"/>
    <n v="100"/>
    <n v="11"/>
    <n v="0"/>
  </r>
  <r>
    <s v="172.29.2.12"/>
    <x v="3"/>
    <x v="4"/>
    <x v="1"/>
    <n v="412"/>
    <n v="209"/>
    <n v="184"/>
    <n v="25"/>
    <n v="0"/>
  </r>
  <r>
    <s v="172.29.2.12"/>
    <x v="3"/>
    <x v="4"/>
    <x v="2"/>
    <n v="469"/>
    <n v="291"/>
    <n v="235"/>
    <n v="56"/>
    <n v="0"/>
  </r>
  <r>
    <s v="172.29.2.12"/>
    <x v="3"/>
    <x v="4"/>
    <x v="3"/>
    <n v="511"/>
    <n v="412"/>
    <n v="327"/>
    <n v="85"/>
    <n v="0"/>
  </r>
  <r>
    <s v="172.29.2.12"/>
    <x v="3"/>
    <x v="4"/>
    <x v="4"/>
    <n v="337"/>
    <n v="471"/>
    <n v="395"/>
    <n v="76"/>
    <n v="0"/>
  </r>
  <r>
    <s v="172.29.2.12"/>
    <x v="3"/>
    <x v="4"/>
    <x v="5"/>
    <n v="339"/>
    <n v="473"/>
    <n v="395"/>
    <n v="78"/>
    <n v="0"/>
  </r>
  <r>
    <s v="172.29.2.12"/>
    <x v="3"/>
    <x v="4"/>
    <x v="6"/>
    <n v="353"/>
    <n v="505"/>
    <n v="377"/>
    <n v="128"/>
    <n v="0"/>
  </r>
  <r>
    <s v="172.29.2.12"/>
    <x v="3"/>
    <x v="4"/>
    <x v="7"/>
    <n v="564"/>
    <n v="437"/>
    <n v="361"/>
    <n v="76"/>
    <n v="0"/>
  </r>
  <r>
    <s v="172.29.2.12"/>
    <x v="3"/>
    <x v="4"/>
    <x v="8"/>
    <n v="510"/>
    <n v="354"/>
    <n v="328"/>
    <n v="26"/>
    <n v="0"/>
  </r>
  <r>
    <s v="172.29.2.12"/>
    <x v="3"/>
    <x v="4"/>
    <x v="9"/>
    <n v="477"/>
    <n v="244"/>
    <n v="244"/>
    <n v="0"/>
    <n v="0"/>
  </r>
  <r>
    <s v="172.29.2.12"/>
    <x v="3"/>
    <x v="4"/>
    <x v="10"/>
    <n v="489"/>
    <n v="249"/>
    <n v="246"/>
    <n v="3"/>
    <n v="0"/>
  </r>
  <r>
    <s v="172.29.2.12"/>
    <x v="3"/>
    <x v="4"/>
    <x v="11"/>
    <n v="516"/>
    <n v="280"/>
    <n v="263"/>
    <n v="17"/>
    <n v="0"/>
  </r>
  <r>
    <s v="172.29.2.12"/>
    <x v="3"/>
    <x v="4"/>
    <x v="12"/>
    <n v="522"/>
    <n v="365"/>
    <n v="284"/>
    <n v="81"/>
    <n v="0"/>
  </r>
  <r>
    <s v="172.29.2.12"/>
    <x v="3"/>
    <x v="4"/>
    <x v="13"/>
    <n v="513"/>
    <n v="347"/>
    <n v="315"/>
    <n v="32"/>
    <n v="0"/>
  </r>
  <r>
    <s v="172.29.2.12"/>
    <x v="3"/>
    <x v="4"/>
    <x v="14"/>
    <n v="507"/>
    <n v="383"/>
    <n v="344"/>
    <n v="39"/>
    <n v="0"/>
  </r>
  <r>
    <s v="172.29.2.12"/>
    <x v="3"/>
    <x v="4"/>
    <x v="15"/>
    <n v="403"/>
    <n v="403"/>
    <n v="332"/>
    <n v="71"/>
    <n v="0"/>
  </r>
  <r>
    <s v="172.29.2.12"/>
    <x v="3"/>
    <x v="4"/>
    <x v="16"/>
    <n v="351"/>
    <n v="425"/>
    <n v="330"/>
    <n v="95"/>
    <n v="0"/>
  </r>
  <r>
    <s v="172.29.2.12"/>
    <x v="3"/>
    <x v="4"/>
    <x v="17"/>
    <n v="337"/>
    <n v="423"/>
    <n v="296"/>
    <n v="127"/>
    <n v="0"/>
  </r>
  <r>
    <s v="172.29.2.12"/>
    <x v="3"/>
    <x v="4"/>
    <x v="18"/>
    <n v="292"/>
    <n v="383"/>
    <n v="252"/>
    <n v="131"/>
    <n v="0"/>
  </r>
  <r>
    <s v="172.29.2.12"/>
    <x v="3"/>
    <x v="4"/>
    <x v="19"/>
    <n v="308"/>
    <n v="293"/>
    <n v="191"/>
    <n v="102"/>
    <n v="0"/>
  </r>
  <r>
    <s v="172.29.2.12"/>
    <x v="3"/>
    <x v="4"/>
    <x v="20"/>
    <n v="248"/>
    <n v="135"/>
    <n v="104"/>
    <n v="31"/>
    <n v="0"/>
  </r>
  <r>
    <s v="172.29.2.12"/>
    <x v="3"/>
    <x v="4"/>
    <x v="21"/>
    <n v="239"/>
    <n v="71"/>
    <n v="66"/>
    <n v="5"/>
    <n v="0"/>
  </r>
  <r>
    <s v="172.29.2.12"/>
    <x v="3"/>
    <x v="4"/>
    <x v="22"/>
    <n v="239"/>
    <n v="47"/>
    <n v="44"/>
    <n v="3"/>
    <n v="0"/>
  </r>
  <r>
    <s v="172.29.2.12"/>
    <x v="3"/>
    <x v="4"/>
    <x v="23"/>
    <n v="223"/>
    <n v="38"/>
    <n v="37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K6:AC33" firstHeaderRow="1" firstDataRow="3" firstDataCol="1" rowPageCount="1" colPageCount="1"/>
  <pivotFields count="10">
    <pivotField showAll="0"/>
    <pivotField axis="axisPage" showAll="0">
      <items count="5">
        <item x="2"/>
        <item x="0"/>
        <item x="1"/>
        <item x="3"/>
        <item t="default"/>
      </items>
    </pivotField>
    <pivotField axis="axisCol" numFmtId="14" showAll="0">
      <items count="6">
        <item x="0"/>
        <item x="1"/>
        <item x="2"/>
        <item x="3"/>
        <item x="4"/>
        <item t="default"/>
      </items>
    </pivotField>
    <pivotField axis="axisRow" numFmtId="21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numFmtId="3" showAll="0"/>
    <pivotField dataField="1" numFmtId="3" showAll="0"/>
    <pivotField numFmtId="3" showAll="0"/>
    <pivotField numFmtId="3" showAll="0"/>
    <pivotField numFmtId="3" showAll="0"/>
    <pivotField dataField="1" dragToRow="0" dragToCol="0" dragToPage="0" showAll="0" defaultSubtota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2">
    <field x="2"/>
    <field x="-2"/>
  </colFields>
  <colItems count="18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 t="grand">
      <x/>
    </i>
    <i t="grand" i="1">
      <x/>
    </i>
    <i t="grand" i="2">
      <x/>
    </i>
  </colItems>
  <pageFields count="1">
    <pageField fld="1" hier="-1"/>
  </pageFields>
  <dataFields count="3">
    <dataField name="Soma de CALLSOFFERED" fld="5" baseField="0" baseItem="0"/>
    <dataField name="Média de MAXSTAFFED" fld="4" subtotal="average" baseField="3" baseItem="0" numFmtId="1"/>
    <dataField name="Soma de Percentual de Chamadas Abandonadas" fld="9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mailto:alexsandro.luna@teleperformance.com" TargetMode="Externa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01">
    <tabColor theme="0" tint="-0.14999847407452621"/>
  </sheetPr>
  <dimension ref="A1:N43"/>
  <sheetViews>
    <sheetView showGridLines="0" tabSelected="1" workbookViewId="0">
      <selection sqref="A1:M1"/>
    </sheetView>
  </sheetViews>
  <sheetFormatPr defaultRowHeight="15" x14ac:dyDescent="0.25"/>
  <cols>
    <col min="1" max="1" width="10.7109375" bestFit="1" customWidth="1"/>
    <col min="2" max="2" width="10.28515625" bestFit="1" customWidth="1"/>
    <col min="3" max="3" width="9.7109375" bestFit="1" customWidth="1"/>
    <col min="4" max="4" width="27.7109375" bestFit="1" customWidth="1"/>
    <col min="5" max="5" width="12.7109375" bestFit="1" customWidth="1"/>
    <col min="6" max="6" width="9.7109375" bestFit="1" customWidth="1"/>
    <col min="7" max="7" width="14.85546875" customWidth="1"/>
    <col min="8" max="8" width="10.7109375" customWidth="1"/>
    <col min="9" max="9" width="10.28515625" bestFit="1" customWidth="1"/>
    <col min="10" max="10" width="9.7109375" bestFit="1" customWidth="1"/>
    <col min="11" max="11" width="29.42578125" bestFit="1" customWidth="1"/>
    <col min="12" max="12" width="10.140625" bestFit="1" customWidth="1"/>
    <col min="13" max="13" width="9.7109375" bestFit="1" customWidth="1"/>
    <col min="15" max="15" width="12.42578125" bestFit="1" customWidth="1"/>
  </cols>
  <sheetData>
    <row r="1" spans="1:14" ht="154.5" customHeight="1" thickBot="1" x14ac:dyDescent="0.3">
      <c r="A1" s="134" t="s">
        <v>1382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6"/>
    </row>
    <row r="3" spans="1:14" x14ac:dyDescent="0.25">
      <c r="A3" s="133" t="s">
        <v>29</v>
      </c>
      <c r="B3" s="133"/>
      <c r="C3" s="133"/>
      <c r="D3" s="133"/>
      <c r="E3" s="133"/>
      <c r="F3" s="133"/>
      <c r="G3" s="133"/>
      <c r="H3" s="133"/>
    </row>
    <row r="4" spans="1:14" ht="30" customHeight="1" x14ac:dyDescent="0.25">
      <c r="D4" s="139" t="s">
        <v>1374</v>
      </c>
      <c r="E4" s="139"/>
      <c r="F4" s="140" t="s">
        <v>30</v>
      </c>
      <c r="G4" s="140"/>
      <c r="H4" s="140"/>
    </row>
    <row r="5" spans="1:14" x14ac:dyDescent="0.25">
      <c r="A5" s="137" t="s">
        <v>25</v>
      </c>
      <c r="B5" s="137"/>
      <c r="C5" s="137"/>
      <c r="D5" s="138">
        <f>SUM(D12:D42)/SUM(C12:C42)</f>
        <v>0.9023975094391643</v>
      </c>
      <c r="E5" s="138"/>
      <c r="F5" s="138">
        <f>SUM(E12:E42)/(SUM(B12:B42))</f>
        <v>6.2805250450443592E-3</v>
      </c>
      <c r="G5" s="138"/>
      <c r="H5" s="138"/>
    </row>
    <row r="6" spans="1:14" x14ac:dyDescent="0.25">
      <c r="A6" s="137" t="s">
        <v>27</v>
      </c>
      <c r="B6" s="137"/>
      <c r="C6" s="137"/>
      <c r="D6" s="138">
        <f>SUMPRODUCT(K12:K42,J12:J42)/SUM(J12:J42)</f>
        <v>0.83421186621953292</v>
      </c>
      <c r="E6" s="138"/>
      <c r="F6" s="138">
        <f>SUMPRODUCT(L12:L42,I12:I42)/SUM(I12:I42)</f>
        <v>2.1565803440824552E-2</v>
      </c>
      <c r="G6" s="138"/>
      <c r="H6" s="138"/>
    </row>
    <row r="7" spans="1:14" ht="3.75" customHeight="1" x14ac:dyDescent="0.25">
      <c r="A7" s="19"/>
      <c r="B7" s="19"/>
      <c r="C7" s="19"/>
      <c r="D7" s="26"/>
      <c r="E7" s="26"/>
      <c r="F7" s="26"/>
      <c r="G7" s="26"/>
      <c r="H7" s="26"/>
    </row>
    <row r="8" spans="1:14" x14ac:dyDescent="0.25">
      <c r="A8" s="137" t="s">
        <v>28</v>
      </c>
      <c r="B8" s="137"/>
      <c r="C8" s="137"/>
      <c r="D8" s="138">
        <f>(SUM(D12:D42)+SUMPRODUCT(K12:K42,J12:J42))/(SUM(B12:B42)+SUM(I12:I42))</f>
        <v>0.8443835607764395</v>
      </c>
      <c r="E8" s="138"/>
      <c r="F8" s="138">
        <f>(SUM(E12:E42)+SUMPRODUCT(L12:L42,I12:I42))/(SUM(B12:B42)+SUM(I12:I42))</f>
        <v>1.6218860440196738E-2</v>
      </c>
      <c r="G8" s="138"/>
      <c r="H8" s="138"/>
    </row>
    <row r="10" spans="1:14" x14ac:dyDescent="0.25">
      <c r="A10" s="13" t="s">
        <v>25</v>
      </c>
      <c r="H10" s="13" t="s">
        <v>27</v>
      </c>
    </row>
    <row r="11" spans="1:14" ht="45.75" customHeight="1" x14ac:dyDescent="0.25">
      <c r="A11" s="18" t="s">
        <v>24</v>
      </c>
      <c r="B11" s="17" t="s">
        <v>23</v>
      </c>
      <c r="C11" s="17" t="s">
        <v>22</v>
      </c>
      <c r="D11" s="16" t="s">
        <v>21</v>
      </c>
      <c r="E11" s="17" t="s">
        <v>26</v>
      </c>
      <c r="H11" s="17" t="s">
        <v>24</v>
      </c>
      <c r="I11" s="17" t="s">
        <v>23</v>
      </c>
      <c r="J11" s="17" t="s">
        <v>22</v>
      </c>
      <c r="K11" s="16" t="s">
        <v>1381</v>
      </c>
      <c r="L11" s="17" t="s">
        <v>30</v>
      </c>
    </row>
    <row r="12" spans="1:14" x14ac:dyDescent="0.25">
      <c r="A12" s="14">
        <v>41122</v>
      </c>
      <c r="B12" s="15">
        <v>18464</v>
      </c>
      <c r="C12" s="15">
        <v>18306</v>
      </c>
      <c r="D12" s="15">
        <v>15981</v>
      </c>
      <c r="E12" s="15">
        <v>158</v>
      </c>
      <c r="H12" s="14">
        <v>41122</v>
      </c>
      <c r="I12" s="15">
        <v>36133</v>
      </c>
      <c r="J12" s="15">
        <v>35240</v>
      </c>
      <c r="K12" s="72">
        <v>0.78833753078902946</v>
      </c>
      <c r="L12" s="72">
        <v>2.4714250131458778E-2</v>
      </c>
      <c r="M12" s="101"/>
      <c r="N12" s="101"/>
    </row>
    <row r="13" spans="1:14" x14ac:dyDescent="0.25">
      <c r="A13" s="14">
        <v>41123</v>
      </c>
      <c r="B13" s="15">
        <v>18679</v>
      </c>
      <c r="C13" s="15">
        <v>18612</v>
      </c>
      <c r="D13" s="15">
        <v>16790</v>
      </c>
      <c r="E13" s="15">
        <v>67</v>
      </c>
      <c r="H13" s="14">
        <v>41123</v>
      </c>
      <c r="I13" s="15">
        <v>33605</v>
      </c>
      <c r="J13" s="15">
        <v>33428</v>
      </c>
      <c r="K13" s="72">
        <v>0.88760601101026637</v>
      </c>
      <c r="L13" s="72">
        <v>5.2670733521797347E-3</v>
      </c>
      <c r="M13" s="101"/>
      <c r="N13" s="101"/>
    </row>
    <row r="14" spans="1:14" x14ac:dyDescent="0.25">
      <c r="A14" s="14">
        <v>41124</v>
      </c>
      <c r="B14" s="15">
        <v>17086</v>
      </c>
      <c r="C14" s="15">
        <v>17041</v>
      </c>
      <c r="D14" s="15">
        <v>16152</v>
      </c>
      <c r="E14" s="15">
        <v>45</v>
      </c>
      <c r="H14" s="14">
        <v>41124</v>
      </c>
      <c r="I14" s="15">
        <v>31126</v>
      </c>
      <c r="J14" s="15">
        <v>31008</v>
      </c>
      <c r="K14" s="72">
        <v>0.93243590567371326</v>
      </c>
      <c r="L14" s="72">
        <v>3.7910428580607853E-3</v>
      </c>
      <c r="M14" s="101"/>
      <c r="N14" s="101"/>
    </row>
    <row r="15" spans="1:14" x14ac:dyDescent="0.25">
      <c r="A15" s="14">
        <v>41125</v>
      </c>
      <c r="B15" s="15">
        <v>14270</v>
      </c>
      <c r="C15" s="15">
        <v>14071</v>
      </c>
      <c r="D15" s="15">
        <v>12411</v>
      </c>
      <c r="E15" s="15">
        <v>199</v>
      </c>
      <c r="H15" s="14">
        <v>41125</v>
      </c>
      <c r="I15" s="15">
        <v>26813</v>
      </c>
      <c r="J15" s="15">
        <v>26419</v>
      </c>
      <c r="K15" s="72">
        <v>0.85730802222802371</v>
      </c>
      <c r="L15" s="72">
        <v>1.4694364673852236E-2</v>
      </c>
      <c r="M15" s="101"/>
      <c r="N15" s="101"/>
    </row>
    <row r="16" spans="1:14" x14ac:dyDescent="0.25">
      <c r="A16" s="14">
        <v>41126</v>
      </c>
      <c r="B16" s="15">
        <v>12354</v>
      </c>
      <c r="C16" s="15">
        <v>12284</v>
      </c>
      <c r="D16" s="15">
        <v>10645</v>
      </c>
      <c r="E16" s="15">
        <v>70</v>
      </c>
      <c r="H16" s="14">
        <v>41126</v>
      </c>
      <c r="I16" s="15">
        <v>27556</v>
      </c>
      <c r="J16" s="15">
        <v>18896</v>
      </c>
      <c r="K16" s="72">
        <v>0.30646683118014223</v>
      </c>
      <c r="L16" s="72">
        <v>0.31426912469153723</v>
      </c>
      <c r="M16" s="101"/>
      <c r="N16" s="101"/>
    </row>
    <row r="17" spans="1:14" x14ac:dyDescent="0.25">
      <c r="A17" s="14">
        <v>41127</v>
      </c>
      <c r="B17" s="15">
        <v>19045</v>
      </c>
      <c r="C17" s="15">
        <v>18973</v>
      </c>
      <c r="D17" s="15">
        <v>17609</v>
      </c>
      <c r="E17" s="15">
        <v>72</v>
      </c>
      <c r="H17" s="14">
        <v>41127</v>
      </c>
      <c r="I17" s="15">
        <v>38359</v>
      </c>
      <c r="J17" s="15">
        <v>38152</v>
      </c>
      <c r="K17" s="72">
        <v>0.92849135796032223</v>
      </c>
      <c r="L17" s="72">
        <v>5.3963867671211448E-3</v>
      </c>
      <c r="M17" s="101"/>
      <c r="N17" s="101"/>
    </row>
    <row r="18" spans="1:14" x14ac:dyDescent="0.25">
      <c r="A18" s="14">
        <v>41128</v>
      </c>
      <c r="B18" s="15">
        <v>18626</v>
      </c>
      <c r="C18" s="15">
        <v>18572</v>
      </c>
      <c r="D18" s="15">
        <v>17202</v>
      </c>
      <c r="E18" s="15">
        <v>54</v>
      </c>
      <c r="H18" s="14">
        <v>41128</v>
      </c>
      <c r="I18" s="15">
        <v>35463</v>
      </c>
      <c r="J18" s="15">
        <v>35278</v>
      </c>
      <c r="K18" s="72">
        <v>0.93567944054366525</v>
      </c>
      <c r="L18" s="72">
        <v>5.2167047345120267E-3</v>
      </c>
      <c r="M18" s="101"/>
      <c r="N18" s="101"/>
    </row>
    <row r="19" spans="1:14" x14ac:dyDescent="0.25">
      <c r="A19" s="14">
        <v>41129</v>
      </c>
      <c r="B19" s="15">
        <v>19475</v>
      </c>
      <c r="C19" s="15">
        <v>19288</v>
      </c>
      <c r="D19" s="15">
        <v>17002</v>
      </c>
      <c r="E19" s="15">
        <v>187</v>
      </c>
      <c r="H19" s="14">
        <v>41129</v>
      </c>
      <c r="I19" s="15">
        <v>36483</v>
      </c>
      <c r="J19" s="15">
        <v>36223</v>
      </c>
      <c r="K19" s="72">
        <v>0.89236082559000085</v>
      </c>
      <c r="L19" s="72">
        <v>7.1266069128087051E-3</v>
      </c>
      <c r="M19" s="101"/>
      <c r="N19" s="101"/>
    </row>
    <row r="20" spans="1:14" x14ac:dyDescent="0.25">
      <c r="A20" s="14">
        <v>41130</v>
      </c>
      <c r="B20" s="15">
        <v>19098</v>
      </c>
      <c r="C20" s="15">
        <v>19058</v>
      </c>
      <c r="D20" s="15">
        <v>17978</v>
      </c>
      <c r="E20" s="15">
        <v>40</v>
      </c>
      <c r="H20" s="14">
        <v>41130</v>
      </c>
      <c r="I20" s="15">
        <v>34571</v>
      </c>
      <c r="J20" s="15">
        <v>34411</v>
      </c>
      <c r="K20" s="72">
        <v>0.93106939342223249</v>
      </c>
      <c r="L20" s="72">
        <v>4.6281565473952156E-3</v>
      </c>
      <c r="M20" s="101"/>
      <c r="N20" s="101"/>
    </row>
    <row r="21" spans="1:14" x14ac:dyDescent="0.25">
      <c r="A21" s="14">
        <v>41131</v>
      </c>
      <c r="B21" s="15">
        <v>16449</v>
      </c>
      <c r="C21" s="15">
        <v>16421</v>
      </c>
      <c r="D21" s="15">
        <v>15956</v>
      </c>
      <c r="E21" s="15">
        <v>28</v>
      </c>
      <c r="H21" s="14">
        <v>41131</v>
      </c>
      <c r="I21" s="15">
        <v>30721</v>
      </c>
      <c r="J21" s="15">
        <v>30630</v>
      </c>
      <c r="K21" s="72">
        <v>0.94694183132059506</v>
      </c>
      <c r="L21" s="72">
        <v>2.9621431594023633E-3</v>
      </c>
      <c r="M21" s="101"/>
      <c r="N21" s="101"/>
    </row>
    <row r="22" spans="1:14" x14ac:dyDescent="0.25">
      <c r="A22" s="14">
        <v>41132</v>
      </c>
      <c r="B22" s="15">
        <v>13207</v>
      </c>
      <c r="C22" s="15">
        <v>13166</v>
      </c>
      <c r="D22" s="15">
        <v>12012</v>
      </c>
      <c r="E22" s="15">
        <v>41</v>
      </c>
      <c r="H22" s="14">
        <v>41132</v>
      </c>
      <c r="I22" s="15">
        <v>25374</v>
      </c>
      <c r="J22" s="15">
        <v>25008</v>
      </c>
      <c r="K22" s="72">
        <v>0.81035705840624261</v>
      </c>
      <c r="L22" s="72">
        <v>1.4424213762118705E-2</v>
      </c>
      <c r="M22" s="101"/>
      <c r="N22" s="101"/>
    </row>
    <row r="23" spans="1:14" x14ac:dyDescent="0.25">
      <c r="A23" s="14">
        <v>41133</v>
      </c>
      <c r="B23" s="15">
        <v>8570</v>
      </c>
      <c r="C23" s="15">
        <v>8454</v>
      </c>
      <c r="D23" s="15">
        <v>7084</v>
      </c>
      <c r="E23" s="15">
        <v>116</v>
      </c>
      <c r="H23" s="14">
        <v>41133</v>
      </c>
      <c r="I23" s="15">
        <v>14474</v>
      </c>
      <c r="J23" s="15">
        <v>14024</v>
      </c>
      <c r="K23" s="72">
        <v>0.73801298880751698</v>
      </c>
      <c r="L23" s="72">
        <v>3.1090230758601629E-2</v>
      </c>
      <c r="M23" s="101"/>
      <c r="N23" s="101"/>
    </row>
    <row r="24" spans="1:14" x14ac:dyDescent="0.25">
      <c r="A24" s="14">
        <v>41134</v>
      </c>
      <c r="B24" s="15">
        <v>19292</v>
      </c>
      <c r="C24" s="15">
        <v>19219</v>
      </c>
      <c r="D24" s="15">
        <v>17575</v>
      </c>
      <c r="E24" s="15">
        <v>73</v>
      </c>
      <c r="H24" s="14">
        <v>41134</v>
      </c>
      <c r="I24" s="15">
        <v>37664</v>
      </c>
      <c r="J24" s="15">
        <v>37268</v>
      </c>
      <c r="K24" s="72">
        <v>0.84579439252336452</v>
      </c>
      <c r="L24" s="72">
        <v>1.0514018691588784E-2</v>
      </c>
      <c r="M24" s="101"/>
      <c r="N24" s="101"/>
    </row>
    <row r="25" spans="1:14" x14ac:dyDescent="0.25">
      <c r="A25" s="14">
        <v>41135</v>
      </c>
      <c r="B25" s="15">
        <v>18956</v>
      </c>
      <c r="C25" s="15">
        <v>18889</v>
      </c>
      <c r="D25" s="15">
        <v>17214</v>
      </c>
      <c r="E25" s="15">
        <v>67</v>
      </c>
      <c r="H25" s="14">
        <v>41135</v>
      </c>
      <c r="I25" s="15">
        <v>36173</v>
      </c>
      <c r="J25" s="15">
        <v>35987</v>
      </c>
      <c r="K25" s="72">
        <v>0.92289829430790926</v>
      </c>
      <c r="L25" s="72">
        <v>5.1419567080419094E-3</v>
      </c>
      <c r="M25" s="101"/>
      <c r="N25" s="101"/>
    </row>
    <row r="26" spans="1:14" x14ac:dyDescent="0.25">
      <c r="A26" s="14">
        <v>41136</v>
      </c>
      <c r="B26" s="15">
        <v>18807</v>
      </c>
      <c r="C26" s="15">
        <v>18685</v>
      </c>
      <c r="D26" s="15">
        <v>16398</v>
      </c>
      <c r="E26" s="15">
        <v>122</v>
      </c>
      <c r="H26" s="14">
        <v>41136</v>
      </c>
      <c r="I26" s="15">
        <v>35500</v>
      </c>
      <c r="J26" s="15">
        <v>35241</v>
      </c>
      <c r="K26" s="72">
        <v>0.90329577464788735</v>
      </c>
      <c r="L26" s="72">
        <v>7.2957746478873242E-3</v>
      </c>
      <c r="M26" s="101"/>
      <c r="N26" s="101"/>
    </row>
    <row r="27" spans="1:14" x14ac:dyDescent="0.25">
      <c r="A27" s="14">
        <v>41137</v>
      </c>
      <c r="B27" s="15">
        <v>17999</v>
      </c>
      <c r="C27" s="15">
        <v>17948</v>
      </c>
      <c r="D27" s="15">
        <v>16757</v>
      </c>
      <c r="E27" s="15">
        <v>51</v>
      </c>
      <c r="H27" s="14">
        <v>41137</v>
      </c>
      <c r="I27" s="15">
        <v>33865</v>
      </c>
      <c r="J27" s="15">
        <v>33615</v>
      </c>
      <c r="K27" s="72">
        <v>0.87278901520744134</v>
      </c>
      <c r="L27" s="72">
        <v>7.3822530636350218E-3</v>
      </c>
      <c r="M27" s="101"/>
      <c r="N27" s="101"/>
    </row>
    <row r="28" spans="1:14" x14ac:dyDescent="0.25">
      <c r="A28" s="14">
        <v>41138</v>
      </c>
      <c r="B28" s="15">
        <v>16231</v>
      </c>
      <c r="C28" s="15">
        <v>16205</v>
      </c>
      <c r="D28" s="15">
        <v>15473</v>
      </c>
      <c r="E28" s="15">
        <v>26</v>
      </c>
      <c r="H28" s="14">
        <v>41138</v>
      </c>
      <c r="I28" s="15">
        <v>30875</v>
      </c>
      <c r="J28" s="15">
        <v>30737</v>
      </c>
      <c r="K28" s="72">
        <v>0.89706882591093118</v>
      </c>
      <c r="L28" s="72">
        <v>4.4696356275303641E-3</v>
      </c>
      <c r="M28" s="101"/>
      <c r="N28" s="101"/>
    </row>
    <row r="29" spans="1:14" x14ac:dyDescent="0.25">
      <c r="A29" s="14">
        <v>41139</v>
      </c>
      <c r="B29" s="15">
        <v>14365</v>
      </c>
      <c r="C29" s="15">
        <v>14312</v>
      </c>
      <c r="D29" s="15">
        <v>12949</v>
      </c>
      <c r="E29" s="15">
        <v>53</v>
      </c>
      <c r="H29" s="14">
        <v>41139</v>
      </c>
      <c r="I29" s="15">
        <v>27937</v>
      </c>
      <c r="J29" s="15">
        <v>26816</v>
      </c>
      <c r="K29" s="72">
        <v>0.64151483695457634</v>
      </c>
      <c r="L29" s="72">
        <v>4.0125997780720908E-2</v>
      </c>
      <c r="M29" s="101"/>
      <c r="N29" s="101"/>
    </row>
    <row r="30" spans="1:14" x14ac:dyDescent="0.25">
      <c r="A30" s="14">
        <v>41140</v>
      </c>
      <c r="B30" s="15">
        <v>10764</v>
      </c>
      <c r="C30" s="15">
        <v>10335</v>
      </c>
      <c r="D30" s="15">
        <v>8617</v>
      </c>
      <c r="E30" s="15">
        <v>429</v>
      </c>
      <c r="H30" s="14">
        <v>41140</v>
      </c>
      <c r="I30" s="15">
        <v>18428</v>
      </c>
      <c r="J30" s="15">
        <v>17325</v>
      </c>
      <c r="K30" s="72">
        <v>0.70799869763403511</v>
      </c>
      <c r="L30" s="72">
        <v>5.985456913392663E-2</v>
      </c>
      <c r="M30" s="101"/>
      <c r="N30" s="101"/>
    </row>
    <row r="31" spans="1:14" x14ac:dyDescent="0.25">
      <c r="A31" s="14">
        <v>41141</v>
      </c>
      <c r="B31" s="15">
        <v>18991</v>
      </c>
      <c r="C31" s="15">
        <v>18880</v>
      </c>
      <c r="D31" s="15">
        <v>17136</v>
      </c>
      <c r="E31" s="15">
        <v>111</v>
      </c>
      <c r="H31" s="14">
        <v>41141</v>
      </c>
      <c r="I31" s="15">
        <v>36666</v>
      </c>
      <c r="J31" s="15">
        <v>36319</v>
      </c>
      <c r="K31" s="72">
        <v>0.84585174275895925</v>
      </c>
      <c r="L31" s="72">
        <v>9.436535209731086E-3</v>
      </c>
      <c r="M31" s="101"/>
      <c r="N31" s="101"/>
    </row>
    <row r="32" spans="1:14" x14ac:dyDescent="0.25">
      <c r="A32" s="14">
        <v>41142</v>
      </c>
      <c r="B32" s="15">
        <v>19757</v>
      </c>
      <c r="C32" s="15">
        <v>19424</v>
      </c>
      <c r="D32" s="15">
        <v>17274</v>
      </c>
      <c r="E32" s="15">
        <v>333</v>
      </c>
      <c r="H32" s="14">
        <v>41142</v>
      </c>
      <c r="I32" s="15">
        <v>37400</v>
      </c>
      <c r="J32" s="15">
        <v>36762</v>
      </c>
      <c r="K32" s="72">
        <v>0.75732620320855615</v>
      </c>
      <c r="L32" s="72">
        <v>1.7058823529411765E-2</v>
      </c>
      <c r="M32" s="101"/>
      <c r="N32" s="101"/>
    </row>
    <row r="33" spans="1:14" x14ac:dyDescent="0.25">
      <c r="A33" s="14">
        <v>41143</v>
      </c>
      <c r="B33" s="15">
        <v>17592</v>
      </c>
      <c r="C33" s="15">
        <v>17362</v>
      </c>
      <c r="D33" s="15">
        <v>15017</v>
      </c>
      <c r="E33" s="15">
        <v>230</v>
      </c>
      <c r="H33" s="14">
        <v>41143</v>
      </c>
      <c r="I33" s="15">
        <v>34537</v>
      </c>
      <c r="J33" s="15">
        <v>33973</v>
      </c>
      <c r="K33" s="72">
        <v>0.78657671482757618</v>
      </c>
      <c r="L33" s="72">
        <v>1.6330312418565595E-2</v>
      </c>
      <c r="M33" s="101"/>
      <c r="N33" s="101"/>
    </row>
    <row r="34" spans="1:14" x14ac:dyDescent="0.25">
      <c r="A34" s="14">
        <v>41144</v>
      </c>
      <c r="B34" s="15">
        <v>18557</v>
      </c>
      <c r="C34" s="15">
        <v>18456</v>
      </c>
      <c r="D34" s="15">
        <v>16718</v>
      </c>
      <c r="E34" s="15">
        <v>101</v>
      </c>
      <c r="H34" s="14">
        <v>41144</v>
      </c>
      <c r="I34" s="15">
        <v>32608</v>
      </c>
      <c r="J34" s="15">
        <v>32356</v>
      </c>
      <c r="K34" s="72">
        <v>0.8720252698724239</v>
      </c>
      <c r="L34" s="72">
        <v>7.7281648675171736E-3</v>
      </c>
      <c r="M34" s="101"/>
      <c r="N34" s="101"/>
    </row>
    <row r="35" spans="1:14" x14ac:dyDescent="0.25">
      <c r="A35" s="14">
        <v>41145</v>
      </c>
      <c r="B35" s="15">
        <v>16298</v>
      </c>
      <c r="C35" s="15">
        <v>16258</v>
      </c>
      <c r="D35" s="15">
        <v>15353</v>
      </c>
      <c r="E35" s="15">
        <v>40</v>
      </c>
      <c r="H35" s="14">
        <v>41145</v>
      </c>
      <c r="I35" s="15">
        <v>28578</v>
      </c>
      <c r="J35" s="15">
        <v>28479</v>
      </c>
      <c r="K35" s="72">
        <v>0.9248022954720414</v>
      </c>
      <c r="L35" s="72">
        <v>3.4642032332563512E-3</v>
      </c>
      <c r="M35" s="101"/>
      <c r="N35" s="101"/>
    </row>
    <row r="36" spans="1:14" x14ac:dyDescent="0.25">
      <c r="A36" s="14">
        <v>41146</v>
      </c>
      <c r="B36" s="15">
        <v>14565</v>
      </c>
      <c r="C36" s="15">
        <v>14522</v>
      </c>
      <c r="D36" s="15">
        <v>13234</v>
      </c>
      <c r="E36" s="15">
        <v>43</v>
      </c>
      <c r="H36" s="14">
        <v>41146</v>
      </c>
      <c r="I36" s="15">
        <v>26299</v>
      </c>
      <c r="J36" s="15">
        <v>26153</v>
      </c>
      <c r="K36" s="72">
        <v>0.88387391155557249</v>
      </c>
      <c r="L36" s="72">
        <v>5.5515418837218146E-3</v>
      </c>
      <c r="M36" s="101"/>
      <c r="N36" s="101"/>
    </row>
    <row r="37" spans="1:14" x14ac:dyDescent="0.25">
      <c r="A37" s="14">
        <v>41147</v>
      </c>
      <c r="B37" s="15">
        <v>10913</v>
      </c>
      <c r="C37" s="15">
        <v>10867</v>
      </c>
      <c r="D37" s="15">
        <v>9394</v>
      </c>
      <c r="E37" s="15">
        <v>46</v>
      </c>
      <c r="H37" s="14">
        <v>41147</v>
      </c>
      <c r="I37" s="15">
        <v>17122</v>
      </c>
      <c r="J37" s="15">
        <v>16882</v>
      </c>
      <c r="K37" s="72">
        <v>0.82134096484055596</v>
      </c>
      <c r="L37" s="72">
        <v>1.4017054082467001E-2</v>
      </c>
      <c r="M37" s="101"/>
      <c r="N37" s="101"/>
    </row>
    <row r="38" spans="1:14" x14ac:dyDescent="0.25">
      <c r="A38" s="14">
        <v>41148</v>
      </c>
      <c r="B38" s="15">
        <v>18500</v>
      </c>
      <c r="C38" s="15">
        <v>18410</v>
      </c>
      <c r="D38" s="15">
        <v>16303</v>
      </c>
      <c r="E38" s="15">
        <v>90</v>
      </c>
      <c r="H38" s="14">
        <v>41148</v>
      </c>
      <c r="I38" s="15">
        <v>35112</v>
      </c>
      <c r="J38" s="15">
        <v>34706</v>
      </c>
      <c r="K38" s="72">
        <v>0.78933128275233544</v>
      </c>
      <c r="L38" s="72">
        <v>1.1562998405103669E-2</v>
      </c>
      <c r="M38" s="101"/>
      <c r="N38" s="101"/>
    </row>
    <row r="39" spans="1:14" x14ac:dyDescent="0.25">
      <c r="A39" s="14">
        <v>41149</v>
      </c>
      <c r="B39" s="15">
        <v>21193</v>
      </c>
      <c r="C39" s="15">
        <v>21098</v>
      </c>
      <c r="D39" s="15">
        <v>18383</v>
      </c>
      <c r="E39" s="15">
        <v>95</v>
      </c>
      <c r="H39" s="14">
        <v>41149</v>
      </c>
      <c r="I39" s="15">
        <v>36404</v>
      </c>
      <c r="J39" s="15">
        <v>35684</v>
      </c>
      <c r="K39" s="72">
        <v>0.73549609932974402</v>
      </c>
      <c r="L39" s="72">
        <v>1.9778046368530932E-2</v>
      </c>
      <c r="M39" s="101"/>
      <c r="N39" s="101"/>
    </row>
    <row r="40" spans="1:14" x14ac:dyDescent="0.25">
      <c r="A40" s="14">
        <v>41150</v>
      </c>
      <c r="B40" s="15">
        <v>20776</v>
      </c>
      <c r="C40" s="15">
        <v>20645</v>
      </c>
      <c r="D40" s="15">
        <v>17413</v>
      </c>
      <c r="E40" s="15">
        <v>131</v>
      </c>
      <c r="H40" s="14">
        <v>41150</v>
      </c>
      <c r="I40" s="15">
        <v>37325</v>
      </c>
      <c r="J40" s="15">
        <v>35839</v>
      </c>
      <c r="K40" s="72">
        <v>0.62253181513730749</v>
      </c>
      <c r="L40" s="72">
        <v>3.9812458137977229E-2</v>
      </c>
      <c r="M40" s="101"/>
      <c r="N40" s="101"/>
    </row>
    <row r="41" spans="1:14" x14ac:dyDescent="0.25">
      <c r="A41" s="14">
        <v>41151</v>
      </c>
      <c r="B41" s="15">
        <v>19543</v>
      </c>
      <c r="C41" s="15">
        <v>19409</v>
      </c>
      <c r="D41" s="15">
        <v>17351</v>
      </c>
      <c r="E41" s="15">
        <v>134</v>
      </c>
      <c r="H41" s="14">
        <v>41151</v>
      </c>
      <c r="I41" s="15">
        <v>33606</v>
      </c>
      <c r="J41" s="15">
        <v>32957</v>
      </c>
      <c r="K41" s="72">
        <v>0.80667142772124023</v>
      </c>
      <c r="L41" s="72">
        <v>1.9312027614116527E-2</v>
      </c>
      <c r="M41" s="101"/>
      <c r="N41" s="101"/>
    </row>
    <row r="42" spans="1:14" x14ac:dyDescent="0.25">
      <c r="A42" s="14">
        <v>41152</v>
      </c>
      <c r="B42" s="15">
        <v>17171</v>
      </c>
      <c r="C42" s="15">
        <v>17122</v>
      </c>
      <c r="D42" s="15">
        <v>15934</v>
      </c>
      <c r="E42" s="15">
        <v>49</v>
      </c>
      <c r="H42" s="14">
        <v>41152</v>
      </c>
      <c r="I42" s="15">
        <v>30140</v>
      </c>
      <c r="J42" s="15">
        <v>30032</v>
      </c>
      <c r="K42" s="72">
        <v>0.92757133377571332</v>
      </c>
      <c r="L42" s="72">
        <v>3.5832780358327804E-3</v>
      </c>
      <c r="M42" s="101"/>
      <c r="N42" s="101"/>
    </row>
    <row r="43" spans="1:14" x14ac:dyDescent="0.25">
      <c r="I43" s="101"/>
      <c r="J43" s="101"/>
      <c r="K43" s="101"/>
      <c r="L43" s="102"/>
      <c r="M43" s="101"/>
      <c r="N43" s="102"/>
    </row>
  </sheetData>
  <mergeCells count="13">
    <mergeCell ref="A3:H3"/>
    <mergeCell ref="A1:M1"/>
    <mergeCell ref="A6:C6"/>
    <mergeCell ref="A8:C8"/>
    <mergeCell ref="D6:E6"/>
    <mergeCell ref="D8:E8"/>
    <mergeCell ref="F5:H5"/>
    <mergeCell ref="F6:H6"/>
    <mergeCell ref="F8:H8"/>
    <mergeCell ref="D5:E5"/>
    <mergeCell ref="D4:E4"/>
    <mergeCell ref="F4:H4"/>
    <mergeCell ref="A5:C5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02">
    <tabColor theme="0" tint="-0.14999847407452621"/>
  </sheetPr>
  <dimension ref="A1:M1222"/>
  <sheetViews>
    <sheetView showGridLines="0" workbookViewId="0">
      <selection activeCell="A18" sqref="A18"/>
    </sheetView>
  </sheetViews>
  <sheetFormatPr defaultRowHeight="15" x14ac:dyDescent="0.25"/>
  <cols>
    <col min="1" max="1" width="11.85546875" bestFit="1" customWidth="1"/>
    <col min="2" max="2" width="12" bestFit="1" customWidth="1"/>
    <col min="3" max="3" width="11.85546875" bestFit="1" customWidth="1"/>
    <col min="4" max="4" width="10.7109375" bestFit="1" customWidth="1"/>
    <col min="5" max="5" width="16" customWidth="1"/>
    <col min="6" max="6" width="17.28515625" bestFit="1" customWidth="1"/>
    <col min="7" max="7" width="11.140625" bestFit="1" customWidth="1"/>
    <col min="8" max="8" width="15.7109375" bestFit="1" customWidth="1"/>
    <col min="9" max="9" width="31.28515625" bestFit="1" customWidth="1"/>
    <col min="13" max="13" width="18" bestFit="1" customWidth="1"/>
  </cols>
  <sheetData>
    <row r="1" spans="1:13" ht="171.75" customHeight="1" thickBot="1" x14ac:dyDescent="0.3">
      <c r="A1" s="134" t="s">
        <v>1383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6"/>
    </row>
    <row r="3" spans="1:13" x14ac:dyDescent="0.25">
      <c r="B3" s="13" t="s">
        <v>29</v>
      </c>
    </row>
    <row r="5" spans="1:13" ht="30" customHeight="1" x14ac:dyDescent="0.25">
      <c r="C5" s="144" t="s">
        <v>1358</v>
      </c>
      <c r="D5" s="144"/>
      <c r="E5" s="141" t="s">
        <v>1375</v>
      </c>
      <c r="F5" s="142"/>
    </row>
    <row r="6" spans="1:13" x14ac:dyDescent="0.25">
      <c r="B6" s="38" t="s">
        <v>34</v>
      </c>
      <c r="C6" s="143">
        <f>(SUMIF($B$22:$B$1222,$B6,$G$22:$G$1222)+SUMIF($B$22:$B$1222,$B6,$H$22:$H$1222))/SUMIF($B$22:$B$1222,$B6,$F$22:$F$1222)</f>
        <v>303.32153392330383</v>
      </c>
      <c r="D6" s="143"/>
      <c r="E6" s="143">
        <f>(SUMIF($B$22:$B$1222,$B6,$G$22:$G$1222)+SUMIF($B$22:$B$1222,$B6,$H$22:$H$1222)+SUMIF($B$22:$B$1222,$B6,$I$22:$I$1222))/SUMIF($B$22:$B$1222,$B6,$F$22:$F$1222)</f>
        <v>312.77109144542771</v>
      </c>
      <c r="F6" s="143"/>
    </row>
    <row r="7" spans="1:13" x14ac:dyDescent="0.25">
      <c r="B7" s="38" t="s">
        <v>35</v>
      </c>
      <c r="C7" s="143">
        <f>(SUMIF($B$22:$B$1222,$B7,$G$22:$G$1222)+SUMIF($B$22:$B$1222,$B7,$H$22:$H$1222))/SUMIF($B$22:$B$1222,$B7,$F$22:$F$1222)</f>
        <v>247.36556776556776</v>
      </c>
      <c r="D7" s="143"/>
      <c r="E7" s="143">
        <f>(SUMIF($B$22:$B$1222,$B7,$G$22:$G$1222)+SUMIF($B$22:$B$1222,$B7,$H$22:$H$1222)+SUMIF($B$22:$B$1222,$B7,$I$22:$I$1222))/SUMIF($B$22:$B$1222,$B7,$F$22:$F$1222)</f>
        <v>267.47985347985349</v>
      </c>
      <c r="F7" s="143"/>
    </row>
    <row r="8" spans="1:13" x14ac:dyDescent="0.25">
      <c r="B8" s="38" t="s">
        <v>36</v>
      </c>
      <c r="C8" s="143">
        <f>(SUMIF($B$22:$B$1222,$B8,$G$22:$G$1222)+SUMIF($B$22:$B$1222,$B8,$H$22:$H$1222))/SUMIF($B$22:$B$1222,$B8,$F$22:$F$1222)</f>
        <v>330.59919839679361</v>
      </c>
      <c r="D8" s="143"/>
      <c r="E8" s="143">
        <f>(SUMIF($B$22:$B$1222,$B8,$G$22:$G$1222)+SUMIF($B$22:$B$1222,$B8,$H$22:$H$1222)+SUMIF($B$22:$B$1222,$B8,$I$22:$I$1222))/SUMIF($B$22:$B$1222,$B8,$F$22:$F$1222)</f>
        <v>331.73747494989982</v>
      </c>
      <c r="F8" s="143"/>
    </row>
    <row r="9" spans="1:13" ht="3.75" customHeight="1" x14ac:dyDescent="0.25">
      <c r="B9" s="13"/>
      <c r="E9" s="103"/>
      <c r="F9" s="103"/>
    </row>
    <row r="10" spans="1:13" x14ac:dyDescent="0.25">
      <c r="B10" s="38" t="s">
        <v>1355</v>
      </c>
      <c r="C10" s="143">
        <f>(SUMIF($A$22:$A$1222,$B10,$G$22:$G$1222)+SUMIF($A$22:$A$1222,$B10,$H$22:$H$1222))/SUMIF($A$22:$A$1222,$B10,$F$22:$F$1222)</f>
        <v>295.5213956550362</v>
      </c>
      <c r="D10" s="143"/>
      <c r="E10" s="143">
        <f>(SUMIF($A$22:$A$1222,$B10,$G$22:$G$1222)+SUMIF($A$22:$A$1222,$B10,$H$22:$H$1222)+SUMIF($A$22:$A$1222,$B10,$I$22:$I$1222))/SUMIF($A$22:$A$1222,$B10,$F$22:$F$1222)</f>
        <v>305.43515470704409</v>
      </c>
      <c r="F10" s="143"/>
    </row>
    <row r="11" spans="1:13" ht="7.5" customHeight="1" x14ac:dyDescent="0.25">
      <c r="B11" s="13"/>
      <c r="E11" s="103"/>
      <c r="F11" s="103"/>
    </row>
    <row r="12" spans="1:13" x14ac:dyDescent="0.25">
      <c r="B12" s="38" t="s">
        <v>37</v>
      </c>
      <c r="C12" s="143">
        <f>(SUMIF($B$22:$B$1222,$B12,$G$22:$G$1222)+SUMIF($B$22:$B$1222,$B12,$H$22:$H$1222))/SUMIF($B$22:$B$1222,$B12,$F$22:$F$1222)</f>
        <v>284.24438356164382</v>
      </c>
      <c r="D12" s="143"/>
      <c r="E12" s="143">
        <f>(SUMIF($B$22:$B$1222,$B12,$G$22:$G$1222)+SUMIF($B$22:$B$1222,$B12,$H$22:$H$1222)+SUMIF($B$22:$B$1222,$B12,$I$22:$I$1222))/SUMIF($B$22:$B$1222,$B12,$F$22:$F$1222)</f>
        <v>284.24438356164382</v>
      </c>
      <c r="F12" s="143"/>
    </row>
    <row r="13" spans="1:13" x14ac:dyDescent="0.25">
      <c r="B13" s="38" t="s">
        <v>38</v>
      </c>
      <c r="C13" s="143">
        <f>(SUMIF($B$22:$B$1222,$B13,$G$22:$G$1222)+SUMIF($B$22:$B$1222,$B13,$H$22:$H$1222))/SUMIF($B$22:$B$1222,$B13,$F$22:$F$1222)</f>
        <v>263.56160287081337</v>
      </c>
      <c r="D13" s="143"/>
      <c r="E13" s="143">
        <f>(SUMIF($B$22:$B$1222,$B13,$G$22:$G$1222)+SUMIF($B$22:$B$1222,$B13,$H$22:$H$1222)+SUMIF($B$22:$B$1222,$B13,$I$22:$I$1222))/SUMIF($B$22:$B$1222,$B13,$F$22:$F$1222)</f>
        <v>263.67404306220095</v>
      </c>
      <c r="F13" s="143"/>
    </row>
    <row r="14" spans="1:13" x14ac:dyDescent="0.25">
      <c r="B14" s="38" t="s">
        <v>39</v>
      </c>
      <c r="C14" s="143">
        <f>(SUMIF($B$22:$B$1222,$B14,$G$22:$G$1222)+SUMIF($B$22:$B$1222,$B14,$H$22:$H$1222))/SUMIF($B$22:$B$1222,$B14,$F$22:$F$1222)</f>
        <v>318.08734270910435</v>
      </c>
      <c r="D14" s="143"/>
      <c r="E14" s="143">
        <f>(SUMIF($B$22:$B$1222,$B14,$G$22:$G$1222)+SUMIF($B$22:$B$1222,$B14,$H$22:$H$1222)+SUMIF($B$22:$B$1222,$B14,$I$22:$I$1222))/SUMIF($B$22:$B$1222,$B14,$F$22:$F$1222)</f>
        <v>319.07772020725389</v>
      </c>
      <c r="F14" s="143"/>
    </row>
    <row r="15" spans="1:13" ht="3.75" customHeight="1" x14ac:dyDescent="0.25">
      <c r="B15" s="13"/>
      <c r="E15" s="103"/>
      <c r="F15" s="103"/>
    </row>
    <row r="16" spans="1:13" x14ac:dyDescent="0.25">
      <c r="B16" s="38" t="s">
        <v>1356</v>
      </c>
      <c r="C16" s="143">
        <f>(SUMIF($A$22:$A$1222,$B16,$G$22:$G$1222)+SUMIF($A$22:$A$1222,$B16,$H$22:$H$1222))/SUMIF($A$22:$A$1222,$B16,$F$22:$F$1222)</f>
        <v>286.54228547854785</v>
      </c>
      <c r="D16" s="143"/>
      <c r="E16" s="143">
        <f>(SUMIF($A$22:$A$1222,$B16,$G$22:$G$1222)+SUMIF($A$22:$A$1222,$B16,$H$22:$H$1222)+SUMIF($A$22:$A$1222,$B16,$I$22:$I$1222))/SUMIF($A$22:$A$1222,$B16,$F$22:$F$1222)</f>
        <v>286.85705445544556</v>
      </c>
      <c r="F16" s="143"/>
    </row>
    <row r="17" spans="1:9" ht="7.5" customHeight="1" x14ac:dyDescent="0.25">
      <c r="B17" s="13"/>
      <c r="E17" s="103"/>
      <c r="F17" s="103"/>
    </row>
    <row r="18" spans="1:9" x14ac:dyDescent="0.25">
      <c r="B18" s="38" t="s">
        <v>1357</v>
      </c>
      <c r="C18" s="143">
        <f>SUM(G22:H1222)/SUM(F22:F1222)</f>
        <v>290.8929292929293</v>
      </c>
      <c r="D18" s="143"/>
      <c r="E18" s="143">
        <f>SUM(G22:I1222)/SUM(F22:F1222)</f>
        <v>295.85869218500795</v>
      </c>
      <c r="F18" s="143"/>
    </row>
    <row r="20" spans="1:9" x14ac:dyDescent="0.25">
      <c r="A20" s="13" t="s">
        <v>16</v>
      </c>
      <c r="B20" s="13"/>
    </row>
    <row r="21" spans="1:9" ht="30" x14ac:dyDescent="0.25">
      <c r="A21" s="23" t="s">
        <v>1354</v>
      </c>
      <c r="B21" s="23" t="s">
        <v>41</v>
      </c>
      <c r="C21" s="23" t="s">
        <v>40</v>
      </c>
      <c r="D21" s="23" t="s">
        <v>20</v>
      </c>
      <c r="E21" s="23" t="s">
        <v>1376</v>
      </c>
      <c r="F21" s="23" t="s">
        <v>22</v>
      </c>
      <c r="G21" s="23" t="s">
        <v>32</v>
      </c>
      <c r="H21" s="23" t="s">
        <v>43</v>
      </c>
      <c r="I21" s="23" t="s">
        <v>1377</v>
      </c>
    </row>
    <row r="22" spans="1:9" x14ac:dyDescent="0.25">
      <c r="A22" s="42" t="s">
        <v>1356</v>
      </c>
      <c r="B22" s="43" t="s">
        <v>39</v>
      </c>
      <c r="C22" s="24">
        <v>611704</v>
      </c>
      <c r="D22" s="20">
        <v>41125</v>
      </c>
      <c r="E22" s="25">
        <v>477</v>
      </c>
      <c r="F22" s="25">
        <v>47</v>
      </c>
      <c r="G22" s="25">
        <v>15460</v>
      </c>
      <c r="H22" s="25">
        <v>0</v>
      </c>
      <c r="I22" s="25">
        <v>0</v>
      </c>
    </row>
    <row r="23" spans="1:9" x14ac:dyDescent="0.25">
      <c r="A23" s="42" t="s">
        <v>1355</v>
      </c>
      <c r="B23" s="42" t="s">
        <v>35</v>
      </c>
      <c r="C23" s="24">
        <v>611419</v>
      </c>
      <c r="D23" s="20">
        <v>41129</v>
      </c>
      <c r="E23" s="25">
        <v>478</v>
      </c>
      <c r="F23" s="25">
        <v>6</v>
      </c>
      <c r="G23" s="25">
        <v>1751</v>
      </c>
      <c r="H23" s="25">
        <v>2</v>
      </c>
      <c r="I23" s="25">
        <v>48</v>
      </c>
    </row>
    <row r="24" spans="1:9" x14ac:dyDescent="0.25">
      <c r="A24" s="42" t="s">
        <v>1356</v>
      </c>
      <c r="B24" s="42" t="s">
        <v>37</v>
      </c>
      <c r="C24" s="24">
        <v>610208</v>
      </c>
      <c r="D24" s="20">
        <v>41123</v>
      </c>
      <c r="E24" s="25">
        <v>85</v>
      </c>
      <c r="F24" s="25">
        <v>0</v>
      </c>
      <c r="G24" s="25">
        <v>0</v>
      </c>
      <c r="H24" s="25">
        <v>0</v>
      </c>
      <c r="I24" s="25">
        <v>0</v>
      </c>
    </row>
    <row r="25" spans="1:9" x14ac:dyDescent="0.25">
      <c r="A25" s="42" t="s">
        <v>1355</v>
      </c>
      <c r="B25" s="42" t="s">
        <v>36</v>
      </c>
      <c r="C25" s="24">
        <v>610832</v>
      </c>
      <c r="D25" s="20">
        <v>41146</v>
      </c>
      <c r="E25" s="25">
        <v>790</v>
      </c>
      <c r="F25" s="25">
        <v>0</v>
      </c>
      <c r="G25" s="25">
        <v>0</v>
      </c>
      <c r="H25" s="25">
        <v>0</v>
      </c>
      <c r="I25" s="25">
        <v>0</v>
      </c>
    </row>
    <row r="26" spans="1:9" x14ac:dyDescent="0.25">
      <c r="A26" s="42" t="s">
        <v>1356</v>
      </c>
      <c r="B26" s="43" t="s">
        <v>39</v>
      </c>
      <c r="C26" s="24">
        <v>611704</v>
      </c>
      <c r="D26" s="20">
        <v>41144</v>
      </c>
      <c r="E26" s="25">
        <v>480</v>
      </c>
      <c r="F26" s="25">
        <v>5</v>
      </c>
      <c r="G26" s="25">
        <v>1201</v>
      </c>
      <c r="H26" s="25">
        <v>0</v>
      </c>
      <c r="I26" s="25">
        <v>0</v>
      </c>
    </row>
    <row r="27" spans="1:9" x14ac:dyDescent="0.25">
      <c r="A27" s="42" t="s">
        <v>1356</v>
      </c>
      <c r="B27" s="42" t="s">
        <v>38</v>
      </c>
      <c r="C27" s="24">
        <v>610340</v>
      </c>
      <c r="D27" s="20">
        <v>41138</v>
      </c>
      <c r="E27" s="25">
        <v>790</v>
      </c>
      <c r="F27" s="25">
        <v>0</v>
      </c>
      <c r="G27" s="25">
        <v>0</v>
      </c>
      <c r="H27" s="25">
        <v>0</v>
      </c>
      <c r="I27" s="25">
        <v>0</v>
      </c>
    </row>
    <row r="28" spans="1:9" x14ac:dyDescent="0.25">
      <c r="A28" s="42" t="s">
        <v>1355</v>
      </c>
      <c r="B28" s="42" t="s">
        <v>35</v>
      </c>
      <c r="C28" s="24">
        <v>611419</v>
      </c>
      <c r="D28" s="20">
        <v>41143</v>
      </c>
      <c r="E28" s="25">
        <v>481</v>
      </c>
      <c r="F28" s="25">
        <v>0</v>
      </c>
      <c r="G28" s="25">
        <v>0</v>
      </c>
      <c r="H28" s="25">
        <v>0</v>
      </c>
      <c r="I28" s="25">
        <v>0</v>
      </c>
    </row>
    <row r="29" spans="1:9" x14ac:dyDescent="0.25">
      <c r="A29" s="42" t="s">
        <v>1356</v>
      </c>
      <c r="B29" s="42" t="s">
        <v>38</v>
      </c>
      <c r="C29" s="24">
        <v>610340</v>
      </c>
      <c r="D29" s="20">
        <v>41152</v>
      </c>
      <c r="E29" s="25">
        <v>480</v>
      </c>
      <c r="F29" s="25">
        <v>8</v>
      </c>
      <c r="G29" s="25">
        <v>2702</v>
      </c>
      <c r="H29" s="25">
        <v>0</v>
      </c>
      <c r="I29" s="25">
        <v>0</v>
      </c>
    </row>
    <row r="30" spans="1:9" x14ac:dyDescent="0.25">
      <c r="A30" s="42" t="s">
        <v>1356</v>
      </c>
      <c r="B30" s="43" t="s">
        <v>39</v>
      </c>
      <c r="C30" s="24">
        <v>611704</v>
      </c>
      <c r="D30" s="20">
        <v>41134</v>
      </c>
      <c r="E30" s="25">
        <v>790</v>
      </c>
      <c r="F30" s="25">
        <v>0</v>
      </c>
      <c r="G30" s="25">
        <v>0</v>
      </c>
      <c r="H30" s="25">
        <v>0</v>
      </c>
      <c r="I30" s="25">
        <v>0</v>
      </c>
    </row>
    <row r="31" spans="1:9" x14ac:dyDescent="0.25">
      <c r="A31" s="42" t="s">
        <v>1356</v>
      </c>
      <c r="B31" s="42" t="s">
        <v>38</v>
      </c>
      <c r="C31" s="24">
        <v>610340</v>
      </c>
      <c r="D31" s="20">
        <v>41122</v>
      </c>
      <c r="E31" s="25">
        <v>481</v>
      </c>
      <c r="F31" s="25">
        <v>0</v>
      </c>
      <c r="G31" s="25">
        <v>0</v>
      </c>
      <c r="H31" s="25">
        <v>0</v>
      </c>
      <c r="I31" s="25">
        <v>0</v>
      </c>
    </row>
    <row r="32" spans="1:9" x14ac:dyDescent="0.25">
      <c r="A32" s="42" t="s">
        <v>1356</v>
      </c>
      <c r="B32" s="43" t="s">
        <v>39</v>
      </c>
      <c r="C32" s="24">
        <v>611704</v>
      </c>
      <c r="D32" s="20">
        <v>41122</v>
      </c>
      <c r="E32" s="25">
        <v>790</v>
      </c>
      <c r="F32" s="25">
        <v>0</v>
      </c>
      <c r="G32" s="25">
        <v>0</v>
      </c>
      <c r="H32" s="25">
        <v>0</v>
      </c>
      <c r="I32" s="25">
        <v>0</v>
      </c>
    </row>
    <row r="33" spans="1:9" x14ac:dyDescent="0.25">
      <c r="A33" s="42" t="s">
        <v>1355</v>
      </c>
      <c r="B33" s="42" t="s">
        <v>36</v>
      </c>
      <c r="C33" s="24">
        <v>610832</v>
      </c>
      <c r="D33" s="20">
        <v>41142</v>
      </c>
      <c r="E33" s="25">
        <v>478</v>
      </c>
      <c r="F33" s="25">
        <v>4</v>
      </c>
      <c r="G33" s="25">
        <v>2635</v>
      </c>
      <c r="H33" s="25">
        <v>0</v>
      </c>
      <c r="I33" s="25">
        <v>30</v>
      </c>
    </row>
    <row r="34" spans="1:9" x14ac:dyDescent="0.25">
      <c r="A34" s="42" t="s">
        <v>1356</v>
      </c>
      <c r="B34" s="42" t="s">
        <v>37</v>
      </c>
      <c r="C34" s="24">
        <v>610208</v>
      </c>
      <c r="D34" s="20">
        <v>41149</v>
      </c>
      <c r="E34" s="25">
        <v>478</v>
      </c>
      <c r="F34" s="25">
        <v>0</v>
      </c>
      <c r="G34" s="25">
        <v>0</v>
      </c>
      <c r="H34" s="25">
        <v>0</v>
      </c>
      <c r="I34" s="25">
        <v>0</v>
      </c>
    </row>
    <row r="35" spans="1:9" x14ac:dyDescent="0.25">
      <c r="A35" s="42" t="s">
        <v>1356</v>
      </c>
      <c r="B35" s="42" t="s">
        <v>37</v>
      </c>
      <c r="C35" s="24">
        <v>610208</v>
      </c>
      <c r="D35" s="20">
        <v>41146</v>
      </c>
      <c r="E35" s="25">
        <v>476</v>
      </c>
      <c r="F35" s="25">
        <v>38</v>
      </c>
      <c r="G35" s="25">
        <v>9230</v>
      </c>
      <c r="H35" s="25">
        <v>0</v>
      </c>
      <c r="I35" s="25">
        <v>0</v>
      </c>
    </row>
    <row r="36" spans="1:9" x14ac:dyDescent="0.25">
      <c r="A36" s="42" t="s">
        <v>1356</v>
      </c>
      <c r="B36" s="42" t="s">
        <v>38</v>
      </c>
      <c r="C36" s="24">
        <v>610340</v>
      </c>
      <c r="D36" s="20">
        <v>41143</v>
      </c>
      <c r="E36" s="25">
        <v>481</v>
      </c>
      <c r="F36" s="25">
        <v>2</v>
      </c>
      <c r="G36" s="25">
        <v>423</v>
      </c>
      <c r="H36" s="25">
        <v>2</v>
      </c>
      <c r="I36" s="25">
        <v>0</v>
      </c>
    </row>
    <row r="37" spans="1:9" x14ac:dyDescent="0.25">
      <c r="A37" s="42" t="s">
        <v>1355</v>
      </c>
      <c r="B37" s="42" t="s">
        <v>34</v>
      </c>
      <c r="C37" s="24">
        <v>613447</v>
      </c>
      <c r="D37" s="20">
        <v>41148</v>
      </c>
      <c r="E37" s="25">
        <v>478</v>
      </c>
      <c r="F37" s="25">
        <v>66</v>
      </c>
      <c r="G37" s="25">
        <v>14475</v>
      </c>
      <c r="H37" s="25">
        <v>9</v>
      </c>
      <c r="I37" s="25">
        <v>375</v>
      </c>
    </row>
    <row r="38" spans="1:9" x14ac:dyDescent="0.25">
      <c r="A38" s="42" t="s">
        <v>1355</v>
      </c>
      <c r="B38" s="42" t="s">
        <v>36</v>
      </c>
      <c r="C38" s="24">
        <v>610832</v>
      </c>
      <c r="D38" s="20">
        <v>41144</v>
      </c>
      <c r="E38" s="25">
        <v>465</v>
      </c>
      <c r="F38" s="25">
        <v>0</v>
      </c>
      <c r="G38" s="25">
        <v>0</v>
      </c>
      <c r="H38" s="25">
        <v>0</v>
      </c>
      <c r="I38" s="25">
        <v>0</v>
      </c>
    </row>
    <row r="39" spans="1:9" x14ac:dyDescent="0.25">
      <c r="A39" s="42" t="s">
        <v>1355</v>
      </c>
      <c r="B39" s="42" t="s">
        <v>36</v>
      </c>
      <c r="C39" s="24">
        <v>610832</v>
      </c>
      <c r="D39" s="20">
        <v>41131</v>
      </c>
      <c r="E39" s="25">
        <v>481</v>
      </c>
      <c r="F39" s="25">
        <v>0</v>
      </c>
      <c r="G39" s="25">
        <v>0</v>
      </c>
      <c r="H39" s="25">
        <v>0</v>
      </c>
      <c r="I39" s="25">
        <v>0</v>
      </c>
    </row>
    <row r="40" spans="1:9" x14ac:dyDescent="0.25">
      <c r="A40" s="42" t="s">
        <v>1356</v>
      </c>
      <c r="B40" s="42" t="s">
        <v>37</v>
      </c>
      <c r="C40" s="24">
        <v>610208</v>
      </c>
      <c r="D40" s="20">
        <v>41130</v>
      </c>
      <c r="E40" s="25">
        <v>477</v>
      </c>
      <c r="F40" s="25">
        <v>52</v>
      </c>
      <c r="G40" s="25">
        <v>13921</v>
      </c>
      <c r="H40" s="25">
        <v>15</v>
      </c>
      <c r="I40" s="25">
        <v>0</v>
      </c>
    </row>
    <row r="41" spans="1:9" x14ac:dyDescent="0.25">
      <c r="A41" s="42" t="s">
        <v>1355</v>
      </c>
      <c r="B41" s="42" t="s">
        <v>36</v>
      </c>
      <c r="C41" s="24">
        <v>610832</v>
      </c>
      <c r="D41" s="20">
        <v>41137</v>
      </c>
      <c r="E41" s="25">
        <v>790</v>
      </c>
      <c r="F41" s="25">
        <v>0</v>
      </c>
      <c r="G41" s="25">
        <v>0</v>
      </c>
      <c r="H41" s="25">
        <v>0</v>
      </c>
      <c r="I41" s="25">
        <v>0</v>
      </c>
    </row>
    <row r="42" spans="1:9" x14ac:dyDescent="0.25">
      <c r="A42" s="42" t="s">
        <v>1356</v>
      </c>
      <c r="B42" s="42" t="s">
        <v>38</v>
      </c>
      <c r="C42" s="24">
        <v>610340</v>
      </c>
      <c r="D42" s="20">
        <v>41144</v>
      </c>
      <c r="E42" s="25">
        <v>85</v>
      </c>
      <c r="F42" s="25">
        <v>0</v>
      </c>
      <c r="G42" s="25">
        <v>0</v>
      </c>
      <c r="H42" s="25">
        <v>0</v>
      </c>
      <c r="I42" s="25">
        <v>0</v>
      </c>
    </row>
    <row r="43" spans="1:9" x14ac:dyDescent="0.25">
      <c r="A43" s="42" t="s">
        <v>1355</v>
      </c>
      <c r="B43" s="42" t="s">
        <v>34</v>
      </c>
      <c r="C43" s="24">
        <v>613447</v>
      </c>
      <c r="D43" s="20">
        <v>41140</v>
      </c>
      <c r="E43" s="25">
        <v>480</v>
      </c>
      <c r="F43" s="25">
        <v>9</v>
      </c>
      <c r="G43" s="25">
        <v>2153</v>
      </c>
      <c r="H43" s="25">
        <v>3</v>
      </c>
      <c r="I43" s="25">
        <v>22</v>
      </c>
    </row>
    <row r="44" spans="1:9" x14ac:dyDescent="0.25">
      <c r="A44" s="42" t="s">
        <v>1356</v>
      </c>
      <c r="B44" s="42" t="s">
        <v>37</v>
      </c>
      <c r="C44" s="24">
        <v>610208</v>
      </c>
      <c r="D44" s="20">
        <v>41129</v>
      </c>
      <c r="E44" s="25">
        <v>85</v>
      </c>
      <c r="F44" s="25">
        <v>0</v>
      </c>
      <c r="G44" s="25">
        <v>0</v>
      </c>
      <c r="H44" s="25">
        <v>0</v>
      </c>
      <c r="I44" s="25">
        <v>0</v>
      </c>
    </row>
    <row r="45" spans="1:9" x14ac:dyDescent="0.25">
      <c r="A45" s="42" t="s">
        <v>1355</v>
      </c>
      <c r="B45" s="42" t="s">
        <v>34</v>
      </c>
      <c r="C45" s="24">
        <v>613447</v>
      </c>
      <c r="D45" s="20">
        <v>41137</v>
      </c>
      <c r="E45" s="25">
        <v>85</v>
      </c>
      <c r="F45" s="25">
        <v>0</v>
      </c>
      <c r="G45" s="25">
        <v>0</v>
      </c>
      <c r="H45" s="25">
        <v>0</v>
      </c>
      <c r="I45" s="25">
        <v>0</v>
      </c>
    </row>
    <row r="46" spans="1:9" x14ac:dyDescent="0.25">
      <c r="A46" s="42" t="s">
        <v>1355</v>
      </c>
      <c r="B46" s="42" t="s">
        <v>35</v>
      </c>
      <c r="C46" s="24">
        <v>611419</v>
      </c>
      <c r="D46" s="20">
        <v>41137</v>
      </c>
      <c r="E46" s="25">
        <v>477</v>
      </c>
      <c r="F46" s="25">
        <v>9</v>
      </c>
      <c r="G46" s="25">
        <v>2293</v>
      </c>
      <c r="H46" s="25">
        <v>4</v>
      </c>
      <c r="I46" s="25">
        <v>95</v>
      </c>
    </row>
    <row r="47" spans="1:9" x14ac:dyDescent="0.25">
      <c r="A47" s="42" t="s">
        <v>1356</v>
      </c>
      <c r="B47" s="43" t="s">
        <v>39</v>
      </c>
      <c r="C47" s="24">
        <v>611704</v>
      </c>
      <c r="D47" s="20">
        <v>41139</v>
      </c>
      <c r="E47" s="25">
        <v>790</v>
      </c>
      <c r="F47" s="25">
        <v>0</v>
      </c>
      <c r="G47" s="25">
        <v>0</v>
      </c>
      <c r="H47" s="25">
        <v>0</v>
      </c>
      <c r="I47" s="25">
        <v>0</v>
      </c>
    </row>
    <row r="48" spans="1:9" x14ac:dyDescent="0.25">
      <c r="A48" s="42" t="s">
        <v>1356</v>
      </c>
      <c r="B48" s="42" t="s">
        <v>37</v>
      </c>
      <c r="C48" s="24">
        <v>610208</v>
      </c>
      <c r="D48" s="20">
        <v>41152</v>
      </c>
      <c r="E48" s="25">
        <v>473</v>
      </c>
      <c r="F48" s="25">
        <v>20</v>
      </c>
      <c r="G48" s="25">
        <v>4515</v>
      </c>
      <c r="H48" s="25">
        <v>0</v>
      </c>
      <c r="I48" s="25">
        <v>0</v>
      </c>
    </row>
    <row r="49" spans="1:9" x14ac:dyDescent="0.25">
      <c r="A49" s="42" t="s">
        <v>1355</v>
      </c>
      <c r="B49" s="42" t="s">
        <v>35</v>
      </c>
      <c r="C49" s="24">
        <v>611419</v>
      </c>
      <c r="D49" s="20">
        <v>41146</v>
      </c>
      <c r="E49" s="25">
        <v>481</v>
      </c>
      <c r="F49" s="25">
        <v>0</v>
      </c>
      <c r="G49" s="25">
        <v>0</v>
      </c>
      <c r="H49" s="25">
        <v>0</v>
      </c>
      <c r="I49" s="25">
        <v>0</v>
      </c>
    </row>
    <row r="50" spans="1:9" x14ac:dyDescent="0.25">
      <c r="A50" s="42" t="s">
        <v>1356</v>
      </c>
      <c r="B50" s="43" t="s">
        <v>39</v>
      </c>
      <c r="C50" s="24">
        <v>611704</v>
      </c>
      <c r="D50" s="20">
        <v>41142</v>
      </c>
      <c r="E50" s="25">
        <v>477</v>
      </c>
      <c r="F50" s="25">
        <v>10</v>
      </c>
      <c r="G50" s="25">
        <v>4237</v>
      </c>
      <c r="H50" s="25">
        <v>0</v>
      </c>
      <c r="I50" s="25">
        <v>0</v>
      </c>
    </row>
    <row r="51" spans="1:9" x14ac:dyDescent="0.25">
      <c r="A51" s="42" t="s">
        <v>1355</v>
      </c>
      <c r="B51" s="42" t="s">
        <v>36</v>
      </c>
      <c r="C51" s="24">
        <v>610832</v>
      </c>
      <c r="D51" s="20">
        <v>41145</v>
      </c>
      <c r="E51" s="25">
        <v>85</v>
      </c>
      <c r="F51" s="25">
        <v>0</v>
      </c>
      <c r="G51" s="25">
        <v>0</v>
      </c>
      <c r="H51" s="25">
        <v>0</v>
      </c>
      <c r="I51" s="25">
        <v>0</v>
      </c>
    </row>
    <row r="52" spans="1:9" x14ac:dyDescent="0.25">
      <c r="A52" s="42" t="s">
        <v>1356</v>
      </c>
      <c r="B52" s="42" t="s">
        <v>37</v>
      </c>
      <c r="C52" s="24">
        <v>610208</v>
      </c>
      <c r="D52" s="20">
        <v>41138</v>
      </c>
      <c r="E52" s="25">
        <v>466</v>
      </c>
      <c r="F52" s="25">
        <v>35</v>
      </c>
      <c r="G52" s="25">
        <v>10223</v>
      </c>
      <c r="H52" s="25">
        <v>0</v>
      </c>
      <c r="I52" s="25">
        <v>0</v>
      </c>
    </row>
    <row r="53" spans="1:9" x14ac:dyDescent="0.25">
      <c r="A53" s="42" t="s">
        <v>1356</v>
      </c>
      <c r="B53" s="43" t="s">
        <v>39</v>
      </c>
      <c r="C53" s="24">
        <v>611704</v>
      </c>
      <c r="D53" s="20">
        <v>41127</v>
      </c>
      <c r="E53" s="25">
        <v>85</v>
      </c>
      <c r="F53" s="25">
        <v>0</v>
      </c>
      <c r="G53" s="25">
        <v>0</v>
      </c>
      <c r="H53" s="25">
        <v>0</v>
      </c>
      <c r="I53" s="25">
        <v>0</v>
      </c>
    </row>
    <row r="54" spans="1:9" x14ac:dyDescent="0.25">
      <c r="A54" s="42" t="s">
        <v>1355</v>
      </c>
      <c r="B54" s="42" t="s">
        <v>34</v>
      </c>
      <c r="C54" s="24">
        <v>613447</v>
      </c>
      <c r="D54" s="20">
        <v>41128</v>
      </c>
      <c r="E54" s="25">
        <v>478</v>
      </c>
      <c r="F54" s="25">
        <v>9</v>
      </c>
      <c r="G54" s="25">
        <v>4134</v>
      </c>
      <c r="H54" s="25">
        <v>2</v>
      </c>
      <c r="I54" s="25">
        <v>58</v>
      </c>
    </row>
    <row r="55" spans="1:9" x14ac:dyDescent="0.25">
      <c r="A55" s="42" t="s">
        <v>1356</v>
      </c>
      <c r="B55" s="42" t="s">
        <v>37</v>
      </c>
      <c r="C55" s="24">
        <v>610208</v>
      </c>
      <c r="D55" s="20">
        <v>41125</v>
      </c>
      <c r="E55" s="25">
        <v>790</v>
      </c>
      <c r="F55" s="25">
        <v>0</v>
      </c>
      <c r="G55" s="25">
        <v>0</v>
      </c>
      <c r="H55" s="25">
        <v>0</v>
      </c>
      <c r="I55" s="25">
        <v>0</v>
      </c>
    </row>
    <row r="56" spans="1:9" x14ac:dyDescent="0.25">
      <c r="A56" s="42" t="s">
        <v>1356</v>
      </c>
      <c r="B56" s="42" t="s">
        <v>37</v>
      </c>
      <c r="C56" s="24">
        <v>610208</v>
      </c>
      <c r="D56" s="20">
        <v>41149</v>
      </c>
      <c r="E56" s="25">
        <v>481</v>
      </c>
      <c r="F56" s="25">
        <v>0</v>
      </c>
      <c r="G56" s="25">
        <v>0</v>
      </c>
      <c r="H56" s="25">
        <v>0</v>
      </c>
      <c r="I56" s="25">
        <v>0</v>
      </c>
    </row>
    <row r="57" spans="1:9" x14ac:dyDescent="0.25">
      <c r="A57" s="42" t="s">
        <v>1355</v>
      </c>
      <c r="B57" s="42" t="s">
        <v>35</v>
      </c>
      <c r="C57" s="24">
        <v>611419</v>
      </c>
      <c r="D57" s="20">
        <v>41142</v>
      </c>
      <c r="E57" s="25">
        <v>482</v>
      </c>
      <c r="F57" s="25">
        <v>16</v>
      </c>
      <c r="G57" s="25">
        <v>3432</v>
      </c>
      <c r="H57" s="25">
        <v>1</v>
      </c>
      <c r="I57" s="25">
        <v>614</v>
      </c>
    </row>
    <row r="58" spans="1:9" x14ac:dyDescent="0.25">
      <c r="A58" s="42" t="s">
        <v>1356</v>
      </c>
      <c r="B58" s="42" t="s">
        <v>37</v>
      </c>
      <c r="C58" s="24">
        <v>610208</v>
      </c>
      <c r="D58" s="20">
        <v>41131</v>
      </c>
      <c r="E58" s="25">
        <v>85</v>
      </c>
      <c r="F58" s="25">
        <v>0</v>
      </c>
      <c r="G58" s="25">
        <v>0</v>
      </c>
      <c r="H58" s="25">
        <v>0</v>
      </c>
      <c r="I58" s="25">
        <v>0</v>
      </c>
    </row>
    <row r="59" spans="1:9" x14ac:dyDescent="0.25">
      <c r="A59" s="42" t="s">
        <v>1355</v>
      </c>
      <c r="B59" s="42" t="s">
        <v>36</v>
      </c>
      <c r="C59" s="24">
        <v>610832</v>
      </c>
      <c r="D59" s="20">
        <v>41150</v>
      </c>
      <c r="E59" s="25">
        <v>477</v>
      </c>
      <c r="F59" s="25">
        <v>6</v>
      </c>
      <c r="G59" s="25">
        <v>1811</v>
      </c>
      <c r="H59" s="25">
        <v>2</v>
      </c>
      <c r="I59" s="25">
        <v>24</v>
      </c>
    </row>
    <row r="60" spans="1:9" x14ac:dyDescent="0.25">
      <c r="A60" s="42" t="s">
        <v>1355</v>
      </c>
      <c r="B60" s="42" t="s">
        <v>34</v>
      </c>
      <c r="C60" s="24">
        <v>613447</v>
      </c>
      <c r="D60" s="20">
        <v>41149</v>
      </c>
      <c r="E60" s="25">
        <v>477</v>
      </c>
      <c r="F60" s="25">
        <v>2</v>
      </c>
      <c r="G60" s="25">
        <v>85</v>
      </c>
      <c r="H60" s="25">
        <v>0</v>
      </c>
      <c r="I60" s="25">
        <v>0</v>
      </c>
    </row>
    <row r="61" spans="1:9" x14ac:dyDescent="0.25">
      <c r="A61" s="42" t="s">
        <v>1355</v>
      </c>
      <c r="B61" s="42" t="s">
        <v>36</v>
      </c>
      <c r="C61" s="24">
        <v>610832</v>
      </c>
      <c r="D61" s="20">
        <v>41129</v>
      </c>
      <c r="E61" s="25">
        <v>477</v>
      </c>
      <c r="F61" s="25">
        <v>38</v>
      </c>
      <c r="G61" s="25">
        <v>14130</v>
      </c>
      <c r="H61" s="25">
        <v>0</v>
      </c>
      <c r="I61" s="25">
        <v>88</v>
      </c>
    </row>
    <row r="62" spans="1:9" x14ac:dyDescent="0.25">
      <c r="A62" s="42" t="s">
        <v>1355</v>
      </c>
      <c r="B62" s="42" t="s">
        <v>35</v>
      </c>
      <c r="C62" s="24">
        <v>611419</v>
      </c>
      <c r="D62" s="20">
        <v>41149</v>
      </c>
      <c r="E62" s="25">
        <v>478</v>
      </c>
      <c r="F62" s="25">
        <v>17</v>
      </c>
      <c r="G62" s="25">
        <v>3751</v>
      </c>
      <c r="H62" s="25">
        <v>4</v>
      </c>
      <c r="I62" s="25">
        <v>268</v>
      </c>
    </row>
    <row r="63" spans="1:9" x14ac:dyDescent="0.25">
      <c r="A63" s="42" t="s">
        <v>1355</v>
      </c>
      <c r="B63" s="42" t="s">
        <v>36</v>
      </c>
      <c r="C63" s="24">
        <v>610832</v>
      </c>
      <c r="D63" s="20">
        <v>41124</v>
      </c>
      <c r="E63" s="25">
        <v>790</v>
      </c>
      <c r="F63" s="25">
        <v>0</v>
      </c>
      <c r="G63" s="25">
        <v>0</v>
      </c>
      <c r="H63" s="25">
        <v>0</v>
      </c>
      <c r="I63" s="25">
        <v>0</v>
      </c>
    </row>
    <row r="64" spans="1:9" x14ac:dyDescent="0.25">
      <c r="A64" s="42" t="s">
        <v>1356</v>
      </c>
      <c r="B64" s="42" t="s">
        <v>37</v>
      </c>
      <c r="C64" s="24">
        <v>610208</v>
      </c>
      <c r="D64" s="20">
        <v>41149</v>
      </c>
      <c r="E64" s="25">
        <v>790</v>
      </c>
      <c r="F64" s="25">
        <v>0</v>
      </c>
      <c r="G64" s="25">
        <v>0</v>
      </c>
      <c r="H64" s="25">
        <v>0</v>
      </c>
      <c r="I64" s="25">
        <v>0</v>
      </c>
    </row>
    <row r="65" spans="1:9" x14ac:dyDescent="0.25">
      <c r="A65" s="42" t="s">
        <v>1356</v>
      </c>
      <c r="B65" s="42" t="s">
        <v>37</v>
      </c>
      <c r="C65" s="24">
        <v>610208</v>
      </c>
      <c r="D65" s="20">
        <v>41149</v>
      </c>
      <c r="E65" s="25">
        <v>475</v>
      </c>
      <c r="F65" s="25">
        <v>0</v>
      </c>
      <c r="G65" s="25">
        <v>0</v>
      </c>
      <c r="H65" s="25">
        <v>0</v>
      </c>
      <c r="I65" s="25">
        <v>0</v>
      </c>
    </row>
    <row r="66" spans="1:9" x14ac:dyDescent="0.25">
      <c r="A66" s="42" t="s">
        <v>1355</v>
      </c>
      <c r="B66" s="42" t="s">
        <v>36</v>
      </c>
      <c r="C66" s="24">
        <v>610832</v>
      </c>
      <c r="D66" s="20">
        <v>41146</v>
      </c>
      <c r="E66" s="25">
        <v>480</v>
      </c>
      <c r="F66" s="25">
        <v>8</v>
      </c>
      <c r="G66" s="25">
        <v>1571</v>
      </c>
      <c r="H66" s="25">
        <v>24</v>
      </c>
      <c r="I66" s="25">
        <v>27</v>
      </c>
    </row>
    <row r="67" spans="1:9" x14ac:dyDescent="0.25">
      <c r="A67" s="42" t="s">
        <v>1355</v>
      </c>
      <c r="B67" s="42" t="s">
        <v>34</v>
      </c>
      <c r="C67" s="24">
        <v>613447</v>
      </c>
      <c r="D67" s="20">
        <v>41142</v>
      </c>
      <c r="E67" s="25">
        <v>482</v>
      </c>
      <c r="F67" s="25">
        <v>4</v>
      </c>
      <c r="G67" s="25">
        <v>1387</v>
      </c>
      <c r="H67" s="25">
        <v>2</v>
      </c>
      <c r="I67" s="25">
        <v>18</v>
      </c>
    </row>
    <row r="68" spans="1:9" x14ac:dyDescent="0.25">
      <c r="A68" s="42" t="s">
        <v>1356</v>
      </c>
      <c r="B68" s="43" t="s">
        <v>39</v>
      </c>
      <c r="C68" s="24">
        <v>611704</v>
      </c>
      <c r="D68" s="20">
        <v>41151</v>
      </c>
      <c r="E68" s="25">
        <v>477</v>
      </c>
      <c r="F68" s="25">
        <v>11</v>
      </c>
      <c r="G68" s="25">
        <v>2693</v>
      </c>
      <c r="H68" s="25">
        <v>0</v>
      </c>
      <c r="I68" s="25">
        <v>0</v>
      </c>
    </row>
    <row r="69" spans="1:9" x14ac:dyDescent="0.25">
      <c r="A69" s="42" t="s">
        <v>1356</v>
      </c>
      <c r="B69" s="43" t="s">
        <v>39</v>
      </c>
      <c r="C69" s="24">
        <v>611704</v>
      </c>
      <c r="D69" s="20">
        <v>41139</v>
      </c>
      <c r="E69" s="25">
        <v>478</v>
      </c>
      <c r="F69" s="25">
        <v>44</v>
      </c>
      <c r="G69" s="25">
        <v>12554</v>
      </c>
      <c r="H69" s="25">
        <v>0</v>
      </c>
      <c r="I69" s="25">
        <v>0</v>
      </c>
    </row>
    <row r="70" spans="1:9" x14ac:dyDescent="0.25">
      <c r="A70" s="42" t="s">
        <v>1356</v>
      </c>
      <c r="B70" s="43" t="s">
        <v>39</v>
      </c>
      <c r="C70" s="24">
        <v>611704</v>
      </c>
      <c r="D70" s="20">
        <v>41129</v>
      </c>
      <c r="E70" s="25">
        <v>478</v>
      </c>
      <c r="F70" s="25">
        <v>1</v>
      </c>
      <c r="G70" s="25">
        <v>435</v>
      </c>
      <c r="H70" s="25">
        <v>0</v>
      </c>
      <c r="I70" s="25">
        <v>0</v>
      </c>
    </row>
    <row r="71" spans="1:9" x14ac:dyDescent="0.25">
      <c r="A71" s="42" t="s">
        <v>1355</v>
      </c>
      <c r="B71" s="42" t="s">
        <v>35</v>
      </c>
      <c r="C71" s="24">
        <v>611419</v>
      </c>
      <c r="D71" s="20">
        <v>41137</v>
      </c>
      <c r="E71" s="25">
        <v>481</v>
      </c>
      <c r="F71" s="25">
        <v>0</v>
      </c>
      <c r="G71" s="25">
        <v>0</v>
      </c>
      <c r="H71" s="25">
        <v>0</v>
      </c>
      <c r="I71" s="25">
        <v>0</v>
      </c>
    </row>
    <row r="72" spans="1:9" x14ac:dyDescent="0.25">
      <c r="A72" s="42" t="s">
        <v>1356</v>
      </c>
      <c r="B72" s="42" t="s">
        <v>37</v>
      </c>
      <c r="C72" s="24">
        <v>610208</v>
      </c>
      <c r="D72" s="20">
        <v>41144</v>
      </c>
      <c r="E72" s="25">
        <v>478</v>
      </c>
      <c r="F72" s="25">
        <v>4</v>
      </c>
      <c r="G72" s="25">
        <v>791</v>
      </c>
      <c r="H72" s="25">
        <v>1</v>
      </c>
      <c r="I72" s="25">
        <v>0</v>
      </c>
    </row>
    <row r="73" spans="1:9" x14ac:dyDescent="0.25">
      <c r="A73" s="42" t="s">
        <v>1355</v>
      </c>
      <c r="B73" s="42" t="s">
        <v>35</v>
      </c>
      <c r="C73" s="24">
        <v>611419</v>
      </c>
      <c r="D73" s="20">
        <v>41146</v>
      </c>
      <c r="E73" s="25">
        <v>467</v>
      </c>
      <c r="F73" s="25">
        <v>0</v>
      </c>
      <c r="G73" s="25">
        <v>0</v>
      </c>
      <c r="H73" s="25">
        <v>0</v>
      </c>
      <c r="I73" s="25">
        <v>0</v>
      </c>
    </row>
    <row r="74" spans="1:9" x14ac:dyDescent="0.25">
      <c r="A74" s="42" t="s">
        <v>1355</v>
      </c>
      <c r="B74" s="42" t="s">
        <v>34</v>
      </c>
      <c r="C74" s="24">
        <v>613447</v>
      </c>
      <c r="D74" s="20">
        <v>41140</v>
      </c>
      <c r="E74" s="25">
        <v>85</v>
      </c>
      <c r="F74" s="25">
        <v>0</v>
      </c>
      <c r="G74" s="25">
        <v>0</v>
      </c>
      <c r="H74" s="25">
        <v>0</v>
      </c>
      <c r="I74" s="25">
        <v>0</v>
      </c>
    </row>
    <row r="75" spans="1:9" x14ac:dyDescent="0.25">
      <c r="A75" s="42" t="s">
        <v>1356</v>
      </c>
      <c r="B75" s="42" t="s">
        <v>38</v>
      </c>
      <c r="C75" s="24">
        <v>610340</v>
      </c>
      <c r="D75" s="20">
        <v>41123</v>
      </c>
      <c r="E75" s="25">
        <v>481</v>
      </c>
      <c r="F75" s="25">
        <v>0</v>
      </c>
      <c r="G75" s="25">
        <v>0</v>
      </c>
      <c r="H75" s="25">
        <v>0</v>
      </c>
      <c r="I75" s="25">
        <v>0</v>
      </c>
    </row>
    <row r="76" spans="1:9" x14ac:dyDescent="0.25">
      <c r="A76" s="42" t="s">
        <v>1355</v>
      </c>
      <c r="B76" s="42" t="s">
        <v>34</v>
      </c>
      <c r="C76" s="24">
        <v>613447</v>
      </c>
      <c r="D76" s="20">
        <v>41146</v>
      </c>
      <c r="E76" s="25">
        <v>85</v>
      </c>
      <c r="F76" s="25">
        <v>0</v>
      </c>
      <c r="G76" s="25">
        <v>0</v>
      </c>
      <c r="H76" s="25">
        <v>0</v>
      </c>
      <c r="I76" s="25">
        <v>0</v>
      </c>
    </row>
    <row r="77" spans="1:9" x14ac:dyDescent="0.25">
      <c r="A77" s="42" t="s">
        <v>1355</v>
      </c>
      <c r="B77" s="42" t="s">
        <v>35</v>
      </c>
      <c r="C77" s="24">
        <v>611419</v>
      </c>
      <c r="D77" s="20">
        <v>41142</v>
      </c>
      <c r="E77" s="25">
        <v>465</v>
      </c>
      <c r="F77" s="25">
        <v>0</v>
      </c>
      <c r="G77" s="25">
        <v>0</v>
      </c>
      <c r="H77" s="25">
        <v>0</v>
      </c>
      <c r="I77" s="25">
        <v>0</v>
      </c>
    </row>
    <row r="78" spans="1:9" x14ac:dyDescent="0.25">
      <c r="A78" s="42" t="s">
        <v>1356</v>
      </c>
      <c r="B78" s="43" t="s">
        <v>39</v>
      </c>
      <c r="C78" s="24">
        <v>611704</v>
      </c>
      <c r="D78" s="20">
        <v>41151</v>
      </c>
      <c r="E78" s="25">
        <v>85</v>
      </c>
      <c r="F78" s="25">
        <v>0</v>
      </c>
      <c r="G78" s="25">
        <v>0</v>
      </c>
      <c r="H78" s="25">
        <v>0</v>
      </c>
      <c r="I78" s="25">
        <v>0</v>
      </c>
    </row>
    <row r="79" spans="1:9" x14ac:dyDescent="0.25">
      <c r="A79" s="42" t="s">
        <v>1356</v>
      </c>
      <c r="B79" s="43" t="s">
        <v>39</v>
      </c>
      <c r="C79" s="24">
        <v>611704</v>
      </c>
      <c r="D79" s="20">
        <v>41142</v>
      </c>
      <c r="E79" s="25">
        <v>467</v>
      </c>
      <c r="F79" s="25">
        <v>0</v>
      </c>
      <c r="G79" s="25">
        <v>0</v>
      </c>
      <c r="H79" s="25">
        <v>0</v>
      </c>
      <c r="I79" s="25">
        <v>0</v>
      </c>
    </row>
    <row r="80" spans="1:9" x14ac:dyDescent="0.25">
      <c r="A80" s="42" t="s">
        <v>1355</v>
      </c>
      <c r="B80" s="42" t="s">
        <v>36</v>
      </c>
      <c r="C80" s="24">
        <v>610832</v>
      </c>
      <c r="D80" s="20">
        <v>41152</v>
      </c>
      <c r="E80" s="25">
        <v>480</v>
      </c>
      <c r="F80" s="25">
        <v>6</v>
      </c>
      <c r="G80" s="25">
        <v>2084</v>
      </c>
      <c r="H80" s="25">
        <v>0</v>
      </c>
      <c r="I80" s="25">
        <v>0</v>
      </c>
    </row>
    <row r="81" spans="1:9" x14ac:dyDescent="0.25">
      <c r="A81" s="42" t="s">
        <v>1356</v>
      </c>
      <c r="B81" s="42" t="s">
        <v>38</v>
      </c>
      <c r="C81" s="24">
        <v>610340</v>
      </c>
      <c r="D81" s="20">
        <v>41151</v>
      </c>
      <c r="E81" s="25">
        <v>85</v>
      </c>
      <c r="F81" s="25">
        <v>0</v>
      </c>
      <c r="G81" s="25">
        <v>0</v>
      </c>
      <c r="H81" s="25">
        <v>0</v>
      </c>
      <c r="I81" s="25">
        <v>0</v>
      </c>
    </row>
    <row r="82" spans="1:9" x14ac:dyDescent="0.25">
      <c r="A82" s="42" t="s">
        <v>1355</v>
      </c>
      <c r="B82" s="42" t="s">
        <v>36</v>
      </c>
      <c r="C82" s="24">
        <v>610832</v>
      </c>
      <c r="D82" s="20">
        <v>41151</v>
      </c>
      <c r="E82" s="25">
        <v>481</v>
      </c>
      <c r="F82" s="25">
        <v>0</v>
      </c>
      <c r="G82" s="25">
        <v>0</v>
      </c>
      <c r="H82" s="25">
        <v>0</v>
      </c>
      <c r="I82" s="25">
        <v>0</v>
      </c>
    </row>
    <row r="83" spans="1:9" x14ac:dyDescent="0.25">
      <c r="A83" s="42" t="s">
        <v>1356</v>
      </c>
      <c r="B83" s="43" t="s">
        <v>39</v>
      </c>
      <c r="C83" s="24">
        <v>611704</v>
      </c>
      <c r="D83" s="20">
        <v>41148</v>
      </c>
      <c r="E83" s="25">
        <v>480</v>
      </c>
      <c r="F83" s="25">
        <v>7</v>
      </c>
      <c r="G83" s="25">
        <v>2324</v>
      </c>
      <c r="H83" s="25">
        <v>7</v>
      </c>
      <c r="I83" s="25">
        <v>0</v>
      </c>
    </row>
    <row r="84" spans="1:9" x14ac:dyDescent="0.25">
      <c r="A84" s="42" t="s">
        <v>1355</v>
      </c>
      <c r="B84" s="42" t="s">
        <v>34</v>
      </c>
      <c r="C84" s="24">
        <v>613447</v>
      </c>
      <c r="D84" s="20">
        <v>41145</v>
      </c>
      <c r="E84" s="25">
        <v>466</v>
      </c>
      <c r="F84" s="25">
        <v>23</v>
      </c>
      <c r="G84" s="25">
        <v>7777</v>
      </c>
      <c r="H84" s="25">
        <v>0</v>
      </c>
      <c r="I84" s="25">
        <v>333</v>
      </c>
    </row>
    <row r="85" spans="1:9" x14ac:dyDescent="0.25">
      <c r="A85" s="42" t="s">
        <v>1356</v>
      </c>
      <c r="B85" s="42" t="s">
        <v>38</v>
      </c>
      <c r="C85" s="24">
        <v>610340</v>
      </c>
      <c r="D85" s="20">
        <v>41150</v>
      </c>
      <c r="E85" s="25">
        <v>480</v>
      </c>
      <c r="F85" s="25">
        <v>0</v>
      </c>
      <c r="G85" s="25">
        <v>0</v>
      </c>
      <c r="H85" s="25">
        <v>0</v>
      </c>
      <c r="I85" s="25">
        <v>0</v>
      </c>
    </row>
    <row r="86" spans="1:9" x14ac:dyDescent="0.25">
      <c r="A86" s="42" t="s">
        <v>1355</v>
      </c>
      <c r="B86" s="42" t="s">
        <v>36</v>
      </c>
      <c r="C86" s="24">
        <v>610832</v>
      </c>
      <c r="D86" s="20">
        <v>41135</v>
      </c>
      <c r="E86" s="25">
        <v>85</v>
      </c>
      <c r="F86" s="25">
        <v>0</v>
      </c>
      <c r="G86" s="25">
        <v>0</v>
      </c>
      <c r="H86" s="25">
        <v>0</v>
      </c>
      <c r="I86" s="25">
        <v>0</v>
      </c>
    </row>
    <row r="87" spans="1:9" x14ac:dyDescent="0.25">
      <c r="A87" s="42" t="s">
        <v>1355</v>
      </c>
      <c r="B87" s="42" t="s">
        <v>36</v>
      </c>
      <c r="C87" s="24">
        <v>610832</v>
      </c>
      <c r="D87" s="20">
        <v>41148</v>
      </c>
      <c r="E87" s="25">
        <v>477</v>
      </c>
      <c r="F87" s="25">
        <v>2</v>
      </c>
      <c r="G87" s="25">
        <v>1670</v>
      </c>
      <c r="H87" s="25">
        <v>0</v>
      </c>
      <c r="I87" s="25">
        <v>0</v>
      </c>
    </row>
    <row r="88" spans="1:9" x14ac:dyDescent="0.25">
      <c r="A88" s="42" t="s">
        <v>1356</v>
      </c>
      <c r="B88" s="42" t="s">
        <v>37</v>
      </c>
      <c r="C88" s="24">
        <v>610208</v>
      </c>
      <c r="D88" s="20">
        <v>41131</v>
      </c>
      <c r="E88" s="25">
        <v>478</v>
      </c>
      <c r="F88" s="25">
        <v>11</v>
      </c>
      <c r="G88" s="25">
        <v>2254</v>
      </c>
      <c r="H88" s="25">
        <v>0</v>
      </c>
      <c r="I88" s="25">
        <v>0</v>
      </c>
    </row>
    <row r="89" spans="1:9" x14ac:dyDescent="0.25">
      <c r="A89" s="42" t="s">
        <v>1355</v>
      </c>
      <c r="B89" s="42" t="s">
        <v>35</v>
      </c>
      <c r="C89" s="24">
        <v>611419</v>
      </c>
      <c r="D89" s="20">
        <v>41128</v>
      </c>
      <c r="E89" s="25">
        <v>790</v>
      </c>
      <c r="F89" s="25">
        <v>0</v>
      </c>
      <c r="G89" s="25">
        <v>0</v>
      </c>
      <c r="H89" s="25">
        <v>0</v>
      </c>
      <c r="I89" s="25">
        <v>0</v>
      </c>
    </row>
    <row r="90" spans="1:9" x14ac:dyDescent="0.25">
      <c r="A90" s="42" t="s">
        <v>1356</v>
      </c>
      <c r="B90" s="43" t="s">
        <v>39</v>
      </c>
      <c r="C90" s="24">
        <v>611704</v>
      </c>
      <c r="D90" s="20">
        <v>41128</v>
      </c>
      <c r="E90" s="25">
        <v>85</v>
      </c>
      <c r="F90" s="25">
        <v>0</v>
      </c>
      <c r="G90" s="25">
        <v>0</v>
      </c>
      <c r="H90" s="25">
        <v>0</v>
      </c>
      <c r="I90" s="25">
        <v>0</v>
      </c>
    </row>
    <row r="91" spans="1:9" x14ac:dyDescent="0.25">
      <c r="A91" s="42" t="s">
        <v>1355</v>
      </c>
      <c r="B91" s="42" t="s">
        <v>34</v>
      </c>
      <c r="C91" s="24">
        <v>613447</v>
      </c>
      <c r="D91" s="20">
        <v>41150</v>
      </c>
      <c r="E91" s="25">
        <v>466</v>
      </c>
      <c r="F91" s="25">
        <v>1</v>
      </c>
      <c r="G91" s="25">
        <v>318</v>
      </c>
      <c r="H91" s="25">
        <v>0</v>
      </c>
      <c r="I91" s="25">
        <v>44</v>
      </c>
    </row>
    <row r="92" spans="1:9" x14ac:dyDescent="0.25">
      <c r="A92" s="42" t="s">
        <v>1355</v>
      </c>
      <c r="B92" s="42" t="s">
        <v>35</v>
      </c>
      <c r="C92" s="24">
        <v>611419</v>
      </c>
      <c r="D92" s="20">
        <v>41141</v>
      </c>
      <c r="E92" s="25">
        <v>477</v>
      </c>
      <c r="F92" s="25">
        <v>9</v>
      </c>
      <c r="G92" s="25">
        <v>2588</v>
      </c>
      <c r="H92" s="25">
        <v>8</v>
      </c>
      <c r="I92" s="25">
        <v>60</v>
      </c>
    </row>
    <row r="93" spans="1:9" x14ac:dyDescent="0.25">
      <c r="A93" s="42" t="s">
        <v>1356</v>
      </c>
      <c r="B93" s="42" t="s">
        <v>37</v>
      </c>
      <c r="C93" s="24">
        <v>610208</v>
      </c>
      <c r="D93" s="20">
        <v>41138</v>
      </c>
      <c r="E93" s="25">
        <v>482</v>
      </c>
      <c r="F93" s="25">
        <v>8</v>
      </c>
      <c r="G93" s="25">
        <v>1731</v>
      </c>
      <c r="H93" s="25">
        <v>0</v>
      </c>
      <c r="I93" s="25">
        <v>0</v>
      </c>
    </row>
    <row r="94" spans="1:9" x14ac:dyDescent="0.25">
      <c r="A94" s="42" t="s">
        <v>1356</v>
      </c>
      <c r="B94" s="43" t="s">
        <v>39</v>
      </c>
      <c r="C94" s="24">
        <v>611704</v>
      </c>
      <c r="D94" s="20">
        <v>41144</v>
      </c>
      <c r="E94" s="25">
        <v>465</v>
      </c>
      <c r="F94" s="25">
        <v>0</v>
      </c>
      <c r="G94" s="25">
        <v>0</v>
      </c>
      <c r="H94" s="25">
        <v>0</v>
      </c>
      <c r="I94" s="25">
        <v>0</v>
      </c>
    </row>
    <row r="95" spans="1:9" x14ac:dyDescent="0.25">
      <c r="A95" s="42" t="s">
        <v>1355</v>
      </c>
      <c r="B95" s="42" t="s">
        <v>34</v>
      </c>
      <c r="C95" s="24">
        <v>613447</v>
      </c>
      <c r="D95" s="20">
        <v>41137</v>
      </c>
      <c r="E95" s="25">
        <v>478</v>
      </c>
      <c r="F95" s="25">
        <v>2</v>
      </c>
      <c r="G95" s="25">
        <v>430</v>
      </c>
      <c r="H95" s="25">
        <v>0</v>
      </c>
      <c r="I95" s="25">
        <v>70</v>
      </c>
    </row>
    <row r="96" spans="1:9" x14ac:dyDescent="0.25">
      <c r="A96" s="42" t="s">
        <v>1355</v>
      </c>
      <c r="B96" s="42" t="s">
        <v>36</v>
      </c>
      <c r="C96" s="24">
        <v>610832</v>
      </c>
      <c r="D96" s="20">
        <v>41127</v>
      </c>
      <c r="E96" s="25">
        <v>481</v>
      </c>
      <c r="F96" s="25">
        <v>14</v>
      </c>
      <c r="G96" s="25">
        <v>4274</v>
      </c>
      <c r="H96" s="25">
        <v>1</v>
      </c>
      <c r="I96" s="25">
        <v>6</v>
      </c>
    </row>
    <row r="97" spans="1:9" x14ac:dyDescent="0.25">
      <c r="A97" s="42" t="s">
        <v>1356</v>
      </c>
      <c r="B97" s="42" t="s">
        <v>38</v>
      </c>
      <c r="C97" s="24">
        <v>610340</v>
      </c>
      <c r="D97" s="20">
        <v>41145</v>
      </c>
      <c r="E97" s="25">
        <v>482</v>
      </c>
      <c r="F97" s="25">
        <v>13</v>
      </c>
      <c r="G97" s="25">
        <v>4927</v>
      </c>
      <c r="H97" s="25">
        <v>0</v>
      </c>
      <c r="I97" s="25">
        <v>11</v>
      </c>
    </row>
    <row r="98" spans="1:9" x14ac:dyDescent="0.25">
      <c r="A98" s="42" t="s">
        <v>1356</v>
      </c>
      <c r="B98" s="43" t="s">
        <v>39</v>
      </c>
      <c r="C98" s="24">
        <v>611704</v>
      </c>
      <c r="D98" s="20">
        <v>41143</v>
      </c>
      <c r="E98" s="25">
        <v>477</v>
      </c>
      <c r="F98" s="25">
        <v>8</v>
      </c>
      <c r="G98" s="25">
        <v>2591</v>
      </c>
      <c r="H98" s="25">
        <v>0</v>
      </c>
      <c r="I98" s="25">
        <v>0</v>
      </c>
    </row>
    <row r="99" spans="1:9" x14ac:dyDescent="0.25">
      <c r="A99" s="42" t="s">
        <v>1355</v>
      </c>
      <c r="B99" s="42" t="s">
        <v>36</v>
      </c>
      <c r="C99" s="24">
        <v>610832</v>
      </c>
      <c r="D99" s="20">
        <v>41129</v>
      </c>
      <c r="E99" s="25">
        <v>478</v>
      </c>
      <c r="F99" s="25">
        <v>6</v>
      </c>
      <c r="G99" s="25">
        <v>2065</v>
      </c>
      <c r="H99" s="25">
        <v>0</v>
      </c>
      <c r="I99" s="25">
        <v>0</v>
      </c>
    </row>
    <row r="100" spans="1:9" x14ac:dyDescent="0.25">
      <c r="A100" s="42" t="s">
        <v>1355</v>
      </c>
      <c r="B100" s="42" t="s">
        <v>34</v>
      </c>
      <c r="C100" s="24">
        <v>613447</v>
      </c>
      <c r="D100" s="20">
        <v>41143</v>
      </c>
      <c r="E100" s="25">
        <v>480</v>
      </c>
      <c r="F100" s="25">
        <v>6</v>
      </c>
      <c r="G100" s="25">
        <v>2683</v>
      </c>
      <c r="H100" s="25">
        <v>0</v>
      </c>
      <c r="I100" s="25">
        <v>53</v>
      </c>
    </row>
    <row r="101" spans="1:9" x14ac:dyDescent="0.25">
      <c r="A101" s="42" t="s">
        <v>1355</v>
      </c>
      <c r="B101" s="42" t="s">
        <v>36</v>
      </c>
      <c r="C101" s="24">
        <v>610832</v>
      </c>
      <c r="D101" s="20">
        <v>41131</v>
      </c>
      <c r="E101" s="25">
        <v>85</v>
      </c>
      <c r="F101" s="25">
        <v>0</v>
      </c>
      <c r="G101" s="25">
        <v>0</v>
      </c>
      <c r="H101" s="25">
        <v>0</v>
      </c>
      <c r="I101" s="25">
        <v>0</v>
      </c>
    </row>
    <row r="102" spans="1:9" x14ac:dyDescent="0.25">
      <c r="A102" s="42" t="s">
        <v>1355</v>
      </c>
      <c r="B102" s="42" t="s">
        <v>36</v>
      </c>
      <c r="C102" s="24">
        <v>610832</v>
      </c>
      <c r="D102" s="20">
        <v>41141</v>
      </c>
      <c r="E102" s="25">
        <v>480</v>
      </c>
      <c r="F102" s="25">
        <v>4</v>
      </c>
      <c r="G102" s="25">
        <v>802</v>
      </c>
      <c r="H102" s="25">
        <v>0</v>
      </c>
      <c r="I102" s="25">
        <v>0</v>
      </c>
    </row>
    <row r="103" spans="1:9" x14ac:dyDescent="0.25">
      <c r="A103" s="42" t="s">
        <v>1356</v>
      </c>
      <c r="B103" s="42" t="s">
        <v>38</v>
      </c>
      <c r="C103" s="24">
        <v>610340</v>
      </c>
      <c r="D103" s="20">
        <v>41149</v>
      </c>
      <c r="E103" s="25">
        <v>481</v>
      </c>
      <c r="F103" s="25">
        <v>0</v>
      </c>
      <c r="G103" s="25">
        <v>0</v>
      </c>
      <c r="H103" s="25">
        <v>0</v>
      </c>
      <c r="I103" s="25">
        <v>0</v>
      </c>
    </row>
    <row r="104" spans="1:9" x14ac:dyDescent="0.25">
      <c r="A104" s="42" t="s">
        <v>1355</v>
      </c>
      <c r="B104" s="42" t="s">
        <v>34</v>
      </c>
      <c r="C104" s="24">
        <v>613447</v>
      </c>
      <c r="D104" s="20">
        <v>41149</v>
      </c>
      <c r="E104" s="25">
        <v>465</v>
      </c>
      <c r="F104" s="25">
        <v>0</v>
      </c>
      <c r="G104" s="25">
        <v>0</v>
      </c>
      <c r="H104" s="25">
        <v>0</v>
      </c>
      <c r="I104" s="25">
        <v>0</v>
      </c>
    </row>
    <row r="105" spans="1:9" x14ac:dyDescent="0.25">
      <c r="A105" s="42" t="s">
        <v>1355</v>
      </c>
      <c r="B105" s="42" t="s">
        <v>35</v>
      </c>
      <c r="C105" s="24">
        <v>611419</v>
      </c>
      <c r="D105" s="20">
        <v>41149</v>
      </c>
      <c r="E105" s="25">
        <v>466</v>
      </c>
      <c r="F105" s="25">
        <v>21</v>
      </c>
      <c r="G105" s="25">
        <v>5764</v>
      </c>
      <c r="H105" s="25">
        <v>3</v>
      </c>
      <c r="I105" s="25">
        <v>197</v>
      </c>
    </row>
    <row r="106" spans="1:9" x14ac:dyDescent="0.25">
      <c r="A106" s="42" t="s">
        <v>1356</v>
      </c>
      <c r="B106" s="43" t="s">
        <v>39</v>
      </c>
      <c r="C106" s="24">
        <v>611704</v>
      </c>
      <c r="D106" s="20">
        <v>41152</v>
      </c>
      <c r="E106" s="25">
        <v>465</v>
      </c>
      <c r="F106" s="25">
        <v>0</v>
      </c>
      <c r="G106" s="25">
        <v>0</v>
      </c>
      <c r="H106" s="25">
        <v>0</v>
      </c>
      <c r="I106" s="25">
        <v>0</v>
      </c>
    </row>
    <row r="107" spans="1:9" x14ac:dyDescent="0.25">
      <c r="A107" s="42" t="s">
        <v>1355</v>
      </c>
      <c r="B107" s="42" t="s">
        <v>34</v>
      </c>
      <c r="C107" s="24">
        <v>613447</v>
      </c>
      <c r="D107" s="20">
        <v>41150</v>
      </c>
      <c r="E107" s="25">
        <v>481</v>
      </c>
      <c r="F107" s="25">
        <v>0</v>
      </c>
      <c r="G107" s="25">
        <v>0</v>
      </c>
      <c r="H107" s="25">
        <v>0</v>
      </c>
      <c r="I107" s="25">
        <v>0</v>
      </c>
    </row>
    <row r="108" spans="1:9" x14ac:dyDescent="0.25">
      <c r="A108" s="42" t="s">
        <v>1355</v>
      </c>
      <c r="B108" s="42" t="s">
        <v>36</v>
      </c>
      <c r="C108" s="24">
        <v>610832</v>
      </c>
      <c r="D108" s="20">
        <v>41137</v>
      </c>
      <c r="E108" s="25">
        <v>467</v>
      </c>
      <c r="F108" s="25">
        <v>0</v>
      </c>
      <c r="G108" s="25">
        <v>0</v>
      </c>
      <c r="H108" s="25">
        <v>0</v>
      </c>
      <c r="I108" s="25">
        <v>0</v>
      </c>
    </row>
    <row r="109" spans="1:9" x14ac:dyDescent="0.25">
      <c r="A109" s="42" t="s">
        <v>1355</v>
      </c>
      <c r="B109" s="42" t="s">
        <v>36</v>
      </c>
      <c r="C109" s="24">
        <v>610832</v>
      </c>
      <c r="D109" s="20">
        <v>41148</v>
      </c>
      <c r="E109" s="25">
        <v>790</v>
      </c>
      <c r="F109" s="25">
        <v>0</v>
      </c>
      <c r="G109" s="25">
        <v>0</v>
      </c>
      <c r="H109" s="25">
        <v>0</v>
      </c>
      <c r="I109" s="25">
        <v>0</v>
      </c>
    </row>
    <row r="110" spans="1:9" x14ac:dyDescent="0.25">
      <c r="A110" s="42" t="s">
        <v>1356</v>
      </c>
      <c r="B110" s="43" t="s">
        <v>39</v>
      </c>
      <c r="C110" s="24">
        <v>611704</v>
      </c>
      <c r="D110" s="20">
        <v>41141</v>
      </c>
      <c r="E110" s="25">
        <v>85</v>
      </c>
      <c r="F110" s="25">
        <v>0</v>
      </c>
      <c r="G110" s="25">
        <v>0</v>
      </c>
      <c r="H110" s="25">
        <v>0</v>
      </c>
      <c r="I110" s="25">
        <v>0</v>
      </c>
    </row>
    <row r="111" spans="1:9" x14ac:dyDescent="0.25">
      <c r="A111" s="42" t="s">
        <v>1355</v>
      </c>
      <c r="B111" s="42" t="s">
        <v>34</v>
      </c>
      <c r="C111" s="24">
        <v>613447</v>
      </c>
      <c r="D111" s="20">
        <v>41152</v>
      </c>
      <c r="E111" s="25">
        <v>85</v>
      </c>
      <c r="F111" s="25">
        <v>0</v>
      </c>
      <c r="G111" s="25">
        <v>0</v>
      </c>
      <c r="H111" s="25">
        <v>0</v>
      </c>
      <c r="I111" s="25">
        <v>0</v>
      </c>
    </row>
    <row r="112" spans="1:9" x14ac:dyDescent="0.25">
      <c r="A112" s="42" t="s">
        <v>1356</v>
      </c>
      <c r="B112" s="42" t="s">
        <v>37</v>
      </c>
      <c r="C112" s="24">
        <v>610208</v>
      </c>
      <c r="D112" s="20">
        <v>41144</v>
      </c>
      <c r="E112" s="25">
        <v>790</v>
      </c>
      <c r="F112" s="25">
        <v>0</v>
      </c>
      <c r="G112" s="25">
        <v>0</v>
      </c>
      <c r="H112" s="25">
        <v>0</v>
      </c>
      <c r="I112" s="25">
        <v>0</v>
      </c>
    </row>
    <row r="113" spans="1:9" x14ac:dyDescent="0.25">
      <c r="A113" s="42" t="s">
        <v>1355</v>
      </c>
      <c r="B113" s="42" t="s">
        <v>36</v>
      </c>
      <c r="C113" s="24">
        <v>610832</v>
      </c>
      <c r="D113" s="20">
        <v>41152</v>
      </c>
      <c r="E113" s="25">
        <v>85</v>
      </c>
      <c r="F113" s="25">
        <v>0</v>
      </c>
      <c r="G113" s="25">
        <v>0</v>
      </c>
      <c r="H113" s="25">
        <v>0</v>
      </c>
      <c r="I113" s="25">
        <v>0</v>
      </c>
    </row>
    <row r="114" spans="1:9" x14ac:dyDescent="0.25">
      <c r="A114" s="42" t="s">
        <v>1356</v>
      </c>
      <c r="B114" s="42" t="s">
        <v>37</v>
      </c>
      <c r="C114" s="24">
        <v>610208</v>
      </c>
      <c r="D114" s="20">
        <v>41143</v>
      </c>
      <c r="E114" s="25">
        <v>465</v>
      </c>
      <c r="F114" s="25">
        <v>0</v>
      </c>
      <c r="G114" s="25">
        <v>0</v>
      </c>
      <c r="H114" s="25">
        <v>0</v>
      </c>
      <c r="I114" s="25">
        <v>0</v>
      </c>
    </row>
    <row r="115" spans="1:9" x14ac:dyDescent="0.25">
      <c r="A115" s="42" t="s">
        <v>1356</v>
      </c>
      <c r="B115" s="42" t="s">
        <v>37</v>
      </c>
      <c r="C115" s="24">
        <v>610208</v>
      </c>
      <c r="D115" s="20">
        <v>41123</v>
      </c>
      <c r="E115" s="25">
        <v>478</v>
      </c>
      <c r="F115" s="25">
        <v>10</v>
      </c>
      <c r="G115" s="25">
        <v>2251</v>
      </c>
      <c r="H115" s="25">
        <v>0</v>
      </c>
      <c r="I115" s="25">
        <v>0</v>
      </c>
    </row>
    <row r="116" spans="1:9" x14ac:dyDescent="0.25">
      <c r="A116" s="42" t="s">
        <v>1356</v>
      </c>
      <c r="B116" s="42" t="s">
        <v>38</v>
      </c>
      <c r="C116" s="24">
        <v>610340</v>
      </c>
      <c r="D116" s="20">
        <v>41143</v>
      </c>
      <c r="E116" s="25">
        <v>85</v>
      </c>
      <c r="F116" s="25">
        <v>0</v>
      </c>
      <c r="G116" s="25">
        <v>0</v>
      </c>
      <c r="H116" s="25">
        <v>0</v>
      </c>
      <c r="I116" s="25">
        <v>0</v>
      </c>
    </row>
    <row r="117" spans="1:9" x14ac:dyDescent="0.25">
      <c r="A117" s="42" t="s">
        <v>1355</v>
      </c>
      <c r="B117" s="42" t="s">
        <v>35</v>
      </c>
      <c r="C117" s="24">
        <v>611419</v>
      </c>
      <c r="D117" s="20">
        <v>41137</v>
      </c>
      <c r="E117" s="25">
        <v>85</v>
      </c>
      <c r="F117" s="25">
        <v>0</v>
      </c>
      <c r="G117" s="25">
        <v>0</v>
      </c>
      <c r="H117" s="25">
        <v>0</v>
      </c>
      <c r="I117" s="25">
        <v>0</v>
      </c>
    </row>
    <row r="118" spans="1:9" x14ac:dyDescent="0.25">
      <c r="A118" s="42" t="s">
        <v>1355</v>
      </c>
      <c r="B118" s="42" t="s">
        <v>36</v>
      </c>
      <c r="C118" s="24">
        <v>610832</v>
      </c>
      <c r="D118" s="20">
        <v>41146</v>
      </c>
      <c r="E118" s="25">
        <v>85</v>
      </c>
      <c r="F118" s="25">
        <v>0</v>
      </c>
      <c r="G118" s="25">
        <v>0</v>
      </c>
      <c r="H118" s="25">
        <v>0</v>
      </c>
      <c r="I118" s="25">
        <v>0</v>
      </c>
    </row>
    <row r="119" spans="1:9" x14ac:dyDescent="0.25">
      <c r="A119" s="42" t="s">
        <v>1356</v>
      </c>
      <c r="B119" s="43" t="s">
        <v>39</v>
      </c>
      <c r="C119" s="24">
        <v>611704</v>
      </c>
      <c r="D119" s="20">
        <v>41142</v>
      </c>
      <c r="E119" s="25">
        <v>482</v>
      </c>
      <c r="F119" s="25">
        <v>12</v>
      </c>
      <c r="G119" s="25">
        <v>4377</v>
      </c>
      <c r="H119" s="25">
        <v>5</v>
      </c>
      <c r="I119" s="25">
        <v>0</v>
      </c>
    </row>
    <row r="120" spans="1:9" x14ac:dyDescent="0.25">
      <c r="A120" s="42" t="s">
        <v>1355</v>
      </c>
      <c r="B120" s="42" t="s">
        <v>34</v>
      </c>
      <c r="C120" s="24">
        <v>613447</v>
      </c>
      <c r="D120" s="20">
        <v>41128</v>
      </c>
      <c r="E120" s="25">
        <v>790</v>
      </c>
      <c r="F120" s="25">
        <v>0</v>
      </c>
      <c r="G120" s="25">
        <v>0</v>
      </c>
      <c r="H120" s="25">
        <v>0</v>
      </c>
      <c r="I120" s="25">
        <v>0</v>
      </c>
    </row>
    <row r="121" spans="1:9" x14ac:dyDescent="0.25">
      <c r="A121" s="42" t="s">
        <v>1355</v>
      </c>
      <c r="B121" s="42" t="s">
        <v>36</v>
      </c>
      <c r="C121" s="24">
        <v>610832</v>
      </c>
      <c r="D121" s="20">
        <v>41146</v>
      </c>
      <c r="E121" s="25">
        <v>481</v>
      </c>
      <c r="F121" s="25">
        <v>0</v>
      </c>
      <c r="G121" s="25">
        <v>0</v>
      </c>
      <c r="H121" s="25">
        <v>0</v>
      </c>
      <c r="I121" s="25">
        <v>0</v>
      </c>
    </row>
    <row r="122" spans="1:9" x14ac:dyDescent="0.25">
      <c r="A122" s="42" t="s">
        <v>1356</v>
      </c>
      <c r="B122" s="43" t="s">
        <v>39</v>
      </c>
      <c r="C122" s="24">
        <v>611704</v>
      </c>
      <c r="D122" s="20">
        <v>41141</v>
      </c>
      <c r="E122" s="25">
        <v>481</v>
      </c>
      <c r="F122" s="25">
        <v>0</v>
      </c>
      <c r="G122" s="25">
        <v>0</v>
      </c>
      <c r="H122" s="25">
        <v>0</v>
      </c>
      <c r="I122" s="25">
        <v>0</v>
      </c>
    </row>
    <row r="123" spans="1:9" x14ac:dyDescent="0.25">
      <c r="A123" s="42" t="s">
        <v>1356</v>
      </c>
      <c r="B123" s="43" t="s">
        <v>39</v>
      </c>
      <c r="C123" s="24">
        <v>611704</v>
      </c>
      <c r="D123" s="20">
        <v>41137</v>
      </c>
      <c r="E123" s="25">
        <v>481</v>
      </c>
      <c r="F123" s="25">
        <v>0</v>
      </c>
      <c r="G123" s="25">
        <v>0</v>
      </c>
      <c r="H123" s="25">
        <v>0</v>
      </c>
      <c r="I123" s="25">
        <v>0</v>
      </c>
    </row>
    <row r="124" spans="1:9" x14ac:dyDescent="0.25">
      <c r="A124" s="42" t="s">
        <v>1355</v>
      </c>
      <c r="B124" s="42" t="s">
        <v>34</v>
      </c>
      <c r="C124" s="24">
        <v>613447</v>
      </c>
      <c r="D124" s="20">
        <v>41137</v>
      </c>
      <c r="E124" s="25">
        <v>480</v>
      </c>
      <c r="F124" s="25">
        <v>9</v>
      </c>
      <c r="G124" s="25">
        <v>1722</v>
      </c>
      <c r="H124" s="25">
        <v>0</v>
      </c>
      <c r="I124" s="25">
        <v>59</v>
      </c>
    </row>
    <row r="125" spans="1:9" x14ac:dyDescent="0.25">
      <c r="A125" s="42" t="s">
        <v>1355</v>
      </c>
      <c r="B125" s="42" t="s">
        <v>36</v>
      </c>
      <c r="C125" s="24">
        <v>610832</v>
      </c>
      <c r="D125" s="20">
        <v>41149</v>
      </c>
      <c r="E125" s="25">
        <v>466</v>
      </c>
      <c r="F125" s="25">
        <v>5</v>
      </c>
      <c r="G125" s="25">
        <v>2212</v>
      </c>
      <c r="H125" s="25">
        <v>0</v>
      </c>
      <c r="I125" s="25">
        <v>0</v>
      </c>
    </row>
    <row r="126" spans="1:9" x14ac:dyDescent="0.25">
      <c r="A126" s="42" t="s">
        <v>1355</v>
      </c>
      <c r="B126" s="42" t="s">
        <v>34</v>
      </c>
      <c r="C126" s="24">
        <v>613447</v>
      </c>
      <c r="D126" s="20">
        <v>41138</v>
      </c>
      <c r="E126" s="25">
        <v>482</v>
      </c>
      <c r="F126" s="25">
        <v>9</v>
      </c>
      <c r="G126" s="25">
        <v>3869</v>
      </c>
      <c r="H126" s="25">
        <v>2</v>
      </c>
      <c r="I126" s="25">
        <v>193</v>
      </c>
    </row>
    <row r="127" spans="1:9" x14ac:dyDescent="0.25">
      <c r="A127" s="42" t="s">
        <v>1355</v>
      </c>
      <c r="B127" s="42" t="s">
        <v>34</v>
      </c>
      <c r="C127" s="24">
        <v>613447</v>
      </c>
      <c r="D127" s="20">
        <v>41130</v>
      </c>
      <c r="E127" s="25">
        <v>477</v>
      </c>
      <c r="F127" s="25">
        <v>46</v>
      </c>
      <c r="G127" s="25">
        <v>14463</v>
      </c>
      <c r="H127" s="25">
        <v>2</v>
      </c>
      <c r="I127" s="25">
        <v>623</v>
      </c>
    </row>
    <row r="128" spans="1:9" x14ac:dyDescent="0.25">
      <c r="A128" s="42" t="s">
        <v>1356</v>
      </c>
      <c r="B128" s="42" t="s">
        <v>38</v>
      </c>
      <c r="C128" s="24">
        <v>610340</v>
      </c>
      <c r="D128" s="20">
        <v>41130</v>
      </c>
      <c r="E128" s="25">
        <v>481</v>
      </c>
      <c r="F128" s="25">
        <v>1</v>
      </c>
      <c r="G128" s="25">
        <v>621</v>
      </c>
      <c r="H128" s="25">
        <v>0</v>
      </c>
      <c r="I128" s="25">
        <v>0</v>
      </c>
    </row>
    <row r="129" spans="1:9" x14ac:dyDescent="0.25">
      <c r="A129" s="42" t="s">
        <v>1356</v>
      </c>
      <c r="B129" s="42" t="s">
        <v>37</v>
      </c>
      <c r="C129" s="24">
        <v>610208</v>
      </c>
      <c r="D129" s="20">
        <v>41133</v>
      </c>
      <c r="E129" s="25">
        <v>85</v>
      </c>
      <c r="F129" s="25">
        <v>0</v>
      </c>
      <c r="G129" s="25">
        <v>0</v>
      </c>
      <c r="H129" s="25">
        <v>0</v>
      </c>
      <c r="I129" s="25">
        <v>0</v>
      </c>
    </row>
    <row r="130" spans="1:9" x14ac:dyDescent="0.25">
      <c r="A130" s="42" t="s">
        <v>1356</v>
      </c>
      <c r="B130" s="42" t="s">
        <v>38</v>
      </c>
      <c r="C130" s="24">
        <v>610340</v>
      </c>
      <c r="D130" s="20">
        <v>41137</v>
      </c>
      <c r="E130" s="25">
        <v>481</v>
      </c>
      <c r="F130" s="25">
        <v>0</v>
      </c>
      <c r="G130" s="25">
        <v>0</v>
      </c>
      <c r="H130" s="25">
        <v>0</v>
      </c>
      <c r="I130" s="25">
        <v>0</v>
      </c>
    </row>
    <row r="131" spans="1:9" x14ac:dyDescent="0.25">
      <c r="A131" s="42" t="s">
        <v>1355</v>
      </c>
      <c r="B131" s="42" t="s">
        <v>35</v>
      </c>
      <c r="C131" s="24">
        <v>611419</v>
      </c>
      <c r="D131" s="20">
        <v>41140</v>
      </c>
      <c r="E131" s="25">
        <v>482</v>
      </c>
      <c r="F131" s="25">
        <v>14</v>
      </c>
      <c r="G131" s="25">
        <v>4700</v>
      </c>
      <c r="H131" s="25">
        <v>6</v>
      </c>
      <c r="I131" s="25">
        <v>0</v>
      </c>
    </row>
    <row r="132" spans="1:9" x14ac:dyDescent="0.25">
      <c r="A132" s="42" t="s">
        <v>1356</v>
      </c>
      <c r="B132" s="43" t="s">
        <v>39</v>
      </c>
      <c r="C132" s="24">
        <v>611704</v>
      </c>
      <c r="D132" s="20">
        <v>41122</v>
      </c>
      <c r="E132" s="25">
        <v>477</v>
      </c>
      <c r="F132" s="25">
        <v>37</v>
      </c>
      <c r="G132" s="25">
        <v>12474</v>
      </c>
      <c r="H132" s="25">
        <v>3</v>
      </c>
      <c r="I132" s="25">
        <v>0</v>
      </c>
    </row>
    <row r="133" spans="1:9" x14ac:dyDescent="0.25">
      <c r="A133" s="42" t="s">
        <v>1355</v>
      </c>
      <c r="B133" s="42" t="s">
        <v>34</v>
      </c>
      <c r="C133" s="24">
        <v>613447</v>
      </c>
      <c r="D133" s="20">
        <v>41134</v>
      </c>
      <c r="E133" s="25">
        <v>481</v>
      </c>
      <c r="F133" s="25">
        <v>0</v>
      </c>
      <c r="G133" s="25">
        <v>0</v>
      </c>
      <c r="H133" s="25">
        <v>0</v>
      </c>
      <c r="I133" s="25">
        <v>0</v>
      </c>
    </row>
    <row r="134" spans="1:9" x14ac:dyDescent="0.25">
      <c r="A134" s="42" t="s">
        <v>1355</v>
      </c>
      <c r="B134" s="42" t="s">
        <v>34</v>
      </c>
      <c r="C134" s="24">
        <v>613447</v>
      </c>
      <c r="D134" s="20">
        <v>41146</v>
      </c>
      <c r="E134" s="25">
        <v>482</v>
      </c>
      <c r="F134" s="25">
        <v>16</v>
      </c>
      <c r="G134" s="25">
        <v>3939</v>
      </c>
      <c r="H134" s="25">
        <v>4</v>
      </c>
      <c r="I134" s="25">
        <v>0</v>
      </c>
    </row>
    <row r="135" spans="1:9" x14ac:dyDescent="0.25">
      <c r="A135" s="42" t="s">
        <v>1356</v>
      </c>
      <c r="B135" s="43" t="s">
        <v>39</v>
      </c>
      <c r="C135" s="24">
        <v>611704</v>
      </c>
      <c r="D135" s="20">
        <v>41134</v>
      </c>
      <c r="E135" s="25">
        <v>478</v>
      </c>
      <c r="F135" s="25">
        <v>11</v>
      </c>
      <c r="G135" s="25">
        <v>2743</v>
      </c>
      <c r="H135" s="25">
        <v>0</v>
      </c>
      <c r="I135" s="25">
        <v>9</v>
      </c>
    </row>
    <row r="136" spans="1:9" x14ac:dyDescent="0.25">
      <c r="A136" s="42" t="s">
        <v>1355</v>
      </c>
      <c r="B136" s="42" t="s">
        <v>36</v>
      </c>
      <c r="C136" s="24">
        <v>610832</v>
      </c>
      <c r="D136" s="20">
        <v>41138</v>
      </c>
      <c r="E136" s="25">
        <v>482</v>
      </c>
      <c r="F136" s="25">
        <v>8</v>
      </c>
      <c r="G136" s="25">
        <v>2187</v>
      </c>
      <c r="H136" s="25">
        <v>0</v>
      </c>
      <c r="I136" s="25">
        <v>11</v>
      </c>
    </row>
    <row r="137" spans="1:9" x14ac:dyDescent="0.25">
      <c r="A137" s="42" t="s">
        <v>1356</v>
      </c>
      <c r="B137" s="42" t="s">
        <v>38</v>
      </c>
      <c r="C137" s="24">
        <v>610340</v>
      </c>
      <c r="D137" s="20">
        <v>41141</v>
      </c>
      <c r="E137" s="25">
        <v>467</v>
      </c>
      <c r="F137" s="25">
        <v>0</v>
      </c>
      <c r="G137" s="25">
        <v>0</v>
      </c>
      <c r="H137" s="25">
        <v>0</v>
      </c>
      <c r="I137" s="25">
        <v>0</v>
      </c>
    </row>
    <row r="138" spans="1:9" x14ac:dyDescent="0.25">
      <c r="A138" s="42" t="s">
        <v>1356</v>
      </c>
      <c r="B138" s="43" t="s">
        <v>39</v>
      </c>
      <c r="C138" s="24">
        <v>611704</v>
      </c>
      <c r="D138" s="20">
        <v>41135</v>
      </c>
      <c r="E138" s="25">
        <v>478</v>
      </c>
      <c r="F138" s="25">
        <v>5</v>
      </c>
      <c r="G138" s="25">
        <v>2955</v>
      </c>
      <c r="H138" s="25">
        <v>0</v>
      </c>
      <c r="I138" s="25">
        <v>0</v>
      </c>
    </row>
    <row r="139" spans="1:9" x14ac:dyDescent="0.25">
      <c r="A139" s="42" t="s">
        <v>1355</v>
      </c>
      <c r="B139" s="42" t="s">
        <v>35</v>
      </c>
      <c r="C139" s="24">
        <v>611419</v>
      </c>
      <c r="D139" s="20">
        <v>41141</v>
      </c>
      <c r="E139" s="25">
        <v>465</v>
      </c>
      <c r="F139" s="25">
        <v>0</v>
      </c>
      <c r="G139" s="25">
        <v>0</v>
      </c>
      <c r="H139" s="25">
        <v>0</v>
      </c>
      <c r="I139" s="25">
        <v>0</v>
      </c>
    </row>
    <row r="140" spans="1:9" x14ac:dyDescent="0.25">
      <c r="A140" s="42" t="s">
        <v>1355</v>
      </c>
      <c r="B140" s="42" t="s">
        <v>35</v>
      </c>
      <c r="C140" s="24">
        <v>611419</v>
      </c>
      <c r="D140" s="20">
        <v>41151</v>
      </c>
      <c r="E140" s="25">
        <v>85</v>
      </c>
      <c r="F140" s="25">
        <v>0</v>
      </c>
      <c r="G140" s="25">
        <v>0</v>
      </c>
      <c r="H140" s="25">
        <v>0</v>
      </c>
      <c r="I140" s="25">
        <v>0</v>
      </c>
    </row>
    <row r="141" spans="1:9" x14ac:dyDescent="0.25">
      <c r="A141" s="42" t="s">
        <v>1355</v>
      </c>
      <c r="B141" s="42" t="s">
        <v>36</v>
      </c>
      <c r="C141" s="24">
        <v>610832</v>
      </c>
      <c r="D141" s="20">
        <v>41129</v>
      </c>
      <c r="E141" s="25">
        <v>85</v>
      </c>
      <c r="F141" s="25">
        <v>0</v>
      </c>
      <c r="G141" s="25">
        <v>0</v>
      </c>
      <c r="H141" s="25">
        <v>0</v>
      </c>
      <c r="I141" s="25">
        <v>0</v>
      </c>
    </row>
    <row r="142" spans="1:9" x14ac:dyDescent="0.25">
      <c r="A142" s="42" t="s">
        <v>1355</v>
      </c>
      <c r="B142" s="42" t="s">
        <v>35</v>
      </c>
      <c r="C142" s="24">
        <v>611419</v>
      </c>
      <c r="D142" s="20">
        <v>41150</v>
      </c>
      <c r="E142" s="25">
        <v>466</v>
      </c>
      <c r="F142" s="25">
        <v>25</v>
      </c>
      <c r="G142" s="25">
        <v>8384</v>
      </c>
      <c r="H142" s="25">
        <v>9</v>
      </c>
      <c r="I142" s="25">
        <v>2554</v>
      </c>
    </row>
    <row r="143" spans="1:9" x14ac:dyDescent="0.25">
      <c r="A143" s="42" t="s">
        <v>1355</v>
      </c>
      <c r="B143" s="42" t="s">
        <v>35</v>
      </c>
      <c r="C143" s="24">
        <v>611419</v>
      </c>
      <c r="D143" s="20">
        <v>41151</v>
      </c>
      <c r="E143" s="25">
        <v>478</v>
      </c>
      <c r="F143" s="25">
        <v>2</v>
      </c>
      <c r="G143" s="25">
        <v>256</v>
      </c>
      <c r="H143" s="25">
        <v>0</v>
      </c>
      <c r="I143" s="25">
        <v>0</v>
      </c>
    </row>
    <row r="144" spans="1:9" x14ac:dyDescent="0.25">
      <c r="A144" s="42" t="s">
        <v>1355</v>
      </c>
      <c r="B144" s="42" t="s">
        <v>36</v>
      </c>
      <c r="C144" s="24">
        <v>610832</v>
      </c>
      <c r="D144" s="20">
        <v>41123</v>
      </c>
      <c r="E144" s="25">
        <v>477</v>
      </c>
      <c r="F144" s="25">
        <v>52</v>
      </c>
      <c r="G144" s="25">
        <v>16426</v>
      </c>
      <c r="H144" s="25">
        <v>14</v>
      </c>
      <c r="I144" s="25">
        <v>5</v>
      </c>
    </row>
    <row r="145" spans="1:9" x14ac:dyDescent="0.25">
      <c r="A145" s="42" t="s">
        <v>1355</v>
      </c>
      <c r="B145" s="42" t="s">
        <v>35</v>
      </c>
      <c r="C145" s="24">
        <v>611419</v>
      </c>
      <c r="D145" s="20">
        <v>41149</v>
      </c>
      <c r="E145" s="25">
        <v>481</v>
      </c>
      <c r="F145" s="25">
        <v>5</v>
      </c>
      <c r="G145" s="25">
        <v>1032</v>
      </c>
      <c r="H145" s="25">
        <v>2</v>
      </c>
      <c r="I145" s="25">
        <v>1216</v>
      </c>
    </row>
    <row r="146" spans="1:9" x14ac:dyDescent="0.25">
      <c r="A146" s="42" t="s">
        <v>1355</v>
      </c>
      <c r="B146" s="42" t="s">
        <v>34</v>
      </c>
      <c r="C146" s="24">
        <v>613447</v>
      </c>
      <c r="D146" s="20">
        <v>41136</v>
      </c>
      <c r="E146" s="25">
        <v>478</v>
      </c>
      <c r="F146" s="25">
        <v>9</v>
      </c>
      <c r="G146" s="25">
        <v>1937</v>
      </c>
      <c r="H146" s="25">
        <v>0</v>
      </c>
      <c r="I146" s="25">
        <v>61</v>
      </c>
    </row>
    <row r="147" spans="1:9" x14ac:dyDescent="0.25">
      <c r="A147" s="42" t="s">
        <v>1356</v>
      </c>
      <c r="B147" s="42" t="s">
        <v>37</v>
      </c>
      <c r="C147" s="24">
        <v>610208</v>
      </c>
      <c r="D147" s="20">
        <v>41141</v>
      </c>
      <c r="E147" s="25">
        <v>466</v>
      </c>
      <c r="F147" s="25">
        <v>43</v>
      </c>
      <c r="G147" s="25">
        <v>11590</v>
      </c>
      <c r="H147" s="25">
        <v>0</v>
      </c>
      <c r="I147" s="25">
        <v>0</v>
      </c>
    </row>
    <row r="148" spans="1:9" x14ac:dyDescent="0.25">
      <c r="A148" s="42" t="s">
        <v>1356</v>
      </c>
      <c r="B148" s="42" t="s">
        <v>38</v>
      </c>
      <c r="C148" s="24">
        <v>610340</v>
      </c>
      <c r="D148" s="20">
        <v>41143</v>
      </c>
      <c r="E148" s="25">
        <v>480</v>
      </c>
      <c r="F148" s="25">
        <v>8</v>
      </c>
      <c r="G148" s="25">
        <v>1696</v>
      </c>
      <c r="H148" s="25">
        <v>0</v>
      </c>
      <c r="I148" s="25">
        <v>0</v>
      </c>
    </row>
    <row r="149" spans="1:9" x14ac:dyDescent="0.25">
      <c r="A149" s="42" t="s">
        <v>1356</v>
      </c>
      <c r="B149" s="42" t="s">
        <v>37</v>
      </c>
      <c r="C149" s="24">
        <v>610208</v>
      </c>
      <c r="D149" s="20">
        <v>41150</v>
      </c>
      <c r="E149" s="25">
        <v>475</v>
      </c>
      <c r="F149" s="25">
        <v>1</v>
      </c>
      <c r="G149" s="25">
        <v>92</v>
      </c>
      <c r="H149" s="25">
        <v>0</v>
      </c>
      <c r="I149" s="25">
        <v>0</v>
      </c>
    </row>
    <row r="150" spans="1:9" x14ac:dyDescent="0.25">
      <c r="A150" s="42" t="s">
        <v>1356</v>
      </c>
      <c r="B150" s="43" t="s">
        <v>39</v>
      </c>
      <c r="C150" s="24">
        <v>611704</v>
      </c>
      <c r="D150" s="20">
        <v>41151</v>
      </c>
      <c r="E150" s="25">
        <v>482</v>
      </c>
      <c r="F150" s="25">
        <v>28</v>
      </c>
      <c r="G150" s="25">
        <v>10292</v>
      </c>
      <c r="H150" s="25">
        <v>4</v>
      </c>
      <c r="I150" s="25">
        <v>0</v>
      </c>
    </row>
    <row r="151" spans="1:9" x14ac:dyDescent="0.25">
      <c r="A151" s="42" t="s">
        <v>1356</v>
      </c>
      <c r="B151" s="43" t="s">
        <v>39</v>
      </c>
      <c r="C151" s="24">
        <v>611704</v>
      </c>
      <c r="D151" s="20">
        <v>41136</v>
      </c>
      <c r="E151" s="25">
        <v>478</v>
      </c>
      <c r="F151" s="25">
        <v>9</v>
      </c>
      <c r="G151" s="25">
        <v>1598</v>
      </c>
      <c r="H151" s="25">
        <v>10</v>
      </c>
      <c r="I151" s="25">
        <v>0</v>
      </c>
    </row>
    <row r="152" spans="1:9" x14ac:dyDescent="0.25">
      <c r="A152" s="42" t="s">
        <v>1356</v>
      </c>
      <c r="B152" s="42" t="s">
        <v>38</v>
      </c>
      <c r="C152" s="24">
        <v>610340</v>
      </c>
      <c r="D152" s="20">
        <v>41139</v>
      </c>
      <c r="E152" s="25">
        <v>465</v>
      </c>
      <c r="F152" s="25">
        <v>0</v>
      </c>
      <c r="G152" s="25">
        <v>0</v>
      </c>
      <c r="H152" s="25">
        <v>0</v>
      </c>
      <c r="I152" s="25">
        <v>0</v>
      </c>
    </row>
    <row r="153" spans="1:9" x14ac:dyDescent="0.25">
      <c r="A153" s="42" t="s">
        <v>1356</v>
      </c>
      <c r="B153" s="42" t="s">
        <v>38</v>
      </c>
      <c r="C153" s="24">
        <v>610340</v>
      </c>
      <c r="D153" s="20">
        <v>41123</v>
      </c>
      <c r="E153" s="25">
        <v>85</v>
      </c>
      <c r="F153" s="25">
        <v>0</v>
      </c>
      <c r="G153" s="25">
        <v>0</v>
      </c>
      <c r="H153" s="25">
        <v>0</v>
      </c>
      <c r="I153" s="25">
        <v>0</v>
      </c>
    </row>
    <row r="154" spans="1:9" x14ac:dyDescent="0.25">
      <c r="A154" s="42" t="s">
        <v>1356</v>
      </c>
      <c r="B154" s="42" t="s">
        <v>37</v>
      </c>
      <c r="C154" s="24">
        <v>610208</v>
      </c>
      <c r="D154" s="20">
        <v>41145</v>
      </c>
      <c r="E154" s="25">
        <v>480</v>
      </c>
      <c r="F154" s="25">
        <v>4</v>
      </c>
      <c r="G154" s="25">
        <v>1046</v>
      </c>
      <c r="H154" s="25">
        <v>0</v>
      </c>
      <c r="I154" s="25">
        <v>0</v>
      </c>
    </row>
    <row r="155" spans="1:9" x14ac:dyDescent="0.25">
      <c r="A155" s="42" t="s">
        <v>1356</v>
      </c>
      <c r="B155" s="42" t="s">
        <v>38</v>
      </c>
      <c r="C155" s="24">
        <v>610340</v>
      </c>
      <c r="D155" s="20">
        <v>41148</v>
      </c>
      <c r="E155" s="25">
        <v>482</v>
      </c>
      <c r="F155" s="25">
        <v>16</v>
      </c>
      <c r="G155" s="25">
        <v>4705</v>
      </c>
      <c r="H155" s="25">
        <v>2</v>
      </c>
      <c r="I155" s="25">
        <v>0</v>
      </c>
    </row>
    <row r="156" spans="1:9" x14ac:dyDescent="0.25">
      <c r="A156" s="42" t="s">
        <v>1355</v>
      </c>
      <c r="B156" s="42" t="s">
        <v>36</v>
      </c>
      <c r="C156" s="24">
        <v>610832</v>
      </c>
      <c r="D156" s="20">
        <v>41124</v>
      </c>
      <c r="E156" s="25">
        <v>481</v>
      </c>
      <c r="F156" s="25">
        <v>23</v>
      </c>
      <c r="G156" s="25">
        <v>5456</v>
      </c>
      <c r="H156" s="25">
        <v>5</v>
      </c>
      <c r="I156" s="25">
        <v>0</v>
      </c>
    </row>
    <row r="157" spans="1:9" x14ac:dyDescent="0.25">
      <c r="A157" s="42" t="s">
        <v>1356</v>
      </c>
      <c r="B157" s="43" t="s">
        <v>39</v>
      </c>
      <c r="C157" s="24">
        <v>611704</v>
      </c>
      <c r="D157" s="20">
        <v>41125</v>
      </c>
      <c r="E157" s="25">
        <v>481</v>
      </c>
      <c r="F157" s="25">
        <v>0</v>
      </c>
      <c r="G157" s="25">
        <v>0</v>
      </c>
      <c r="H157" s="25">
        <v>0</v>
      </c>
      <c r="I157" s="25">
        <v>0</v>
      </c>
    </row>
    <row r="158" spans="1:9" x14ac:dyDescent="0.25">
      <c r="A158" s="42" t="s">
        <v>1355</v>
      </c>
      <c r="B158" s="42" t="s">
        <v>35</v>
      </c>
      <c r="C158" s="24">
        <v>611419</v>
      </c>
      <c r="D158" s="20">
        <v>41129</v>
      </c>
      <c r="E158" s="25">
        <v>465</v>
      </c>
      <c r="F158" s="25">
        <v>0</v>
      </c>
      <c r="G158" s="25">
        <v>0</v>
      </c>
      <c r="H158" s="25">
        <v>0</v>
      </c>
      <c r="I158" s="25">
        <v>0</v>
      </c>
    </row>
    <row r="159" spans="1:9" x14ac:dyDescent="0.25">
      <c r="A159" s="42" t="s">
        <v>1355</v>
      </c>
      <c r="B159" s="42" t="s">
        <v>34</v>
      </c>
      <c r="C159" s="24">
        <v>613447</v>
      </c>
      <c r="D159" s="20">
        <v>41145</v>
      </c>
      <c r="E159" s="25">
        <v>477</v>
      </c>
      <c r="F159" s="25">
        <v>9</v>
      </c>
      <c r="G159" s="25">
        <v>3305</v>
      </c>
      <c r="H159" s="25">
        <v>0</v>
      </c>
      <c r="I159" s="25">
        <v>48</v>
      </c>
    </row>
    <row r="160" spans="1:9" x14ac:dyDescent="0.25">
      <c r="A160" s="42" t="s">
        <v>1356</v>
      </c>
      <c r="B160" s="42" t="s">
        <v>37</v>
      </c>
      <c r="C160" s="24">
        <v>610208</v>
      </c>
      <c r="D160" s="20">
        <v>41149</v>
      </c>
      <c r="E160" s="25">
        <v>473</v>
      </c>
      <c r="F160" s="25">
        <v>20</v>
      </c>
      <c r="G160" s="25">
        <v>5866</v>
      </c>
      <c r="H160" s="25">
        <v>1</v>
      </c>
      <c r="I160" s="25">
        <v>0</v>
      </c>
    </row>
    <row r="161" spans="1:9" x14ac:dyDescent="0.25">
      <c r="A161" s="42" t="s">
        <v>1356</v>
      </c>
      <c r="B161" s="42" t="s">
        <v>37</v>
      </c>
      <c r="C161" s="24">
        <v>610208</v>
      </c>
      <c r="D161" s="20">
        <v>41145</v>
      </c>
      <c r="E161" s="25">
        <v>466</v>
      </c>
      <c r="F161" s="25">
        <v>23</v>
      </c>
      <c r="G161" s="25">
        <v>5673</v>
      </c>
      <c r="H161" s="25">
        <v>0</v>
      </c>
      <c r="I161" s="25">
        <v>0</v>
      </c>
    </row>
    <row r="162" spans="1:9" x14ac:dyDescent="0.25">
      <c r="A162" s="42" t="s">
        <v>1355</v>
      </c>
      <c r="B162" s="42" t="s">
        <v>34</v>
      </c>
      <c r="C162" s="24">
        <v>613447</v>
      </c>
      <c r="D162" s="20">
        <v>41142</v>
      </c>
      <c r="E162" s="25">
        <v>477</v>
      </c>
      <c r="F162" s="25">
        <v>27</v>
      </c>
      <c r="G162" s="25">
        <v>8502</v>
      </c>
      <c r="H162" s="25">
        <v>5</v>
      </c>
      <c r="I162" s="25">
        <v>103</v>
      </c>
    </row>
    <row r="163" spans="1:9" x14ac:dyDescent="0.25">
      <c r="A163" s="42" t="s">
        <v>1356</v>
      </c>
      <c r="B163" s="43" t="s">
        <v>39</v>
      </c>
      <c r="C163" s="24">
        <v>611704</v>
      </c>
      <c r="D163" s="20">
        <v>41136</v>
      </c>
      <c r="E163" s="25">
        <v>466</v>
      </c>
      <c r="F163" s="25">
        <v>29</v>
      </c>
      <c r="G163" s="25">
        <v>7362</v>
      </c>
      <c r="H163" s="25">
        <v>0</v>
      </c>
      <c r="I163" s="25">
        <v>52</v>
      </c>
    </row>
    <row r="164" spans="1:9" x14ac:dyDescent="0.25">
      <c r="A164" s="42" t="s">
        <v>1356</v>
      </c>
      <c r="B164" s="42" t="s">
        <v>37</v>
      </c>
      <c r="C164" s="24">
        <v>610208</v>
      </c>
      <c r="D164" s="20">
        <v>41130</v>
      </c>
      <c r="E164" s="25">
        <v>478</v>
      </c>
      <c r="F164" s="25">
        <v>18</v>
      </c>
      <c r="G164" s="25">
        <v>4872</v>
      </c>
      <c r="H164" s="25">
        <v>14</v>
      </c>
      <c r="I164" s="25">
        <v>0</v>
      </c>
    </row>
    <row r="165" spans="1:9" x14ac:dyDescent="0.25">
      <c r="A165" s="42" t="s">
        <v>1355</v>
      </c>
      <c r="B165" s="42" t="s">
        <v>36</v>
      </c>
      <c r="C165" s="24">
        <v>610832</v>
      </c>
      <c r="D165" s="20">
        <v>41130</v>
      </c>
      <c r="E165" s="25">
        <v>477</v>
      </c>
      <c r="F165" s="25">
        <v>48</v>
      </c>
      <c r="G165" s="25">
        <v>14388</v>
      </c>
      <c r="H165" s="25">
        <v>5</v>
      </c>
      <c r="I165" s="25">
        <v>90</v>
      </c>
    </row>
    <row r="166" spans="1:9" x14ac:dyDescent="0.25">
      <c r="A166" s="42" t="s">
        <v>1356</v>
      </c>
      <c r="B166" s="42" t="s">
        <v>38</v>
      </c>
      <c r="C166" s="24">
        <v>610340</v>
      </c>
      <c r="D166" s="20">
        <v>41137</v>
      </c>
      <c r="E166" s="25">
        <v>466</v>
      </c>
      <c r="F166" s="25">
        <v>47</v>
      </c>
      <c r="G166" s="25">
        <v>13418</v>
      </c>
      <c r="H166" s="25">
        <v>18</v>
      </c>
      <c r="I166" s="25">
        <v>0</v>
      </c>
    </row>
    <row r="167" spans="1:9" x14ac:dyDescent="0.25">
      <c r="A167" s="42" t="s">
        <v>1355</v>
      </c>
      <c r="B167" s="42" t="s">
        <v>36</v>
      </c>
      <c r="C167" s="24">
        <v>610832</v>
      </c>
      <c r="D167" s="20">
        <v>41136</v>
      </c>
      <c r="E167" s="25">
        <v>477</v>
      </c>
      <c r="F167" s="25">
        <v>3</v>
      </c>
      <c r="G167" s="25">
        <v>836</v>
      </c>
      <c r="H167" s="25">
        <v>0</v>
      </c>
      <c r="I167" s="25">
        <v>0</v>
      </c>
    </row>
    <row r="168" spans="1:9" x14ac:dyDescent="0.25">
      <c r="A168" s="42" t="s">
        <v>1355</v>
      </c>
      <c r="B168" s="42" t="s">
        <v>36</v>
      </c>
      <c r="C168" s="24">
        <v>610832</v>
      </c>
      <c r="D168" s="20">
        <v>41145</v>
      </c>
      <c r="E168" s="25">
        <v>467</v>
      </c>
      <c r="F168" s="25">
        <v>0</v>
      </c>
      <c r="G168" s="25">
        <v>0</v>
      </c>
      <c r="H168" s="25">
        <v>0</v>
      </c>
      <c r="I168" s="25">
        <v>0</v>
      </c>
    </row>
    <row r="169" spans="1:9" x14ac:dyDescent="0.25">
      <c r="A169" s="42" t="s">
        <v>1355</v>
      </c>
      <c r="B169" s="42" t="s">
        <v>35</v>
      </c>
      <c r="C169" s="24">
        <v>611419</v>
      </c>
      <c r="D169" s="20">
        <v>41137</v>
      </c>
      <c r="E169" s="25">
        <v>465</v>
      </c>
      <c r="F169" s="25">
        <v>0</v>
      </c>
      <c r="G169" s="25">
        <v>0</v>
      </c>
      <c r="H169" s="25">
        <v>0</v>
      </c>
      <c r="I169" s="25">
        <v>0</v>
      </c>
    </row>
    <row r="170" spans="1:9" x14ac:dyDescent="0.25">
      <c r="A170" s="42" t="s">
        <v>1355</v>
      </c>
      <c r="B170" s="42" t="s">
        <v>35</v>
      </c>
      <c r="C170" s="24">
        <v>611419</v>
      </c>
      <c r="D170" s="20">
        <v>41141</v>
      </c>
      <c r="E170" s="25">
        <v>478</v>
      </c>
      <c r="F170" s="25">
        <v>0</v>
      </c>
      <c r="G170" s="25">
        <v>0</v>
      </c>
      <c r="H170" s="25">
        <v>0</v>
      </c>
      <c r="I170" s="25">
        <v>0</v>
      </c>
    </row>
    <row r="171" spans="1:9" x14ac:dyDescent="0.25">
      <c r="A171" s="42" t="s">
        <v>1355</v>
      </c>
      <c r="B171" s="42" t="s">
        <v>35</v>
      </c>
      <c r="C171" s="24">
        <v>611419</v>
      </c>
      <c r="D171" s="20">
        <v>41130</v>
      </c>
      <c r="E171" s="25">
        <v>790</v>
      </c>
      <c r="F171" s="25">
        <v>0</v>
      </c>
      <c r="G171" s="25">
        <v>0</v>
      </c>
      <c r="H171" s="25">
        <v>0</v>
      </c>
      <c r="I171" s="25">
        <v>0</v>
      </c>
    </row>
    <row r="172" spans="1:9" x14ac:dyDescent="0.25">
      <c r="A172" s="42" t="s">
        <v>1356</v>
      </c>
      <c r="B172" s="43" t="s">
        <v>39</v>
      </c>
      <c r="C172" s="24">
        <v>611704</v>
      </c>
      <c r="D172" s="20">
        <v>41149</v>
      </c>
      <c r="E172" s="25">
        <v>480</v>
      </c>
      <c r="F172" s="25">
        <v>5</v>
      </c>
      <c r="G172" s="25">
        <v>2832</v>
      </c>
      <c r="H172" s="25">
        <v>0</v>
      </c>
      <c r="I172" s="25">
        <v>0</v>
      </c>
    </row>
    <row r="173" spans="1:9" x14ac:dyDescent="0.25">
      <c r="A173" s="42" t="s">
        <v>1356</v>
      </c>
      <c r="B173" s="42" t="s">
        <v>38</v>
      </c>
      <c r="C173" s="24">
        <v>610340</v>
      </c>
      <c r="D173" s="20">
        <v>41134</v>
      </c>
      <c r="E173" s="25">
        <v>790</v>
      </c>
      <c r="F173" s="25">
        <v>0</v>
      </c>
      <c r="G173" s="25">
        <v>0</v>
      </c>
      <c r="H173" s="25">
        <v>0</v>
      </c>
      <c r="I173" s="25">
        <v>0</v>
      </c>
    </row>
    <row r="174" spans="1:9" x14ac:dyDescent="0.25">
      <c r="A174" s="42" t="s">
        <v>1356</v>
      </c>
      <c r="B174" s="43" t="s">
        <v>39</v>
      </c>
      <c r="C174" s="24">
        <v>611704</v>
      </c>
      <c r="D174" s="20">
        <v>41137</v>
      </c>
      <c r="E174" s="25">
        <v>467</v>
      </c>
      <c r="F174" s="25">
        <v>0</v>
      </c>
      <c r="G174" s="25">
        <v>0</v>
      </c>
      <c r="H174" s="25">
        <v>0</v>
      </c>
      <c r="I174" s="25">
        <v>0</v>
      </c>
    </row>
    <row r="175" spans="1:9" x14ac:dyDescent="0.25">
      <c r="A175" s="42" t="s">
        <v>1355</v>
      </c>
      <c r="B175" s="42" t="s">
        <v>34</v>
      </c>
      <c r="C175" s="24">
        <v>613447</v>
      </c>
      <c r="D175" s="20">
        <v>41150</v>
      </c>
      <c r="E175" s="25">
        <v>478</v>
      </c>
      <c r="F175" s="25">
        <v>58</v>
      </c>
      <c r="G175" s="25">
        <v>16086</v>
      </c>
      <c r="H175" s="25">
        <v>0</v>
      </c>
      <c r="I175" s="25">
        <v>960</v>
      </c>
    </row>
    <row r="176" spans="1:9" x14ac:dyDescent="0.25">
      <c r="A176" s="42" t="s">
        <v>1355</v>
      </c>
      <c r="B176" s="42" t="s">
        <v>35</v>
      </c>
      <c r="C176" s="24">
        <v>611419</v>
      </c>
      <c r="D176" s="20">
        <v>41146</v>
      </c>
      <c r="E176" s="25">
        <v>477</v>
      </c>
      <c r="F176" s="25">
        <v>15</v>
      </c>
      <c r="G176" s="25">
        <v>2867</v>
      </c>
      <c r="H176" s="25">
        <v>17</v>
      </c>
      <c r="I176" s="25">
        <v>187</v>
      </c>
    </row>
    <row r="177" spans="1:9" x14ac:dyDescent="0.25">
      <c r="A177" s="42" t="s">
        <v>1356</v>
      </c>
      <c r="B177" s="43" t="s">
        <v>39</v>
      </c>
      <c r="C177" s="24">
        <v>611704</v>
      </c>
      <c r="D177" s="20">
        <v>41141</v>
      </c>
      <c r="E177" s="25">
        <v>480</v>
      </c>
      <c r="F177" s="25">
        <v>5</v>
      </c>
      <c r="G177" s="25">
        <v>2237</v>
      </c>
      <c r="H177" s="25">
        <v>0</v>
      </c>
      <c r="I177" s="25">
        <v>0</v>
      </c>
    </row>
    <row r="178" spans="1:9" x14ac:dyDescent="0.25">
      <c r="A178" s="42" t="s">
        <v>1355</v>
      </c>
      <c r="B178" s="42" t="s">
        <v>34</v>
      </c>
      <c r="C178" s="24">
        <v>613447</v>
      </c>
      <c r="D178" s="20">
        <v>41141</v>
      </c>
      <c r="E178" s="25">
        <v>477</v>
      </c>
      <c r="F178" s="25">
        <v>15</v>
      </c>
      <c r="G178" s="25">
        <v>5803</v>
      </c>
      <c r="H178" s="25">
        <v>0</v>
      </c>
      <c r="I178" s="25">
        <v>264</v>
      </c>
    </row>
    <row r="179" spans="1:9" x14ac:dyDescent="0.25">
      <c r="A179" s="42" t="s">
        <v>1355</v>
      </c>
      <c r="B179" s="42" t="s">
        <v>34</v>
      </c>
      <c r="C179" s="24">
        <v>613447</v>
      </c>
      <c r="D179" s="20">
        <v>41126</v>
      </c>
      <c r="E179" s="25">
        <v>477</v>
      </c>
      <c r="F179" s="25">
        <v>46</v>
      </c>
      <c r="G179" s="25">
        <v>16275</v>
      </c>
      <c r="H179" s="25">
        <v>3</v>
      </c>
      <c r="I179" s="25">
        <v>0</v>
      </c>
    </row>
    <row r="180" spans="1:9" x14ac:dyDescent="0.25">
      <c r="A180" s="42" t="s">
        <v>1355</v>
      </c>
      <c r="B180" s="42" t="s">
        <v>36</v>
      </c>
      <c r="C180" s="24">
        <v>610832</v>
      </c>
      <c r="D180" s="20">
        <v>41133</v>
      </c>
      <c r="E180" s="25">
        <v>481</v>
      </c>
      <c r="F180" s="25">
        <v>0</v>
      </c>
      <c r="G180" s="25">
        <v>0</v>
      </c>
      <c r="H180" s="25">
        <v>0</v>
      </c>
      <c r="I180" s="25">
        <v>0</v>
      </c>
    </row>
    <row r="181" spans="1:9" x14ac:dyDescent="0.25">
      <c r="A181" s="42" t="s">
        <v>1355</v>
      </c>
      <c r="B181" s="42" t="s">
        <v>34</v>
      </c>
      <c r="C181" s="24">
        <v>613447</v>
      </c>
      <c r="D181" s="20">
        <v>41123</v>
      </c>
      <c r="E181" s="25">
        <v>481</v>
      </c>
      <c r="F181" s="25">
        <v>0</v>
      </c>
      <c r="G181" s="25">
        <v>0</v>
      </c>
      <c r="H181" s="25">
        <v>0</v>
      </c>
      <c r="I181" s="25">
        <v>0</v>
      </c>
    </row>
    <row r="182" spans="1:9" x14ac:dyDescent="0.25">
      <c r="A182" s="42" t="s">
        <v>1356</v>
      </c>
      <c r="B182" s="43" t="s">
        <v>39</v>
      </c>
      <c r="C182" s="24">
        <v>611704</v>
      </c>
      <c r="D182" s="20">
        <v>41129</v>
      </c>
      <c r="E182" s="25">
        <v>790</v>
      </c>
      <c r="F182" s="25">
        <v>0</v>
      </c>
      <c r="G182" s="25">
        <v>0</v>
      </c>
      <c r="H182" s="25">
        <v>0</v>
      </c>
      <c r="I182" s="25">
        <v>0</v>
      </c>
    </row>
    <row r="183" spans="1:9" x14ac:dyDescent="0.25">
      <c r="A183" s="42" t="s">
        <v>1355</v>
      </c>
      <c r="B183" s="42" t="s">
        <v>36</v>
      </c>
      <c r="C183" s="24">
        <v>610832</v>
      </c>
      <c r="D183" s="20">
        <v>41141</v>
      </c>
      <c r="E183" s="25">
        <v>482</v>
      </c>
      <c r="F183" s="25">
        <v>6</v>
      </c>
      <c r="G183" s="25">
        <v>2185</v>
      </c>
      <c r="H183" s="25">
        <v>0</v>
      </c>
      <c r="I183" s="25">
        <v>6</v>
      </c>
    </row>
    <row r="184" spans="1:9" x14ac:dyDescent="0.25">
      <c r="A184" s="42" t="s">
        <v>1355</v>
      </c>
      <c r="B184" s="42" t="s">
        <v>36</v>
      </c>
      <c r="C184" s="24">
        <v>610832</v>
      </c>
      <c r="D184" s="20">
        <v>41137</v>
      </c>
      <c r="E184" s="25">
        <v>478</v>
      </c>
      <c r="F184" s="25">
        <v>0</v>
      </c>
      <c r="G184" s="25">
        <v>0</v>
      </c>
      <c r="H184" s="25">
        <v>0</v>
      </c>
      <c r="I184" s="25">
        <v>0</v>
      </c>
    </row>
    <row r="185" spans="1:9" x14ac:dyDescent="0.25">
      <c r="A185" s="42" t="s">
        <v>1356</v>
      </c>
      <c r="B185" s="43" t="s">
        <v>39</v>
      </c>
      <c r="C185" s="24">
        <v>611704</v>
      </c>
      <c r="D185" s="20">
        <v>41151</v>
      </c>
      <c r="E185" s="25">
        <v>466</v>
      </c>
      <c r="F185" s="25">
        <v>17</v>
      </c>
      <c r="G185" s="25">
        <v>4748</v>
      </c>
      <c r="H185" s="25">
        <v>2</v>
      </c>
      <c r="I185" s="25">
        <v>0</v>
      </c>
    </row>
    <row r="186" spans="1:9" x14ac:dyDescent="0.25">
      <c r="A186" s="42" t="s">
        <v>1355</v>
      </c>
      <c r="B186" s="42" t="s">
        <v>36</v>
      </c>
      <c r="C186" s="24">
        <v>610832</v>
      </c>
      <c r="D186" s="20">
        <v>41144</v>
      </c>
      <c r="E186" s="25">
        <v>477</v>
      </c>
      <c r="F186" s="25">
        <v>15</v>
      </c>
      <c r="G186" s="25">
        <v>4750</v>
      </c>
      <c r="H186" s="25">
        <v>6</v>
      </c>
      <c r="I186" s="25">
        <v>0</v>
      </c>
    </row>
    <row r="187" spans="1:9" x14ac:dyDescent="0.25">
      <c r="A187" s="42" t="s">
        <v>1355</v>
      </c>
      <c r="B187" s="42" t="s">
        <v>34</v>
      </c>
      <c r="C187" s="24">
        <v>613447</v>
      </c>
      <c r="D187" s="20">
        <v>41146</v>
      </c>
      <c r="E187" s="25">
        <v>481</v>
      </c>
      <c r="F187" s="25">
        <v>0</v>
      </c>
      <c r="G187" s="25">
        <v>0</v>
      </c>
      <c r="H187" s="25">
        <v>0</v>
      </c>
      <c r="I187" s="25">
        <v>0</v>
      </c>
    </row>
    <row r="188" spans="1:9" x14ac:dyDescent="0.25">
      <c r="A188" s="42" t="s">
        <v>1355</v>
      </c>
      <c r="B188" s="42" t="s">
        <v>36</v>
      </c>
      <c r="C188" s="24">
        <v>610832</v>
      </c>
      <c r="D188" s="20">
        <v>41137</v>
      </c>
      <c r="E188" s="25">
        <v>465</v>
      </c>
      <c r="F188" s="25">
        <v>0</v>
      </c>
      <c r="G188" s="25">
        <v>0</v>
      </c>
      <c r="H188" s="25">
        <v>0</v>
      </c>
      <c r="I188" s="25">
        <v>0</v>
      </c>
    </row>
    <row r="189" spans="1:9" x14ac:dyDescent="0.25">
      <c r="A189" s="42" t="s">
        <v>1356</v>
      </c>
      <c r="B189" s="42" t="s">
        <v>38</v>
      </c>
      <c r="C189" s="24">
        <v>610340</v>
      </c>
      <c r="D189" s="20">
        <v>41128</v>
      </c>
      <c r="E189" s="25">
        <v>477</v>
      </c>
      <c r="F189" s="25">
        <v>44</v>
      </c>
      <c r="G189" s="25">
        <v>13641</v>
      </c>
      <c r="H189" s="25">
        <v>31</v>
      </c>
      <c r="I189" s="25">
        <v>0</v>
      </c>
    </row>
    <row r="190" spans="1:9" x14ac:dyDescent="0.25">
      <c r="A190" s="42" t="s">
        <v>1356</v>
      </c>
      <c r="B190" s="42" t="s">
        <v>38</v>
      </c>
      <c r="C190" s="24">
        <v>610340</v>
      </c>
      <c r="D190" s="20">
        <v>41151</v>
      </c>
      <c r="E190" s="25">
        <v>467</v>
      </c>
      <c r="F190" s="25">
        <v>0</v>
      </c>
      <c r="G190" s="25">
        <v>0</v>
      </c>
      <c r="H190" s="25">
        <v>0</v>
      </c>
      <c r="I190" s="25">
        <v>0</v>
      </c>
    </row>
    <row r="191" spans="1:9" x14ac:dyDescent="0.25">
      <c r="A191" s="42" t="s">
        <v>1355</v>
      </c>
      <c r="B191" s="42" t="s">
        <v>34</v>
      </c>
      <c r="C191" s="24">
        <v>613447</v>
      </c>
      <c r="D191" s="20">
        <v>41126</v>
      </c>
      <c r="E191" s="25">
        <v>481</v>
      </c>
      <c r="F191" s="25">
        <v>0</v>
      </c>
      <c r="G191" s="25">
        <v>0</v>
      </c>
      <c r="H191" s="25">
        <v>0</v>
      </c>
      <c r="I191" s="25">
        <v>0</v>
      </c>
    </row>
    <row r="192" spans="1:9" x14ac:dyDescent="0.25">
      <c r="A192" s="42" t="s">
        <v>1355</v>
      </c>
      <c r="B192" s="42" t="s">
        <v>34</v>
      </c>
      <c r="C192" s="24">
        <v>613447</v>
      </c>
      <c r="D192" s="20">
        <v>41148</v>
      </c>
      <c r="E192" s="25">
        <v>466</v>
      </c>
      <c r="F192" s="25">
        <v>3</v>
      </c>
      <c r="G192" s="25">
        <v>709</v>
      </c>
      <c r="H192" s="25">
        <v>0</v>
      </c>
      <c r="I192" s="25">
        <v>0</v>
      </c>
    </row>
    <row r="193" spans="1:9" x14ac:dyDescent="0.25">
      <c r="A193" s="42" t="s">
        <v>1355</v>
      </c>
      <c r="B193" s="42" t="s">
        <v>36</v>
      </c>
      <c r="C193" s="24">
        <v>610832</v>
      </c>
      <c r="D193" s="20">
        <v>41152</v>
      </c>
      <c r="E193" s="25">
        <v>477</v>
      </c>
      <c r="F193" s="25">
        <v>4</v>
      </c>
      <c r="G193" s="25">
        <v>1119</v>
      </c>
      <c r="H193" s="25">
        <v>0</v>
      </c>
      <c r="I193" s="25">
        <v>5</v>
      </c>
    </row>
    <row r="194" spans="1:9" x14ac:dyDescent="0.25">
      <c r="A194" s="42" t="s">
        <v>1356</v>
      </c>
      <c r="B194" s="42" t="s">
        <v>37</v>
      </c>
      <c r="C194" s="24">
        <v>610208</v>
      </c>
      <c r="D194" s="20">
        <v>41137</v>
      </c>
      <c r="E194" s="25">
        <v>85</v>
      </c>
      <c r="F194" s="25">
        <v>0</v>
      </c>
      <c r="G194" s="25">
        <v>0</v>
      </c>
      <c r="H194" s="25">
        <v>0</v>
      </c>
      <c r="I194" s="25">
        <v>0</v>
      </c>
    </row>
    <row r="195" spans="1:9" x14ac:dyDescent="0.25">
      <c r="A195" s="42" t="s">
        <v>1356</v>
      </c>
      <c r="B195" s="42" t="s">
        <v>37</v>
      </c>
      <c r="C195" s="24">
        <v>610208</v>
      </c>
      <c r="D195" s="20">
        <v>41142</v>
      </c>
      <c r="E195" s="25">
        <v>477</v>
      </c>
      <c r="F195" s="25">
        <v>16</v>
      </c>
      <c r="G195" s="25">
        <v>7219</v>
      </c>
      <c r="H195" s="25">
        <v>3</v>
      </c>
      <c r="I195" s="25">
        <v>0</v>
      </c>
    </row>
    <row r="196" spans="1:9" x14ac:dyDescent="0.25">
      <c r="A196" s="42" t="s">
        <v>1355</v>
      </c>
      <c r="B196" s="42" t="s">
        <v>36</v>
      </c>
      <c r="C196" s="24">
        <v>610832</v>
      </c>
      <c r="D196" s="20">
        <v>41142</v>
      </c>
      <c r="E196" s="25">
        <v>482</v>
      </c>
      <c r="F196" s="25">
        <v>10</v>
      </c>
      <c r="G196" s="25">
        <v>4061</v>
      </c>
      <c r="H196" s="25">
        <v>0</v>
      </c>
      <c r="I196" s="25">
        <v>14</v>
      </c>
    </row>
    <row r="197" spans="1:9" x14ac:dyDescent="0.25">
      <c r="A197" s="42" t="s">
        <v>1356</v>
      </c>
      <c r="B197" s="43" t="s">
        <v>39</v>
      </c>
      <c r="C197" s="24">
        <v>611704</v>
      </c>
      <c r="D197" s="20">
        <v>41125</v>
      </c>
      <c r="E197" s="25">
        <v>478</v>
      </c>
      <c r="F197" s="25">
        <v>10</v>
      </c>
      <c r="G197" s="25">
        <v>2578</v>
      </c>
      <c r="H197" s="25">
        <v>0</v>
      </c>
      <c r="I197" s="25">
        <v>48</v>
      </c>
    </row>
    <row r="198" spans="1:9" x14ac:dyDescent="0.25">
      <c r="A198" s="42" t="s">
        <v>1356</v>
      </c>
      <c r="B198" s="43" t="s">
        <v>39</v>
      </c>
      <c r="C198" s="24">
        <v>611704</v>
      </c>
      <c r="D198" s="20">
        <v>41152</v>
      </c>
      <c r="E198" s="25">
        <v>477</v>
      </c>
      <c r="F198" s="25">
        <v>8</v>
      </c>
      <c r="G198" s="25">
        <v>2974</v>
      </c>
      <c r="H198" s="25">
        <v>0</v>
      </c>
      <c r="I198" s="25">
        <v>0</v>
      </c>
    </row>
    <row r="199" spans="1:9" x14ac:dyDescent="0.25">
      <c r="A199" s="42" t="s">
        <v>1355</v>
      </c>
      <c r="B199" s="42" t="s">
        <v>35</v>
      </c>
      <c r="C199" s="24">
        <v>611419</v>
      </c>
      <c r="D199" s="20">
        <v>41130</v>
      </c>
      <c r="E199" s="25">
        <v>477</v>
      </c>
      <c r="F199" s="25">
        <v>52</v>
      </c>
      <c r="G199" s="25">
        <v>13155</v>
      </c>
      <c r="H199" s="25">
        <v>62</v>
      </c>
      <c r="I199" s="25">
        <v>180</v>
      </c>
    </row>
    <row r="200" spans="1:9" x14ac:dyDescent="0.25">
      <c r="A200" s="42" t="s">
        <v>1356</v>
      </c>
      <c r="B200" s="42" t="s">
        <v>37</v>
      </c>
      <c r="C200" s="24">
        <v>610208</v>
      </c>
      <c r="D200" s="20">
        <v>41128</v>
      </c>
      <c r="E200" s="25">
        <v>790</v>
      </c>
      <c r="F200" s="25">
        <v>0</v>
      </c>
      <c r="G200" s="25">
        <v>0</v>
      </c>
      <c r="H200" s="25">
        <v>0</v>
      </c>
      <c r="I200" s="25">
        <v>0</v>
      </c>
    </row>
    <row r="201" spans="1:9" x14ac:dyDescent="0.25">
      <c r="A201" s="42" t="s">
        <v>1356</v>
      </c>
      <c r="B201" s="42" t="s">
        <v>38</v>
      </c>
      <c r="C201" s="24">
        <v>610340</v>
      </c>
      <c r="D201" s="20">
        <v>41144</v>
      </c>
      <c r="E201" s="25">
        <v>467</v>
      </c>
      <c r="F201" s="25">
        <v>0</v>
      </c>
      <c r="G201" s="25">
        <v>0</v>
      </c>
      <c r="H201" s="25">
        <v>0</v>
      </c>
      <c r="I201" s="25">
        <v>0</v>
      </c>
    </row>
    <row r="202" spans="1:9" x14ac:dyDescent="0.25">
      <c r="A202" s="42" t="s">
        <v>1355</v>
      </c>
      <c r="B202" s="42" t="s">
        <v>35</v>
      </c>
      <c r="C202" s="24">
        <v>611419</v>
      </c>
      <c r="D202" s="20">
        <v>41150</v>
      </c>
      <c r="E202" s="25">
        <v>481</v>
      </c>
      <c r="F202" s="25">
        <v>0</v>
      </c>
      <c r="G202" s="25">
        <v>0</v>
      </c>
      <c r="H202" s="25">
        <v>0</v>
      </c>
      <c r="I202" s="25">
        <v>0</v>
      </c>
    </row>
    <row r="203" spans="1:9" x14ac:dyDescent="0.25">
      <c r="A203" s="42" t="s">
        <v>1355</v>
      </c>
      <c r="B203" s="42" t="s">
        <v>36</v>
      </c>
      <c r="C203" s="24">
        <v>610832</v>
      </c>
      <c r="D203" s="20">
        <v>41131</v>
      </c>
      <c r="E203" s="25">
        <v>477</v>
      </c>
      <c r="F203" s="25">
        <v>52</v>
      </c>
      <c r="G203" s="25">
        <v>16808</v>
      </c>
      <c r="H203" s="25">
        <v>10</v>
      </c>
      <c r="I203" s="25">
        <v>116</v>
      </c>
    </row>
    <row r="204" spans="1:9" x14ac:dyDescent="0.25">
      <c r="A204" s="42" t="s">
        <v>1356</v>
      </c>
      <c r="B204" s="42" t="s">
        <v>37</v>
      </c>
      <c r="C204" s="24">
        <v>610208</v>
      </c>
      <c r="D204" s="20">
        <v>41149</v>
      </c>
      <c r="E204" s="25">
        <v>465</v>
      </c>
      <c r="F204" s="25">
        <v>0</v>
      </c>
      <c r="G204" s="25">
        <v>0</v>
      </c>
      <c r="H204" s="25">
        <v>0</v>
      </c>
      <c r="I204" s="25">
        <v>0</v>
      </c>
    </row>
    <row r="205" spans="1:9" x14ac:dyDescent="0.25">
      <c r="A205" s="42" t="s">
        <v>1356</v>
      </c>
      <c r="B205" s="43" t="s">
        <v>39</v>
      </c>
      <c r="C205" s="24">
        <v>611704</v>
      </c>
      <c r="D205" s="20">
        <v>41136</v>
      </c>
      <c r="E205" s="25">
        <v>467</v>
      </c>
      <c r="F205" s="25">
        <v>0</v>
      </c>
      <c r="G205" s="25">
        <v>0</v>
      </c>
      <c r="H205" s="25">
        <v>0</v>
      </c>
      <c r="I205" s="25">
        <v>0</v>
      </c>
    </row>
    <row r="206" spans="1:9" x14ac:dyDescent="0.25">
      <c r="A206" s="42" t="s">
        <v>1356</v>
      </c>
      <c r="B206" s="42" t="s">
        <v>37</v>
      </c>
      <c r="C206" s="24">
        <v>610208</v>
      </c>
      <c r="D206" s="20">
        <v>41146</v>
      </c>
      <c r="E206" s="25">
        <v>484</v>
      </c>
      <c r="F206" s="25">
        <v>0</v>
      </c>
      <c r="G206" s="25">
        <v>0</v>
      </c>
      <c r="H206" s="25">
        <v>0</v>
      </c>
      <c r="I206" s="25">
        <v>0</v>
      </c>
    </row>
    <row r="207" spans="1:9" x14ac:dyDescent="0.25">
      <c r="A207" s="42" t="s">
        <v>1355</v>
      </c>
      <c r="B207" s="42" t="s">
        <v>36</v>
      </c>
      <c r="C207" s="24">
        <v>610832</v>
      </c>
      <c r="D207" s="20">
        <v>41128</v>
      </c>
      <c r="E207" s="25">
        <v>477</v>
      </c>
      <c r="F207" s="25">
        <v>45</v>
      </c>
      <c r="G207" s="25">
        <v>12201</v>
      </c>
      <c r="H207" s="25">
        <v>2</v>
      </c>
      <c r="I207" s="25">
        <v>13</v>
      </c>
    </row>
    <row r="208" spans="1:9" x14ac:dyDescent="0.25">
      <c r="A208" s="42" t="s">
        <v>1355</v>
      </c>
      <c r="B208" s="42" t="s">
        <v>36</v>
      </c>
      <c r="C208" s="24">
        <v>610832</v>
      </c>
      <c r="D208" s="20">
        <v>41141</v>
      </c>
      <c r="E208" s="25">
        <v>466</v>
      </c>
      <c r="F208" s="25">
        <v>31</v>
      </c>
      <c r="G208" s="25">
        <v>10249</v>
      </c>
      <c r="H208" s="25">
        <v>7</v>
      </c>
      <c r="I208" s="25">
        <v>3</v>
      </c>
    </row>
    <row r="209" spans="1:9" x14ac:dyDescent="0.25">
      <c r="A209" s="42" t="s">
        <v>1356</v>
      </c>
      <c r="B209" s="42" t="s">
        <v>37</v>
      </c>
      <c r="C209" s="24">
        <v>610208</v>
      </c>
      <c r="D209" s="20">
        <v>41139</v>
      </c>
      <c r="E209" s="25">
        <v>481</v>
      </c>
      <c r="F209" s="25">
        <v>0</v>
      </c>
      <c r="G209" s="25">
        <v>0</v>
      </c>
      <c r="H209" s="25">
        <v>0</v>
      </c>
      <c r="I209" s="25">
        <v>0</v>
      </c>
    </row>
    <row r="210" spans="1:9" x14ac:dyDescent="0.25">
      <c r="A210" s="42" t="s">
        <v>1356</v>
      </c>
      <c r="B210" s="42" t="s">
        <v>37</v>
      </c>
      <c r="C210" s="24">
        <v>610208</v>
      </c>
      <c r="D210" s="20">
        <v>41136</v>
      </c>
      <c r="E210" s="25">
        <v>478</v>
      </c>
      <c r="F210" s="25">
        <v>27</v>
      </c>
      <c r="G210" s="25">
        <v>7402</v>
      </c>
      <c r="H210" s="25">
        <v>0</v>
      </c>
      <c r="I210" s="25">
        <v>0</v>
      </c>
    </row>
    <row r="211" spans="1:9" x14ac:dyDescent="0.25">
      <c r="A211" s="42" t="s">
        <v>1355</v>
      </c>
      <c r="B211" s="42" t="s">
        <v>34</v>
      </c>
      <c r="C211" s="24">
        <v>613447</v>
      </c>
      <c r="D211" s="20">
        <v>41128</v>
      </c>
      <c r="E211" s="25">
        <v>85</v>
      </c>
      <c r="F211" s="25">
        <v>0</v>
      </c>
      <c r="G211" s="25">
        <v>0</v>
      </c>
      <c r="H211" s="25">
        <v>0</v>
      </c>
      <c r="I211" s="25">
        <v>0</v>
      </c>
    </row>
    <row r="212" spans="1:9" x14ac:dyDescent="0.25">
      <c r="A212" s="42" t="s">
        <v>1355</v>
      </c>
      <c r="B212" s="42" t="s">
        <v>34</v>
      </c>
      <c r="C212" s="24">
        <v>613447</v>
      </c>
      <c r="D212" s="20">
        <v>41140</v>
      </c>
      <c r="E212" s="25">
        <v>790</v>
      </c>
      <c r="F212" s="25">
        <v>0</v>
      </c>
      <c r="G212" s="25">
        <v>0</v>
      </c>
      <c r="H212" s="25">
        <v>0</v>
      </c>
      <c r="I212" s="25">
        <v>0</v>
      </c>
    </row>
    <row r="213" spans="1:9" x14ac:dyDescent="0.25">
      <c r="A213" s="42" t="s">
        <v>1355</v>
      </c>
      <c r="B213" s="42" t="s">
        <v>36</v>
      </c>
      <c r="C213" s="24">
        <v>610832</v>
      </c>
      <c r="D213" s="20">
        <v>41137</v>
      </c>
      <c r="E213" s="25">
        <v>482</v>
      </c>
      <c r="F213" s="25">
        <v>1</v>
      </c>
      <c r="G213" s="25">
        <v>762</v>
      </c>
      <c r="H213" s="25">
        <v>0</v>
      </c>
      <c r="I213" s="25">
        <v>0</v>
      </c>
    </row>
    <row r="214" spans="1:9" x14ac:dyDescent="0.25">
      <c r="A214" s="42" t="s">
        <v>1355</v>
      </c>
      <c r="B214" s="42" t="s">
        <v>36</v>
      </c>
      <c r="C214" s="24">
        <v>610832</v>
      </c>
      <c r="D214" s="20">
        <v>41145</v>
      </c>
      <c r="E214" s="25">
        <v>466</v>
      </c>
      <c r="F214" s="25">
        <v>18</v>
      </c>
      <c r="G214" s="25">
        <v>5726</v>
      </c>
      <c r="H214" s="25">
        <v>0</v>
      </c>
      <c r="I214" s="25">
        <v>16</v>
      </c>
    </row>
    <row r="215" spans="1:9" x14ac:dyDescent="0.25">
      <c r="A215" s="42" t="s">
        <v>1355</v>
      </c>
      <c r="B215" s="42" t="s">
        <v>36</v>
      </c>
      <c r="C215" s="24">
        <v>610832</v>
      </c>
      <c r="D215" s="20">
        <v>41150</v>
      </c>
      <c r="E215" s="25">
        <v>481</v>
      </c>
      <c r="F215" s="25">
        <v>0</v>
      </c>
      <c r="G215" s="25">
        <v>0</v>
      </c>
      <c r="H215" s="25">
        <v>0</v>
      </c>
      <c r="I215" s="25">
        <v>0</v>
      </c>
    </row>
    <row r="216" spans="1:9" x14ac:dyDescent="0.25">
      <c r="A216" s="42" t="s">
        <v>1355</v>
      </c>
      <c r="B216" s="42" t="s">
        <v>36</v>
      </c>
      <c r="C216" s="24">
        <v>610832</v>
      </c>
      <c r="D216" s="20">
        <v>41150</v>
      </c>
      <c r="E216" s="25">
        <v>790</v>
      </c>
      <c r="F216" s="25">
        <v>0</v>
      </c>
      <c r="G216" s="25">
        <v>0</v>
      </c>
      <c r="H216" s="25">
        <v>0</v>
      </c>
      <c r="I216" s="25">
        <v>0</v>
      </c>
    </row>
    <row r="217" spans="1:9" x14ac:dyDescent="0.25">
      <c r="A217" s="42" t="s">
        <v>1355</v>
      </c>
      <c r="B217" s="42" t="s">
        <v>36</v>
      </c>
      <c r="C217" s="24">
        <v>610832</v>
      </c>
      <c r="D217" s="20">
        <v>41142</v>
      </c>
      <c r="E217" s="25">
        <v>790</v>
      </c>
      <c r="F217" s="25">
        <v>0</v>
      </c>
      <c r="G217" s="25">
        <v>0</v>
      </c>
      <c r="H217" s="25">
        <v>0</v>
      </c>
      <c r="I217" s="25">
        <v>0</v>
      </c>
    </row>
    <row r="218" spans="1:9" x14ac:dyDescent="0.25">
      <c r="A218" s="42" t="s">
        <v>1355</v>
      </c>
      <c r="B218" s="42" t="s">
        <v>35</v>
      </c>
      <c r="C218" s="24">
        <v>611419</v>
      </c>
      <c r="D218" s="20">
        <v>41141</v>
      </c>
      <c r="E218" s="25">
        <v>467</v>
      </c>
      <c r="F218" s="25">
        <v>0</v>
      </c>
      <c r="G218" s="25">
        <v>0</v>
      </c>
      <c r="H218" s="25">
        <v>0</v>
      </c>
      <c r="I218" s="25">
        <v>0</v>
      </c>
    </row>
    <row r="219" spans="1:9" x14ac:dyDescent="0.25">
      <c r="A219" s="42" t="s">
        <v>1356</v>
      </c>
      <c r="B219" s="43" t="s">
        <v>39</v>
      </c>
      <c r="C219" s="24">
        <v>611704</v>
      </c>
      <c r="D219" s="20">
        <v>41150</v>
      </c>
      <c r="E219" s="25">
        <v>480</v>
      </c>
      <c r="F219" s="25">
        <v>5</v>
      </c>
      <c r="G219" s="25">
        <v>1605</v>
      </c>
      <c r="H219" s="25">
        <v>0</v>
      </c>
      <c r="I219" s="25">
        <v>0</v>
      </c>
    </row>
    <row r="220" spans="1:9" x14ac:dyDescent="0.25">
      <c r="A220" s="42" t="s">
        <v>1356</v>
      </c>
      <c r="B220" s="42" t="s">
        <v>38</v>
      </c>
      <c r="C220" s="24">
        <v>610340</v>
      </c>
      <c r="D220" s="20">
        <v>41148</v>
      </c>
      <c r="E220" s="25">
        <v>477</v>
      </c>
      <c r="F220" s="25">
        <v>1</v>
      </c>
      <c r="G220" s="25">
        <v>166</v>
      </c>
      <c r="H220" s="25">
        <v>0</v>
      </c>
      <c r="I220" s="25">
        <v>0</v>
      </c>
    </row>
    <row r="221" spans="1:9" x14ac:dyDescent="0.25">
      <c r="A221" s="42" t="s">
        <v>1356</v>
      </c>
      <c r="B221" s="42" t="s">
        <v>37</v>
      </c>
      <c r="C221" s="24">
        <v>610208</v>
      </c>
      <c r="D221" s="20">
        <v>41151</v>
      </c>
      <c r="E221" s="25">
        <v>475</v>
      </c>
      <c r="F221" s="25">
        <v>1</v>
      </c>
      <c r="G221" s="25">
        <v>408</v>
      </c>
      <c r="H221" s="25">
        <v>0</v>
      </c>
      <c r="I221" s="25">
        <v>0</v>
      </c>
    </row>
    <row r="222" spans="1:9" x14ac:dyDescent="0.25">
      <c r="A222" s="42" t="s">
        <v>1355</v>
      </c>
      <c r="B222" s="42" t="s">
        <v>35</v>
      </c>
      <c r="C222" s="24">
        <v>611419</v>
      </c>
      <c r="D222" s="20">
        <v>41146</v>
      </c>
      <c r="E222" s="25">
        <v>465</v>
      </c>
      <c r="F222" s="25">
        <v>0</v>
      </c>
      <c r="G222" s="25">
        <v>0</v>
      </c>
      <c r="H222" s="25">
        <v>0</v>
      </c>
      <c r="I222" s="25">
        <v>0</v>
      </c>
    </row>
    <row r="223" spans="1:9" x14ac:dyDescent="0.25">
      <c r="A223" s="42" t="s">
        <v>1355</v>
      </c>
      <c r="B223" s="42" t="s">
        <v>35</v>
      </c>
      <c r="C223" s="24">
        <v>611419</v>
      </c>
      <c r="D223" s="20">
        <v>41150</v>
      </c>
      <c r="E223" s="25">
        <v>477</v>
      </c>
      <c r="F223" s="25">
        <v>2</v>
      </c>
      <c r="G223" s="25">
        <v>334</v>
      </c>
      <c r="H223" s="25">
        <v>0</v>
      </c>
      <c r="I223" s="25">
        <v>165</v>
      </c>
    </row>
    <row r="224" spans="1:9" x14ac:dyDescent="0.25">
      <c r="A224" s="42" t="s">
        <v>1356</v>
      </c>
      <c r="B224" s="42" t="s">
        <v>38</v>
      </c>
      <c r="C224" s="24">
        <v>610340</v>
      </c>
      <c r="D224" s="20">
        <v>41128</v>
      </c>
      <c r="E224" s="25">
        <v>481</v>
      </c>
      <c r="F224" s="25">
        <v>18</v>
      </c>
      <c r="G224" s="25">
        <v>4670</v>
      </c>
      <c r="H224" s="25">
        <v>0</v>
      </c>
      <c r="I224" s="25">
        <v>0</v>
      </c>
    </row>
    <row r="225" spans="1:9" x14ac:dyDescent="0.25">
      <c r="A225" s="42" t="s">
        <v>1356</v>
      </c>
      <c r="B225" s="42" t="s">
        <v>37</v>
      </c>
      <c r="C225" s="24">
        <v>610208</v>
      </c>
      <c r="D225" s="20">
        <v>41135</v>
      </c>
      <c r="E225" s="25">
        <v>85</v>
      </c>
      <c r="F225" s="25">
        <v>0</v>
      </c>
      <c r="G225" s="25">
        <v>0</v>
      </c>
      <c r="H225" s="25">
        <v>0</v>
      </c>
      <c r="I225" s="25">
        <v>0</v>
      </c>
    </row>
    <row r="226" spans="1:9" x14ac:dyDescent="0.25">
      <c r="A226" s="42" t="s">
        <v>1355</v>
      </c>
      <c r="B226" s="42" t="s">
        <v>36</v>
      </c>
      <c r="C226" s="24">
        <v>610832</v>
      </c>
      <c r="D226" s="20">
        <v>41146</v>
      </c>
      <c r="E226" s="25">
        <v>465</v>
      </c>
      <c r="F226" s="25">
        <v>0</v>
      </c>
      <c r="G226" s="25">
        <v>0</v>
      </c>
      <c r="H226" s="25">
        <v>0</v>
      </c>
      <c r="I226" s="25">
        <v>0</v>
      </c>
    </row>
    <row r="227" spans="1:9" x14ac:dyDescent="0.25">
      <c r="A227" s="42" t="s">
        <v>1356</v>
      </c>
      <c r="B227" s="42" t="s">
        <v>37</v>
      </c>
      <c r="C227" s="24">
        <v>610208</v>
      </c>
      <c r="D227" s="20">
        <v>41136</v>
      </c>
      <c r="E227" s="25">
        <v>481</v>
      </c>
      <c r="F227" s="25">
        <v>4</v>
      </c>
      <c r="G227" s="25">
        <v>1283</v>
      </c>
      <c r="H227" s="25">
        <v>0</v>
      </c>
      <c r="I227" s="25">
        <v>0</v>
      </c>
    </row>
    <row r="228" spans="1:9" x14ac:dyDescent="0.25">
      <c r="A228" s="42" t="s">
        <v>1356</v>
      </c>
      <c r="B228" s="42" t="s">
        <v>37</v>
      </c>
      <c r="C228" s="24">
        <v>610208</v>
      </c>
      <c r="D228" s="20">
        <v>41148</v>
      </c>
      <c r="E228" s="25">
        <v>480</v>
      </c>
      <c r="F228" s="25">
        <v>2</v>
      </c>
      <c r="G228" s="25">
        <v>518</v>
      </c>
      <c r="H228" s="25">
        <v>0</v>
      </c>
      <c r="I228" s="25">
        <v>0</v>
      </c>
    </row>
    <row r="229" spans="1:9" x14ac:dyDescent="0.25">
      <c r="A229" s="42" t="s">
        <v>1356</v>
      </c>
      <c r="B229" s="42" t="s">
        <v>38</v>
      </c>
      <c r="C229" s="24">
        <v>610340</v>
      </c>
      <c r="D229" s="20">
        <v>41144</v>
      </c>
      <c r="E229" s="25">
        <v>466</v>
      </c>
      <c r="F229" s="25">
        <v>33</v>
      </c>
      <c r="G229" s="25">
        <v>8762</v>
      </c>
      <c r="H229" s="25">
        <v>0</v>
      </c>
      <c r="I229" s="25">
        <v>0</v>
      </c>
    </row>
    <row r="230" spans="1:9" x14ac:dyDescent="0.25">
      <c r="A230" s="42" t="s">
        <v>1355</v>
      </c>
      <c r="B230" s="42" t="s">
        <v>34</v>
      </c>
      <c r="C230" s="24">
        <v>613447</v>
      </c>
      <c r="D230" s="20">
        <v>41150</v>
      </c>
      <c r="E230" s="25">
        <v>85</v>
      </c>
      <c r="F230" s="25">
        <v>0</v>
      </c>
      <c r="G230" s="25">
        <v>0</v>
      </c>
      <c r="H230" s="25">
        <v>0</v>
      </c>
      <c r="I230" s="25">
        <v>0</v>
      </c>
    </row>
    <row r="231" spans="1:9" x14ac:dyDescent="0.25">
      <c r="A231" s="42" t="s">
        <v>1356</v>
      </c>
      <c r="B231" s="43" t="s">
        <v>39</v>
      </c>
      <c r="C231" s="24">
        <v>611704</v>
      </c>
      <c r="D231" s="20">
        <v>41141</v>
      </c>
      <c r="E231" s="25">
        <v>478</v>
      </c>
      <c r="F231" s="25">
        <v>0</v>
      </c>
      <c r="G231" s="25">
        <v>0</v>
      </c>
      <c r="H231" s="25">
        <v>0</v>
      </c>
      <c r="I231" s="25">
        <v>0</v>
      </c>
    </row>
    <row r="232" spans="1:9" x14ac:dyDescent="0.25">
      <c r="A232" s="42" t="s">
        <v>1355</v>
      </c>
      <c r="B232" s="42" t="s">
        <v>35</v>
      </c>
      <c r="C232" s="24">
        <v>611419</v>
      </c>
      <c r="D232" s="20">
        <v>41149</v>
      </c>
      <c r="E232" s="25">
        <v>85</v>
      </c>
      <c r="F232" s="25">
        <v>0</v>
      </c>
      <c r="G232" s="25">
        <v>0</v>
      </c>
      <c r="H232" s="25">
        <v>0</v>
      </c>
      <c r="I232" s="25">
        <v>0</v>
      </c>
    </row>
    <row r="233" spans="1:9" x14ac:dyDescent="0.25">
      <c r="A233" s="42" t="s">
        <v>1356</v>
      </c>
      <c r="B233" s="42" t="s">
        <v>38</v>
      </c>
      <c r="C233" s="24">
        <v>610340</v>
      </c>
      <c r="D233" s="20">
        <v>41138</v>
      </c>
      <c r="E233" s="25">
        <v>477</v>
      </c>
      <c r="F233" s="25">
        <v>19</v>
      </c>
      <c r="G233" s="25">
        <v>4495</v>
      </c>
      <c r="H233" s="25">
        <v>7</v>
      </c>
      <c r="I233" s="25">
        <v>11</v>
      </c>
    </row>
    <row r="234" spans="1:9" x14ac:dyDescent="0.25">
      <c r="A234" s="42" t="s">
        <v>1355</v>
      </c>
      <c r="B234" s="42" t="s">
        <v>36</v>
      </c>
      <c r="C234" s="24">
        <v>610832</v>
      </c>
      <c r="D234" s="20">
        <v>41128</v>
      </c>
      <c r="E234" s="25">
        <v>481</v>
      </c>
      <c r="F234" s="25">
        <v>15</v>
      </c>
      <c r="G234" s="25">
        <v>5862</v>
      </c>
      <c r="H234" s="25">
        <v>2</v>
      </c>
      <c r="I234" s="25">
        <v>0</v>
      </c>
    </row>
    <row r="235" spans="1:9" x14ac:dyDescent="0.25">
      <c r="A235" s="42" t="s">
        <v>1355</v>
      </c>
      <c r="B235" s="42" t="s">
        <v>35</v>
      </c>
      <c r="C235" s="24">
        <v>611419</v>
      </c>
      <c r="D235" s="20">
        <v>41148</v>
      </c>
      <c r="E235" s="25">
        <v>467</v>
      </c>
      <c r="F235" s="25">
        <v>0</v>
      </c>
      <c r="G235" s="25">
        <v>0</v>
      </c>
      <c r="H235" s="25">
        <v>0</v>
      </c>
      <c r="I235" s="25">
        <v>0</v>
      </c>
    </row>
    <row r="236" spans="1:9" x14ac:dyDescent="0.25">
      <c r="A236" s="42" t="s">
        <v>1355</v>
      </c>
      <c r="B236" s="42" t="s">
        <v>35</v>
      </c>
      <c r="C236" s="24">
        <v>611419</v>
      </c>
      <c r="D236" s="20">
        <v>41138</v>
      </c>
      <c r="E236" s="25">
        <v>465</v>
      </c>
      <c r="F236" s="25">
        <v>0</v>
      </c>
      <c r="G236" s="25">
        <v>0</v>
      </c>
      <c r="H236" s="25">
        <v>0</v>
      </c>
      <c r="I236" s="25">
        <v>0</v>
      </c>
    </row>
    <row r="237" spans="1:9" x14ac:dyDescent="0.25">
      <c r="A237" s="42" t="s">
        <v>1355</v>
      </c>
      <c r="B237" s="42" t="s">
        <v>36</v>
      </c>
      <c r="C237" s="24">
        <v>610832</v>
      </c>
      <c r="D237" s="20">
        <v>41135</v>
      </c>
      <c r="E237" s="25">
        <v>790</v>
      </c>
      <c r="F237" s="25">
        <v>0</v>
      </c>
      <c r="G237" s="25">
        <v>0</v>
      </c>
      <c r="H237" s="25">
        <v>0</v>
      </c>
      <c r="I237" s="25">
        <v>0</v>
      </c>
    </row>
    <row r="238" spans="1:9" x14ac:dyDescent="0.25">
      <c r="A238" s="42" t="s">
        <v>1355</v>
      </c>
      <c r="B238" s="42" t="s">
        <v>36</v>
      </c>
      <c r="C238" s="24">
        <v>610832</v>
      </c>
      <c r="D238" s="20">
        <v>41137</v>
      </c>
      <c r="E238" s="25">
        <v>480</v>
      </c>
      <c r="F238" s="25">
        <v>3</v>
      </c>
      <c r="G238" s="25">
        <v>842</v>
      </c>
      <c r="H238" s="25">
        <v>7</v>
      </c>
      <c r="I238" s="25">
        <v>0</v>
      </c>
    </row>
    <row r="239" spans="1:9" x14ac:dyDescent="0.25">
      <c r="A239" s="42" t="s">
        <v>1355</v>
      </c>
      <c r="B239" s="42" t="s">
        <v>36</v>
      </c>
      <c r="C239" s="24">
        <v>610832</v>
      </c>
      <c r="D239" s="20">
        <v>41149</v>
      </c>
      <c r="E239" s="25">
        <v>790</v>
      </c>
      <c r="F239" s="25">
        <v>0</v>
      </c>
      <c r="G239" s="25">
        <v>0</v>
      </c>
      <c r="H239" s="25">
        <v>0</v>
      </c>
      <c r="I239" s="25">
        <v>0</v>
      </c>
    </row>
    <row r="240" spans="1:9" x14ac:dyDescent="0.25">
      <c r="A240" s="42" t="s">
        <v>1356</v>
      </c>
      <c r="B240" s="42" t="s">
        <v>38</v>
      </c>
      <c r="C240" s="24">
        <v>610340</v>
      </c>
      <c r="D240" s="20">
        <v>41138</v>
      </c>
      <c r="E240" s="25">
        <v>480</v>
      </c>
      <c r="F240" s="25">
        <v>8</v>
      </c>
      <c r="G240" s="25">
        <v>1790</v>
      </c>
      <c r="H240" s="25">
        <v>0</v>
      </c>
      <c r="I240" s="25">
        <v>0</v>
      </c>
    </row>
    <row r="241" spans="1:9" x14ac:dyDescent="0.25">
      <c r="A241" s="42" t="s">
        <v>1355</v>
      </c>
      <c r="B241" s="42" t="s">
        <v>34</v>
      </c>
      <c r="C241" s="24">
        <v>613447</v>
      </c>
      <c r="D241" s="20">
        <v>41124</v>
      </c>
      <c r="E241" s="25">
        <v>85</v>
      </c>
      <c r="F241" s="25">
        <v>0</v>
      </c>
      <c r="G241" s="25">
        <v>0</v>
      </c>
      <c r="H241" s="25">
        <v>0</v>
      </c>
      <c r="I241" s="25">
        <v>0</v>
      </c>
    </row>
    <row r="242" spans="1:9" x14ac:dyDescent="0.25">
      <c r="A242" s="42" t="s">
        <v>1356</v>
      </c>
      <c r="B242" s="42" t="s">
        <v>37</v>
      </c>
      <c r="C242" s="24">
        <v>610208</v>
      </c>
      <c r="D242" s="20">
        <v>41138</v>
      </c>
      <c r="E242" s="25">
        <v>790</v>
      </c>
      <c r="F242" s="25">
        <v>0</v>
      </c>
      <c r="G242" s="25">
        <v>0</v>
      </c>
      <c r="H242" s="25">
        <v>0</v>
      </c>
      <c r="I242" s="25">
        <v>0</v>
      </c>
    </row>
    <row r="243" spans="1:9" x14ac:dyDescent="0.25">
      <c r="A243" s="42" t="s">
        <v>1356</v>
      </c>
      <c r="B243" s="42" t="s">
        <v>38</v>
      </c>
      <c r="C243" s="24">
        <v>610340</v>
      </c>
      <c r="D243" s="20">
        <v>41137</v>
      </c>
      <c r="E243" s="25">
        <v>467</v>
      </c>
      <c r="F243" s="25">
        <v>0</v>
      </c>
      <c r="G243" s="25">
        <v>0</v>
      </c>
      <c r="H243" s="25">
        <v>0</v>
      </c>
      <c r="I243" s="25">
        <v>0</v>
      </c>
    </row>
    <row r="244" spans="1:9" x14ac:dyDescent="0.25">
      <c r="A244" s="42" t="s">
        <v>1355</v>
      </c>
      <c r="B244" s="42" t="s">
        <v>34</v>
      </c>
      <c r="C244" s="24">
        <v>613447</v>
      </c>
      <c r="D244" s="20">
        <v>41140</v>
      </c>
      <c r="E244" s="25">
        <v>477</v>
      </c>
      <c r="F244" s="25">
        <v>30</v>
      </c>
      <c r="G244" s="25">
        <v>8154</v>
      </c>
      <c r="H244" s="25">
        <v>0</v>
      </c>
      <c r="I244" s="25">
        <v>0</v>
      </c>
    </row>
    <row r="245" spans="1:9" x14ac:dyDescent="0.25">
      <c r="A245" s="42" t="s">
        <v>1355</v>
      </c>
      <c r="B245" s="42" t="s">
        <v>36</v>
      </c>
      <c r="C245" s="24">
        <v>610832</v>
      </c>
      <c r="D245" s="20">
        <v>41142</v>
      </c>
      <c r="E245" s="25">
        <v>466</v>
      </c>
      <c r="F245" s="25">
        <v>26</v>
      </c>
      <c r="G245" s="25">
        <v>7562</v>
      </c>
      <c r="H245" s="25">
        <v>2</v>
      </c>
      <c r="I245" s="25">
        <v>25</v>
      </c>
    </row>
    <row r="246" spans="1:9" x14ac:dyDescent="0.25">
      <c r="A246" s="42" t="s">
        <v>1356</v>
      </c>
      <c r="B246" s="42" t="s">
        <v>38</v>
      </c>
      <c r="C246" s="24">
        <v>610340</v>
      </c>
      <c r="D246" s="20">
        <v>41129</v>
      </c>
      <c r="E246" s="25">
        <v>477</v>
      </c>
      <c r="F246" s="25">
        <v>38</v>
      </c>
      <c r="G246" s="25">
        <v>12260</v>
      </c>
      <c r="H246" s="25">
        <v>49</v>
      </c>
      <c r="I246" s="25">
        <v>12</v>
      </c>
    </row>
    <row r="247" spans="1:9" x14ac:dyDescent="0.25">
      <c r="A247" s="42" t="s">
        <v>1355</v>
      </c>
      <c r="B247" s="42" t="s">
        <v>34</v>
      </c>
      <c r="C247" s="24">
        <v>613447</v>
      </c>
      <c r="D247" s="20">
        <v>41143</v>
      </c>
      <c r="E247" s="25">
        <v>85</v>
      </c>
      <c r="F247" s="25">
        <v>1</v>
      </c>
      <c r="G247" s="25">
        <v>149</v>
      </c>
      <c r="H247" s="25">
        <v>0</v>
      </c>
      <c r="I247" s="25">
        <v>0</v>
      </c>
    </row>
    <row r="248" spans="1:9" x14ac:dyDescent="0.25">
      <c r="A248" s="42" t="s">
        <v>1356</v>
      </c>
      <c r="B248" s="43" t="s">
        <v>39</v>
      </c>
      <c r="C248" s="24">
        <v>611704</v>
      </c>
      <c r="D248" s="20">
        <v>41150</v>
      </c>
      <c r="E248" s="25">
        <v>478</v>
      </c>
      <c r="F248" s="25">
        <v>5</v>
      </c>
      <c r="G248" s="25">
        <v>2076</v>
      </c>
      <c r="H248" s="25">
        <v>84</v>
      </c>
      <c r="I248" s="25">
        <v>0</v>
      </c>
    </row>
    <row r="249" spans="1:9" x14ac:dyDescent="0.25">
      <c r="A249" s="42" t="s">
        <v>1355</v>
      </c>
      <c r="B249" s="42" t="s">
        <v>35</v>
      </c>
      <c r="C249" s="24">
        <v>611419</v>
      </c>
      <c r="D249" s="20">
        <v>41148</v>
      </c>
      <c r="E249" s="25">
        <v>465</v>
      </c>
      <c r="F249" s="25">
        <v>0</v>
      </c>
      <c r="G249" s="25">
        <v>0</v>
      </c>
      <c r="H249" s="25">
        <v>0</v>
      </c>
      <c r="I249" s="25">
        <v>0</v>
      </c>
    </row>
    <row r="250" spans="1:9" x14ac:dyDescent="0.25">
      <c r="A250" s="42" t="s">
        <v>1356</v>
      </c>
      <c r="B250" s="43" t="s">
        <v>39</v>
      </c>
      <c r="C250" s="24">
        <v>611704</v>
      </c>
      <c r="D250" s="20">
        <v>41141</v>
      </c>
      <c r="E250" s="25">
        <v>790</v>
      </c>
      <c r="F250" s="25">
        <v>0</v>
      </c>
      <c r="G250" s="25">
        <v>0</v>
      </c>
      <c r="H250" s="25">
        <v>0</v>
      </c>
      <c r="I250" s="25">
        <v>0</v>
      </c>
    </row>
    <row r="251" spans="1:9" x14ac:dyDescent="0.25">
      <c r="A251" s="42" t="s">
        <v>1356</v>
      </c>
      <c r="B251" s="42" t="s">
        <v>38</v>
      </c>
      <c r="C251" s="24">
        <v>610340</v>
      </c>
      <c r="D251" s="20">
        <v>41132</v>
      </c>
      <c r="E251" s="25">
        <v>790</v>
      </c>
      <c r="F251" s="25">
        <v>0</v>
      </c>
      <c r="G251" s="25">
        <v>0</v>
      </c>
      <c r="H251" s="25">
        <v>0</v>
      </c>
      <c r="I251" s="25">
        <v>0</v>
      </c>
    </row>
    <row r="252" spans="1:9" x14ac:dyDescent="0.25">
      <c r="A252" s="42" t="s">
        <v>1355</v>
      </c>
      <c r="B252" s="42" t="s">
        <v>36</v>
      </c>
      <c r="C252" s="24">
        <v>610832</v>
      </c>
      <c r="D252" s="20">
        <v>41131</v>
      </c>
      <c r="E252" s="25">
        <v>478</v>
      </c>
      <c r="F252" s="25">
        <v>7</v>
      </c>
      <c r="G252" s="25">
        <v>1607</v>
      </c>
      <c r="H252" s="25">
        <v>1</v>
      </c>
      <c r="I252" s="25">
        <v>0</v>
      </c>
    </row>
    <row r="253" spans="1:9" x14ac:dyDescent="0.25">
      <c r="A253" s="42" t="s">
        <v>1355</v>
      </c>
      <c r="B253" s="42" t="s">
        <v>34</v>
      </c>
      <c r="C253" s="24">
        <v>613447</v>
      </c>
      <c r="D253" s="20">
        <v>41134</v>
      </c>
      <c r="E253" s="25">
        <v>790</v>
      </c>
      <c r="F253" s="25">
        <v>0</v>
      </c>
      <c r="G253" s="25">
        <v>0</v>
      </c>
      <c r="H253" s="25">
        <v>0</v>
      </c>
      <c r="I253" s="25">
        <v>0</v>
      </c>
    </row>
    <row r="254" spans="1:9" x14ac:dyDescent="0.25">
      <c r="A254" s="42" t="s">
        <v>1355</v>
      </c>
      <c r="B254" s="42" t="s">
        <v>34</v>
      </c>
      <c r="C254" s="24">
        <v>613447</v>
      </c>
      <c r="D254" s="20">
        <v>41129</v>
      </c>
      <c r="E254" s="25">
        <v>477</v>
      </c>
      <c r="F254" s="25">
        <v>33</v>
      </c>
      <c r="G254" s="25">
        <v>11695</v>
      </c>
      <c r="H254" s="25">
        <v>0</v>
      </c>
      <c r="I254" s="25">
        <v>520</v>
      </c>
    </row>
    <row r="255" spans="1:9" x14ac:dyDescent="0.25">
      <c r="A255" s="42" t="s">
        <v>1355</v>
      </c>
      <c r="B255" s="42" t="s">
        <v>34</v>
      </c>
      <c r="C255" s="24">
        <v>613447</v>
      </c>
      <c r="D255" s="20">
        <v>41136</v>
      </c>
      <c r="E255" s="25">
        <v>466</v>
      </c>
      <c r="F255" s="25">
        <v>1</v>
      </c>
      <c r="G255" s="25">
        <v>170</v>
      </c>
      <c r="H255" s="25">
        <v>3</v>
      </c>
      <c r="I255" s="25">
        <v>0</v>
      </c>
    </row>
    <row r="256" spans="1:9" x14ac:dyDescent="0.25">
      <c r="A256" s="42" t="s">
        <v>1355</v>
      </c>
      <c r="B256" s="42" t="s">
        <v>35</v>
      </c>
      <c r="C256" s="24">
        <v>611419</v>
      </c>
      <c r="D256" s="20">
        <v>41150</v>
      </c>
      <c r="E256" s="25">
        <v>467</v>
      </c>
      <c r="F256" s="25">
        <v>0</v>
      </c>
      <c r="G256" s="25">
        <v>0</v>
      </c>
      <c r="H256" s="25">
        <v>0</v>
      </c>
      <c r="I256" s="25">
        <v>0</v>
      </c>
    </row>
    <row r="257" spans="1:9" x14ac:dyDescent="0.25">
      <c r="A257" s="42" t="s">
        <v>1356</v>
      </c>
      <c r="B257" s="42" t="s">
        <v>37</v>
      </c>
      <c r="C257" s="24">
        <v>610208</v>
      </c>
      <c r="D257" s="20">
        <v>41141</v>
      </c>
      <c r="E257" s="25">
        <v>465</v>
      </c>
      <c r="F257" s="25">
        <v>0</v>
      </c>
      <c r="G257" s="25">
        <v>0</v>
      </c>
      <c r="H257" s="25">
        <v>0</v>
      </c>
      <c r="I257" s="25">
        <v>0</v>
      </c>
    </row>
    <row r="258" spans="1:9" x14ac:dyDescent="0.25">
      <c r="A258" s="42" t="s">
        <v>1356</v>
      </c>
      <c r="B258" s="43" t="s">
        <v>39</v>
      </c>
      <c r="C258" s="24">
        <v>611704</v>
      </c>
      <c r="D258" s="20">
        <v>41123</v>
      </c>
      <c r="E258" s="25">
        <v>481</v>
      </c>
      <c r="F258" s="25">
        <v>0</v>
      </c>
      <c r="G258" s="25">
        <v>0</v>
      </c>
      <c r="H258" s="25">
        <v>0</v>
      </c>
      <c r="I258" s="25">
        <v>0</v>
      </c>
    </row>
    <row r="259" spans="1:9" x14ac:dyDescent="0.25">
      <c r="A259" s="42" t="s">
        <v>1355</v>
      </c>
      <c r="B259" s="42" t="s">
        <v>34</v>
      </c>
      <c r="C259" s="24">
        <v>613447</v>
      </c>
      <c r="D259" s="20">
        <v>41126</v>
      </c>
      <c r="E259" s="25">
        <v>478</v>
      </c>
      <c r="F259" s="25">
        <v>0</v>
      </c>
      <c r="G259" s="25">
        <v>0</v>
      </c>
      <c r="H259" s="25">
        <v>0</v>
      </c>
      <c r="I259" s="25">
        <v>0</v>
      </c>
    </row>
    <row r="260" spans="1:9" x14ac:dyDescent="0.25">
      <c r="A260" s="42" t="s">
        <v>1356</v>
      </c>
      <c r="B260" s="42" t="s">
        <v>37</v>
      </c>
      <c r="C260" s="24">
        <v>610208</v>
      </c>
      <c r="D260" s="20">
        <v>41137</v>
      </c>
      <c r="E260" s="25">
        <v>466</v>
      </c>
      <c r="F260" s="25">
        <v>38</v>
      </c>
      <c r="G260" s="25">
        <v>12317</v>
      </c>
      <c r="H260" s="25">
        <v>1</v>
      </c>
      <c r="I260" s="25">
        <v>0</v>
      </c>
    </row>
    <row r="261" spans="1:9" x14ac:dyDescent="0.25">
      <c r="A261" s="42" t="s">
        <v>1356</v>
      </c>
      <c r="B261" s="43" t="s">
        <v>39</v>
      </c>
      <c r="C261" s="24">
        <v>611704</v>
      </c>
      <c r="D261" s="20">
        <v>41133</v>
      </c>
      <c r="E261" s="25">
        <v>477</v>
      </c>
      <c r="F261" s="25">
        <v>19</v>
      </c>
      <c r="G261" s="25">
        <v>7052</v>
      </c>
      <c r="H261" s="25">
        <v>0</v>
      </c>
      <c r="I261" s="25">
        <v>0</v>
      </c>
    </row>
    <row r="262" spans="1:9" x14ac:dyDescent="0.25">
      <c r="A262" s="42" t="s">
        <v>1355</v>
      </c>
      <c r="B262" s="42" t="s">
        <v>34</v>
      </c>
      <c r="C262" s="24">
        <v>613447</v>
      </c>
      <c r="D262" s="20">
        <v>41151</v>
      </c>
      <c r="E262" s="25">
        <v>480</v>
      </c>
      <c r="F262" s="25">
        <v>4</v>
      </c>
      <c r="G262" s="25">
        <v>989</v>
      </c>
      <c r="H262" s="25">
        <v>0</v>
      </c>
      <c r="I262" s="25">
        <v>0</v>
      </c>
    </row>
    <row r="263" spans="1:9" x14ac:dyDescent="0.25">
      <c r="A263" s="42" t="s">
        <v>1355</v>
      </c>
      <c r="B263" s="42" t="s">
        <v>36</v>
      </c>
      <c r="C263" s="24">
        <v>610832</v>
      </c>
      <c r="D263" s="20">
        <v>41128</v>
      </c>
      <c r="E263" s="25">
        <v>478</v>
      </c>
      <c r="F263" s="25">
        <v>7</v>
      </c>
      <c r="G263" s="25">
        <v>2027</v>
      </c>
      <c r="H263" s="25">
        <v>0</v>
      </c>
      <c r="I263" s="25">
        <v>0</v>
      </c>
    </row>
    <row r="264" spans="1:9" x14ac:dyDescent="0.25">
      <c r="A264" s="42" t="s">
        <v>1355</v>
      </c>
      <c r="B264" s="42" t="s">
        <v>34</v>
      </c>
      <c r="C264" s="24">
        <v>613447</v>
      </c>
      <c r="D264" s="20">
        <v>41142</v>
      </c>
      <c r="E264" s="25">
        <v>85</v>
      </c>
      <c r="F264" s="25">
        <v>0</v>
      </c>
      <c r="G264" s="25">
        <v>0</v>
      </c>
      <c r="H264" s="25">
        <v>0</v>
      </c>
      <c r="I264" s="25">
        <v>0</v>
      </c>
    </row>
    <row r="265" spans="1:9" x14ac:dyDescent="0.25">
      <c r="A265" s="42" t="s">
        <v>1355</v>
      </c>
      <c r="B265" s="42" t="s">
        <v>36</v>
      </c>
      <c r="C265" s="24">
        <v>610832</v>
      </c>
      <c r="D265" s="20">
        <v>41139</v>
      </c>
      <c r="E265" s="25">
        <v>481</v>
      </c>
      <c r="F265" s="25">
        <v>0</v>
      </c>
      <c r="G265" s="25">
        <v>0</v>
      </c>
      <c r="H265" s="25">
        <v>0</v>
      </c>
      <c r="I265" s="25">
        <v>0</v>
      </c>
    </row>
    <row r="266" spans="1:9" x14ac:dyDescent="0.25">
      <c r="A266" s="42" t="s">
        <v>1355</v>
      </c>
      <c r="B266" s="42" t="s">
        <v>34</v>
      </c>
      <c r="C266" s="24">
        <v>613447</v>
      </c>
      <c r="D266" s="20">
        <v>41145</v>
      </c>
      <c r="E266" s="25">
        <v>482</v>
      </c>
      <c r="F266" s="25">
        <v>14</v>
      </c>
      <c r="G266" s="25">
        <v>4432</v>
      </c>
      <c r="H266" s="25">
        <v>38</v>
      </c>
      <c r="I266" s="25">
        <v>50</v>
      </c>
    </row>
    <row r="267" spans="1:9" x14ac:dyDescent="0.25">
      <c r="A267" s="42" t="s">
        <v>1356</v>
      </c>
      <c r="B267" s="42" t="s">
        <v>38</v>
      </c>
      <c r="C267" s="24">
        <v>610340</v>
      </c>
      <c r="D267" s="20">
        <v>41131</v>
      </c>
      <c r="E267" s="25">
        <v>481</v>
      </c>
      <c r="F267" s="25">
        <v>0</v>
      </c>
      <c r="G267" s="25">
        <v>0</v>
      </c>
      <c r="H267" s="25">
        <v>0</v>
      </c>
      <c r="I267" s="25">
        <v>0</v>
      </c>
    </row>
    <row r="268" spans="1:9" x14ac:dyDescent="0.25">
      <c r="A268" s="42" t="s">
        <v>1355</v>
      </c>
      <c r="B268" s="42" t="s">
        <v>36</v>
      </c>
      <c r="C268" s="24">
        <v>610832</v>
      </c>
      <c r="D268" s="20">
        <v>41137</v>
      </c>
      <c r="E268" s="25">
        <v>477</v>
      </c>
      <c r="F268" s="25">
        <v>13</v>
      </c>
      <c r="G268" s="25">
        <v>3891</v>
      </c>
      <c r="H268" s="25">
        <v>0</v>
      </c>
      <c r="I268" s="25">
        <v>6</v>
      </c>
    </row>
    <row r="269" spans="1:9" x14ac:dyDescent="0.25">
      <c r="A269" s="42" t="s">
        <v>1355</v>
      </c>
      <c r="B269" s="42" t="s">
        <v>36</v>
      </c>
      <c r="C269" s="24">
        <v>610832</v>
      </c>
      <c r="D269" s="20">
        <v>41149</v>
      </c>
      <c r="E269" s="25">
        <v>467</v>
      </c>
      <c r="F269" s="25">
        <v>0</v>
      </c>
      <c r="G269" s="25">
        <v>0</v>
      </c>
      <c r="H269" s="25">
        <v>0</v>
      </c>
      <c r="I269" s="25">
        <v>0</v>
      </c>
    </row>
    <row r="270" spans="1:9" x14ac:dyDescent="0.25">
      <c r="A270" s="42" t="s">
        <v>1356</v>
      </c>
      <c r="B270" s="42" t="s">
        <v>38</v>
      </c>
      <c r="C270" s="24">
        <v>610340</v>
      </c>
      <c r="D270" s="20">
        <v>41148</v>
      </c>
      <c r="E270" s="25">
        <v>465</v>
      </c>
      <c r="F270" s="25">
        <v>0</v>
      </c>
      <c r="G270" s="25">
        <v>0</v>
      </c>
      <c r="H270" s="25">
        <v>0</v>
      </c>
      <c r="I270" s="25">
        <v>0</v>
      </c>
    </row>
    <row r="271" spans="1:9" x14ac:dyDescent="0.25">
      <c r="A271" s="42" t="s">
        <v>1356</v>
      </c>
      <c r="B271" s="42" t="s">
        <v>37</v>
      </c>
      <c r="C271" s="24">
        <v>610208</v>
      </c>
      <c r="D271" s="20">
        <v>41131</v>
      </c>
      <c r="E271" s="25">
        <v>481</v>
      </c>
      <c r="F271" s="25">
        <v>0</v>
      </c>
      <c r="G271" s="25">
        <v>0</v>
      </c>
      <c r="H271" s="25">
        <v>0</v>
      </c>
      <c r="I271" s="25">
        <v>0</v>
      </c>
    </row>
    <row r="272" spans="1:9" x14ac:dyDescent="0.25">
      <c r="A272" s="42" t="s">
        <v>1355</v>
      </c>
      <c r="B272" s="42" t="s">
        <v>36</v>
      </c>
      <c r="C272" s="24">
        <v>610832</v>
      </c>
      <c r="D272" s="20">
        <v>41136</v>
      </c>
      <c r="E272" s="25">
        <v>85</v>
      </c>
      <c r="F272" s="25">
        <v>0</v>
      </c>
      <c r="G272" s="25">
        <v>0</v>
      </c>
      <c r="H272" s="25">
        <v>0</v>
      </c>
      <c r="I272" s="25">
        <v>0</v>
      </c>
    </row>
    <row r="273" spans="1:9" x14ac:dyDescent="0.25">
      <c r="A273" s="42" t="s">
        <v>1356</v>
      </c>
      <c r="B273" s="43" t="s">
        <v>39</v>
      </c>
      <c r="C273" s="24">
        <v>611704</v>
      </c>
      <c r="D273" s="20">
        <v>41130</v>
      </c>
      <c r="E273" s="25">
        <v>478</v>
      </c>
      <c r="F273" s="25">
        <v>7</v>
      </c>
      <c r="G273" s="25">
        <v>1561</v>
      </c>
      <c r="H273" s="25">
        <v>0</v>
      </c>
      <c r="I273" s="25">
        <v>0</v>
      </c>
    </row>
    <row r="274" spans="1:9" x14ac:dyDescent="0.25">
      <c r="A274" s="42" t="s">
        <v>1355</v>
      </c>
      <c r="B274" s="42" t="s">
        <v>36</v>
      </c>
      <c r="C274" s="24">
        <v>610832</v>
      </c>
      <c r="D274" s="20">
        <v>41151</v>
      </c>
      <c r="E274" s="25">
        <v>477</v>
      </c>
      <c r="F274" s="25">
        <v>12</v>
      </c>
      <c r="G274" s="25">
        <v>4403</v>
      </c>
      <c r="H274" s="25">
        <v>8</v>
      </c>
      <c r="I274" s="25">
        <v>17</v>
      </c>
    </row>
    <row r="275" spans="1:9" x14ac:dyDescent="0.25">
      <c r="A275" s="42" t="s">
        <v>1355</v>
      </c>
      <c r="B275" s="42" t="s">
        <v>34</v>
      </c>
      <c r="C275" s="24">
        <v>613447</v>
      </c>
      <c r="D275" s="20">
        <v>41137</v>
      </c>
      <c r="E275" s="25">
        <v>467</v>
      </c>
      <c r="F275" s="25">
        <v>0</v>
      </c>
      <c r="G275" s="25">
        <v>0</v>
      </c>
      <c r="H275" s="25">
        <v>0</v>
      </c>
      <c r="I275" s="25">
        <v>0</v>
      </c>
    </row>
    <row r="276" spans="1:9" x14ac:dyDescent="0.25">
      <c r="A276" s="42" t="s">
        <v>1355</v>
      </c>
      <c r="B276" s="42" t="s">
        <v>34</v>
      </c>
      <c r="C276" s="24">
        <v>613447</v>
      </c>
      <c r="D276" s="20">
        <v>41137</v>
      </c>
      <c r="E276" s="25">
        <v>477</v>
      </c>
      <c r="F276" s="25">
        <v>12</v>
      </c>
      <c r="G276" s="25">
        <v>4529</v>
      </c>
      <c r="H276" s="25">
        <v>0</v>
      </c>
      <c r="I276" s="25">
        <v>147</v>
      </c>
    </row>
    <row r="277" spans="1:9" x14ac:dyDescent="0.25">
      <c r="A277" s="42" t="s">
        <v>1356</v>
      </c>
      <c r="B277" s="42" t="s">
        <v>37</v>
      </c>
      <c r="C277" s="24">
        <v>610208</v>
      </c>
      <c r="D277" s="20">
        <v>41129</v>
      </c>
      <c r="E277" s="25">
        <v>481</v>
      </c>
      <c r="F277" s="25">
        <v>14</v>
      </c>
      <c r="G277" s="25">
        <v>3551</v>
      </c>
      <c r="H277" s="25">
        <v>3</v>
      </c>
      <c r="I277" s="25">
        <v>0</v>
      </c>
    </row>
    <row r="278" spans="1:9" x14ac:dyDescent="0.25">
      <c r="A278" s="42" t="s">
        <v>1356</v>
      </c>
      <c r="B278" s="42" t="s">
        <v>37</v>
      </c>
      <c r="C278" s="24">
        <v>610208</v>
      </c>
      <c r="D278" s="20">
        <v>41151</v>
      </c>
      <c r="E278" s="25">
        <v>474</v>
      </c>
      <c r="F278" s="25">
        <v>13</v>
      </c>
      <c r="G278" s="25">
        <v>3403</v>
      </c>
      <c r="H278" s="25">
        <v>0</v>
      </c>
      <c r="I278" s="25">
        <v>0</v>
      </c>
    </row>
    <row r="279" spans="1:9" x14ac:dyDescent="0.25">
      <c r="A279" s="42" t="s">
        <v>1355</v>
      </c>
      <c r="B279" s="42" t="s">
        <v>34</v>
      </c>
      <c r="C279" s="24">
        <v>613447</v>
      </c>
      <c r="D279" s="20">
        <v>41149</v>
      </c>
      <c r="E279" s="25">
        <v>478</v>
      </c>
      <c r="F279" s="25">
        <v>46</v>
      </c>
      <c r="G279" s="25">
        <v>12525</v>
      </c>
      <c r="H279" s="25">
        <v>0</v>
      </c>
      <c r="I279" s="25">
        <v>180</v>
      </c>
    </row>
    <row r="280" spans="1:9" x14ac:dyDescent="0.25">
      <c r="A280" s="42" t="s">
        <v>1356</v>
      </c>
      <c r="B280" s="42" t="s">
        <v>38</v>
      </c>
      <c r="C280" s="24">
        <v>610340</v>
      </c>
      <c r="D280" s="20">
        <v>41131</v>
      </c>
      <c r="E280" s="25">
        <v>85</v>
      </c>
      <c r="F280" s="25">
        <v>0</v>
      </c>
      <c r="G280" s="25">
        <v>0</v>
      </c>
      <c r="H280" s="25">
        <v>0</v>
      </c>
      <c r="I280" s="25">
        <v>0</v>
      </c>
    </row>
    <row r="281" spans="1:9" x14ac:dyDescent="0.25">
      <c r="A281" s="42" t="s">
        <v>1356</v>
      </c>
      <c r="B281" s="43" t="s">
        <v>39</v>
      </c>
      <c r="C281" s="24">
        <v>611704</v>
      </c>
      <c r="D281" s="20">
        <v>41137</v>
      </c>
      <c r="E281" s="25">
        <v>85</v>
      </c>
      <c r="F281" s="25">
        <v>0</v>
      </c>
      <c r="G281" s="25">
        <v>0</v>
      </c>
      <c r="H281" s="25">
        <v>0</v>
      </c>
      <c r="I281" s="25">
        <v>0</v>
      </c>
    </row>
    <row r="282" spans="1:9" x14ac:dyDescent="0.25">
      <c r="A282" s="42" t="s">
        <v>1356</v>
      </c>
      <c r="B282" s="42" t="s">
        <v>38</v>
      </c>
      <c r="C282" s="24">
        <v>610340</v>
      </c>
      <c r="D282" s="20">
        <v>41128</v>
      </c>
      <c r="E282" s="25">
        <v>85</v>
      </c>
      <c r="F282" s="25">
        <v>0</v>
      </c>
      <c r="G282" s="25">
        <v>0</v>
      </c>
      <c r="H282" s="25">
        <v>0</v>
      </c>
      <c r="I282" s="25">
        <v>0</v>
      </c>
    </row>
    <row r="283" spans="1:9" x14ac:dyDescent="0.25">
      <c r="A283" s="42" t="s">
        <v>1355</v>
      </c>
      <c r="B283" s="42" t="s">
        <v>34</v>
      </c>
      <c r="C283" s="24">
        <v>613447</v>
      </c>
      <c r="D283" s="20">
        <v>41126</v>
      </c>
      <c r="E283" s="25">
        <v>790</v>
      </c>
      <c r="F283" s="25">
        <v>0</v>
      </c>
      <c r="G283" s="25">
        <v>0</v>
      </c>
      <c r="H283" s="25">
        <v>0</v>
      </c>
      <c r="I283" s="25">
        <v>0</v>
      </c>
    </row>
    <row r="284" spans="1:9" x14ac:dyDescent="0.25">
      <c r="A284" s="42" t="s">
        <v>1355</v>
      </c>
      <c r="B284" s="42" t="s">
        <v>34</v>
      </c>
      <c r="C284" s="24">
        <v>613447</v>
      </c>
      <c r="D284" s="20">
        <v>41149</v>
      </c>
      <c r="E284" s="25">
        <v>466</v>
      </c>
      <c r="F284" s="25">
        <v>2</v>
      </c>
      <c r="G284" s="25">
        <v>1121</v>
      </c>
      <c r="H284" s="25">
        <v>0</v>
      </c>
      <c r="I284" s="25">
        <v>0</v>
      </c>
    </row>
    <row r="285" spans="1:9" x14ac:dyDescent="0.25">
      <c r="A285" s="42" t="s">
        <v>1355</v>
      </c>
      <c r="B285" s="42" t="s">
        <v>35</v>
      </c>
      <c r="C285" s="24">
        <v>611419</v>
      </c>
      <c r="D285" s="20">
        <v>41124</v>
      </c>
      <c r="E285" s="25">
        <v>790</v>
      </c>
      <c r="F285" s="25">
        <v>0</v>
      </c>
      <c r="G285" s="25">
        <v>0</v>
      </c>
      <c r="H285" s="25">
        <v>0</v>
      </c>
      <c r="I285" s="25">
        <v>0</v>
      </c>
    </row>
    <row r="286" spans="1:9" x14ac:dyDescent="0.25">
      <c r="A286" s="42" t="s">
        <v>1356</v>
      </c>
      <c r="B286" s="42" t="s">
        <v>38</v>
      </c>
      <c r="C286" s="24">
        <v>610340</v>
      </c>
      <c r="D286" s="20">
        <v>41139</v>
      </c>
      <c r="E286" s="25">
        <v>790</v>
      </c>
      <c r="F286" s="25">
        <v>0</v>
      </c>
      <c r="G286" s="25">
        <v>0</v>
      </c>
      <c r="H286" s="25">
        <v>0</v>
      </c>
      <c r="I286" s="25">
        <v>0</v>
      </c>
    </row>
    <row r="287" spans="1:9" x14ac:dyDescent="0.25">
      <c r="A287" s="42" t="s">
        <v>1355</v>
      </c>
      <c r="B287" s="42" t="s">
        <v>36</v>
      </c>
      <c r="C287" s="24">
        <v>610832</v>
      </c>
      <c r="D287" s="20">
        <v>41151</v>
      </c>
      <c r="E287" s="25">
        <v>467</v>
      </c>
      <c r="F287" s="25">
        <v>0</v>
      </c>
      <c r="G287" s="25">
        <v>0</v>
      </c>
      <c r="H287" s="25">
        <v>0</v>
      </c>
      <c r="I287" s="25">
        <v>0</v>
      </c>
    </row>
    <row r="288" spans="1:9" x14ac:dyDescent="0.25">
      <c r="A288" s="42" t="s">
        <v>1356</v>
      </c>
      <c r="B288" s="42" t="s">
        <v>38</v>
      </c>
      <c r="C288" s="24">
        <v>610340</v>
      </c>
      <c r="D288" s="20">
        <v>41135</v>
      </c>
      <c r="E288" s="25">
        <v>477</v>
      </c>
      <c r="F288" s="25">
        <v>25</v>
      </c>
      <c r="G288" s="25">
        <v>7853</v>
      </c>
      <c r="H288" s="25">
        <v>8</v>
      </c>
      <c r="I288" s="25">
        <v>0</v>
      </c>
    </row>
    <row r="289" spans="1:9" x14ac:dyDescent="0.25">
      <c r="A289" s="42" t="s">
        <v>1355</v>
      </c>
      <c r="B289" s="42" t="s">
        <v>34</v>
      </c>
      <c r="C289" s="24">
        <v>613447</v>
      </c>
      <c r="D289" s="20">
        <v>41141</v>
      </c>
      <c r="E289" s="25">
        <v>790</v>
      </c>
      <c r="F289" s="25">
        <v>0</v>
      </c>
      <c r="G289" s="25">
        <v>0</v>
      </c>
      <c r="H289" s="25">
        <v>0</v>
      </c>
      <c r="I289" s="25">
        <v>0</v>
      </c>
    </row>
    <row r="290" spans="1:9" x14ac:dyDescent="0.25">
      <c r="A290" s="42" t="s">
        <v>1355</v>
      </c>
      <c r="B290" s="42" t="s">
        <v>36</v>
      </c>
      <c r="C290" s="24">
        <v>610832</v>
      </c>
      <c r="D290" s="20">
        <v>41152</v>
      </c>
      <c r="E290" s="25">
        <v>467</v>
      </c>
      <c r="F290" s="25">
        <v>0</v>
      </c>
      <c r="G290" s="25">
        <v>0</v>
      </c>
      <c r="H290" s="25">
        <v>0</v>
      </c>
      <c r="I290" s="25">
        <v>0</v>
      </c>
    </row>
    <row r="291" spans="1:9" x14ac:dyDescent="0.25">
      <c r="A291" s="42" t="s">
        <v>1356</v>
      </c>
      <c r="B291" s="42" t="s">
        <v>38</v>
      </c>
      <c r="C291" s="24">
        <v>610340</v>
      </c>
      <c r="D291" s="20">
        <v>41152</v>
      </c>
      <c r="E291" s="25">
        <v>467</v>
      </c>
      <c r="F291" s="25">
        <v>0</v>
      </c>
      <c r="G291" s="25">
        <v>0</v>
      </c>
      <c r="H291" s="25">
        <v>0</v>
      </c>
      <c r="I291" s="25">
        <v>0</v>
      </c>
    </row>
    <row r="292" spans="1:9" x14ac:dyDescent="0.25">
      <c r="A292" s="42" t="s">
        <v>1356</v>
      </c>
      <c r="B292" s="42" t="s">
        <v>37</v>
      </c>
      <c r="C292" s="24">
        <v>610208</v>
      </c>
      <c r="D292" s="20">
        <v>41152</v>
      </c>
      <c r="E292" s="25">
        <v>484</v>
      </c>
      <c r="F292" s="25">
        <v>0</v>
      </c>
      <c r="G292" s="25">
        <v>0</v>
      </c>
      <c r="H292" s="25">
        <v>0</v>
      </c>
      <c r="I292" s="25">
        <v>0</v>
      </c>
    </row>
    <row r="293" spans="1:9" x14ac:dyDescent="0.25">
      <c r="A293" s="42" t="s">
        <v>1355</v>
      </c>
      <c r="B293" s="42" t="s">
        <v>35</v>
      </c>
      <c r="C293" s="24">
        <v>611419</v>
      </c>
      <c r="D293" s="20">
        <v>41138</v>
      </c>
      <c r="E293" s="25">
        <v>481</v>
      </c>
      <c r="F293" s="25">
        <v>0</v>
      </c>
      <c r="G293" s="25">
        <v>0</v>
      </c>
      <c r="H293" s="25">
        <v>0</v>
      </c>
      <c r="I293" s="25">
        <v>0</v>
      </c>
    </row>
    <row r="294" spans="1:9" x14ac:dyDescent="0.25">
      <c r="A294" s="42" t="s">
        <v>1356</v>
      </c>
      <c r="B294" s="43" t="s">
        <v>39</v>
      </c>
      <c r="C294" s="24">
        <v>611704</v>
      </c>
      <c r="D294" s="20">
        <v>41129</v>
      </c>
      <c r="E294" s="25">
        <v>85</v>
      </c>
      <c r="F294" s="25">
        <v>0</v>
      </c>
      <c r="G294" s="25">
        <v>0</v>
      </c>
      <c r="H294" s="25">
        <v>0</v>
      </c>
      <c r="I294" s="25">
        <v>0</v>
      </c>
    </row>
    <row r="295" spans="1:9" x14ac:dyDescent="0.25">
      <c r="A295" s="42" t="s">
        <v>1355</v>
      </c>
      <c r="B295" s="42" t="s">
        <v>35</v>
      </c>
      <c r="C295" s="24">
        <v>611419</v>
      </c>
      <c r="D295" s="20">
        <v>41142</v>
      </c>
      <c r="E295" s="25">
        <v>466</v>
      </c>
      <c r="F295" s="25">
        <v>27</v>
      </c>
      <c r="G295" s="25">
        <v>6258</v>
      </c>
      <c r="H295" s="25">
        <v>3</v>
      </c>
      <c r="I295" s="25">
        <v>928</v>
      </c>
    </row>
    <row r="296" spans="1:9" x14ac:dyDescent="0.25">
      <c r="A296" s="42" t="s">
        <v>1355</v>
      </c>
      <c r="B296" s="42" t="s">
        <v>35</v>
      </c>
      <c r="C296" s="24">
        <v>611419</v>
      </c>
      <c r="D296" s="20">
        <v>41143</v>
      </c>
      <c r="E296" s="25">
        <v>465</v>
      </c>
      <c r="F296" s="25">
        <v>0</v>
      </c>
      <c r="G296" s="25">
        <v>0</v>
      </c>
      <c r="H296" s="25">
        <v>0</v>
      </c>
      <c r="I296" s="25">
        <v>0</v>
      </c>
    </row>
    <row r="297" spans="1:9" x14ac:dyDescent="0.25">
      <c r="A297" s="42" t="s">
        <v>1355</v>
      </c>
      <c r="B297" s="42" t="s">
        <v>34</v>
      </c>
      <c r="C297" s="24">
        <v>613447</v>
      </c>
      <c r="D297" s="20">
        <v>41151</v>
      </c>
      <c r="E297" s="25">
        <v>481</v>
      </c>
      <c r="F297" s="25">
        <v>0</v>
      </c>
      <c r="G297" s="25">
        <v>0</v>
      </c>
      <c r="H297" s="25">
        <v>0</v>
      </c>
      <c r="I297" s="25">
        <v>0</v>
      </c>
    </row>
    <row r="298" spans="1:9" x14ac:dyDescent="0.25">
      <c r="A298" s="42" t="s">
        <v>1355</v>
      </c>
      <c r="B298" s="42" t="s">
        <v>35</v>
      </c>
      <c r="C298" s="24">
        <v>611419</v>
      </c>
      <c r="D298" s="20">
        <v>41124</v>
      </c>
      <c r="E298" s="25">
        <v>465</v>
      </c>
      <c r="F298" s="25">
        <v>13</v>
      </c>
      <c r="G298" s="25">
        <v>3840</v>
      </c>
      <c r="H298" s="25">
        <v>1</v>
      </c>
      <c r="I298" s="25">
        <v>0</v>
      </c>
    </row>
    <row r="299" spans="1:9" x14ac:dyDescent="0.25">
      <c r="A299" s="42" t="s">
        <v>1355</v>
      </c>
      <c r="B299" s="42" t="s">
        <v>36</v>
      </c>
      <c r="C299" s="24">
        <v>610832</v>
      </c>
      <c r="D299" s="20">
        <v>41143</v>
      </c>
      <c r="E299" s="25">
        <v>790</v>
      </c>
      <c r="F299" s="25">
        <v>0</v>
      </c>
      <c r="G299" s="25">
        <v>0</v>
      </c>
      <c r="H299" s="25">
        <v>0</v>
      </c>
      <c r="I299" s="25">
        <v>0</v>
      </c>
    </row>
    <row r="300" spans="1:9" x14ac:dyDescent="0.25">
      <c r="A300" s="42" t="s">
        <v>1356</v>
      </c>
      <c r="B300" s="42" t="s">
        <v>37</v>
      </c>
      <c r="C300" s="24">
        <v>610208</v>
      </c>
      <c r="D300" s="20">
        <v>41145</v>
      </c>
      <c r="E300" s="25">
        <v>790</v>
      </c>
      <c r="F300" s="25">
        <v>0</v>
      </c>
      <c r="G300" s="25">
        <v>0</v>
      </c>
      <c r="H300" s="25">
        <v>0</v>
      </c>
      <c r="I300" s="25">
        <v>0</v>
      </c>
    </row>
    <row r="301" spans="1:9" x14ac:dyDescent="0.25">
      <c r="A301" s="42" t="s">
        <v>1356</v>
      </c>
      <c r="B301" s="42" t="s">
        <v>38</v>
      </c>
      <c r="C301" s="24">
        <v>610340</v>
      </c>
      <c r="D301" s="20">
        <v>41151</v>
      </c>
      <c r="E301" s="25">
        <v>790</v>
      </c>
      <c r="F301" s="25">
        <v>0</v>
      </c>
      <c r="G301" s="25">
        <v>0</v>
      </c>
      <c r="H301" s="25">
        <v>0</v>
      </c>
      <c r="I301" s="25">
        <v>0</v>
      </c>
    </row>
    <row r="302" spans="1:9" x14ac:dyDescent="0.25">
      <c r="A302" s="42" t="s">
        <v>1355</v>
      </c>
      <c r="B302" s="42" t="s">
        <v>35</v>
      </c>
      <c r="C302" s="24">
        <v>611419</v>
      </c>
      <c r="D302" s="20">
        <v>41140</v>
      </c>
      <c r="E302" s="25">
        <v>465</v>
      </c>
      <c r="F302" s="25">
        <v>0</v>
      </c>
      <c r="G302" s="25">
        <v>0</v>
      </c>
      <c r="H302" s="25">
        <v>0</v>
      </c>
      <c r="I302" s="25">
        <v>0</v>
      </c>
    </row>
    <row r="303" spans="1:9" x14ac:dyDescent="0.25">
      <c r="A303" s="42" t="s">
        <v>1355</v>
      </c>
      <c r="B303" s="42" t="s">
        <v>36</v>
      </c>
      <c r="C303" s="24">
        <v>610832</v>
      </c>
      <c r="D303" s="20">
        <v>41150</v>
      </c>
      <c r="E303" s="25">
        <v>465</v>
      </c>
      <c r="F303" s="25">
        <v>0</v>
      </c>
      <c r="G303" s="25">
        <v>0</v>
      </c>
      <c r="H303" s="25">
        <v>0</v>
      </c>
      <c r="I303" s="25">
        <v>0</v>
      </c>
    </row>
    <row r="304" spans="1:9" x14ac:dyDescent="0.25">
      <c r="A304" s="42" t="s">
        <v>1355</v>
      </c>
      <c r="B304" s="42" t="s">
        <v>34</v>
      </c>
      <c r="C304" s="24">
        <v>613447</v>
      </c>
      <c r="D304" s="20">
        <v>41136</v>
      </c>
      <c r="E304" s="25">
        <v>481</v>
      </c>
      <c r="F304" s="25">
        <v>3</v>
      </c>
      <c r="G304" s="25">
        <v>749</v>
      </c>
      <c r="H304" s="25">
        <v>0</v>
      </c>
      <c r="I304" s="25">
        <v>32</v>
      </c>
    </row>
    <row r="305" spans="1:9" x14ac:dyDescent="0.25">
      <c r="A305" s="42" t="s">
        <v>1355</v>
      </c>
      <c r="B305" s="42" t="s">
        <v>34</v>
      </c>
      <c r="C305" s="24">
        <v>613447</v>
      </c>
      <c r="D305" s="20">
        <v>41148</v>
      </c>
      <c r="E305" s="25">
        <v>85</v>
      </c>
      <c r="F305" s="25">
        <v>0</v>
      </c>
      <c r="G305" s="25">
        <v>0</v>
      </c>
      <c r="H305" s="25">
        <v>0</v>
      </c>
      <c r="I305" s="25">
        <v>0</v>
      </c>
    </row>
    <row r="306" spans="1:9" x14ac:dyDescent="0.25">
      <c r="A306" s="42" t="s">
        <v>1356</v>
      </c>
      <c r="B306" s="42" t="s">
        <v>38</v>
      </c>
      <c r="C306" s="24">
        <v>610340</v>
      </c>
      <c r="D306" s="20">
        <v>41138</v>
      </c>
      <c r="E306" s="25">
        <v>482</v>
      </c>
      <c r="F306" s="25">
        <v>11</v>
      </c>
      <c r="G306" s="25">
        <v>1918</v>
      </c>
      <c r="H306" s="25">
        <v>1</v>
      </c>
      <c r="I306" s="25">
        <v>0</v>
      </c>
    </row>
    <row r="307" spans="1:9" x14ac:dyDescent="0.25">
      <c r="A307" s="42" t="s">
        <v>1356</v>
      </c>
      <c r="B307" s="42" t="s">
        <v>37</v>
      </c>
      <c r="C307" s="24">
        <v>610208</v>
      </c>
      <c r="D307" s="20">
        <v>41125</v>
      </c>
      <c r="E307" s="25">
        <v>477</v>
      </c>
      <c r="F307" s="25">
        <v>19</v>
      </c>
      <c r="G307" s="25">
        <v>4061</v>
      </c>
      <c r="H307" s="25">
        <v>2</v>
      </c>
      <c r="I307" s="25">
        <v>0</v>
      </c>
    </row>
    <row r="308" spans="1:9" x14ac:dyDescent="0.25">
      <c r="A308" s="42" t="s">
        <v>1355</v>
      </c>
      <c r="B308" s="42" t="s">
        <v>34</v>
      </c>
      <c r="C308" s="24">
        <v>613447</v>
      </c>
      <c r="D308" s="20">
        <v>41122</v>
      </c>
      <c r="E308" s="25">
        <v>481</v>
      </c>
      <c r="F308" s="25">
        <v>0</v>
      </c>
      <c r="G308" s="25">
        <v>0</v>
      </c>
      <c r="H308" s="25">
        <v>0</v>
      </c>
      <c r="I308" s="25">
        <v>0</v>
      </c>
    </row>
    <row r="309" spans="1:9" x14ac:dyDescent="0.25">
      <c r="A309" s="42" t="s">
        <v>1355</v>
      </c>
      <c r="B309" s="42" t="s">
        <v>35</v>
      </c>
      <c r="C309" s="24">
        <v>611419</v>
      </c>
      <c r="D309" s="20">
        <v>41149</v>
      </c>
      <c r="E309" s="25">
        <v>480</v>
      </c>
      <c r="F309" s="25">
        <v>9</v>
      </c>
      <c r="G309" s="25">
        <v>1868</v>
      </c>
      <c r="H309" s="25">
        <v>2</v>
      </c>
      <c r="I309" s="25">
        <v>16</v>
      </c>
    </row>
    <row r="310" spans="1:9" x14ac:dyDescent="0.25">
      <c r="A310" s="42" t="s">
        <v>1355</v>
      </c>
      <c r="B310" s="42" t="s">
        <v>35</v>
      </c>
      <c r="C310" s="24">
        <v>611419</v>
      </c>
      <c r="D310" s="20">
        <v>41146</v>
      </c>
      <c r="E310" s="25">
        <v>466</v>
      </c>
      <c r="F310" s="25">
        <v>20</v>
      </c>
      <c r="G310" s="25">
        <v>3878</v>
      </c>
      <c r="H310" s="25">
        <v>24</v>
      </c>
      <c r="I310" s="25">
        <v>137</v>
      </c>
    </row>
    <row r="311" spans="1:9" x14ac:dyDescent="0.25">
      <c r="A311" s="42" t="s">
        <v>1356</v>
      </c>
      <c r="B311" s="42" t="s">
        <v>38</v>
      </c>
      <c r="C311" s="24">
        <v>610340</v>
      </c>
      <c r="D311" s="20">
        <v>41129</v>
      </c>
      <c r="E311" s="25">
        <v>790</v>
      </c>
      <c r="F311" s="25">
        <v>0</v>
      </c>
      <c r="G311" s="25">
        <v>0</v>
      </c>
      <c r="H311" s="25">
        <v>0</v>
      </c>
      <c r="I311" s="25">
        <v>0</v>
      </c>
    </row>
    <row r="312" spans="1:9" x14ac:dyDescent="0.25">
      <c r="A312" s="42" t="s">
        <v>1355</v>
      </c>
      <c r="B312" s="42" t="s">
        <v>34</v>
      </c>
      <c r="C312" s="24">
        <v>613447</v>
      </c>
      <c r="D312" s="20">
        <v>41126</v>
      </c>
      <c r="E312" s="25">
        <v>85</v>
      </c>
      <c r="F312" s="25">
        <v>0</v>
      </c>
      <c r="G312" s="25">
        <v>0</v>
      </c>
      <c r="H312" s="25">
        <v>0</v>
      </c>
      <c r="I312" s="25">
        <v>0</v>
      </c>
    </row>
    <row r="313" spans="1:9" x14ac:dyDescent="0.25">
      <c r="A313" s="42" t="s">
        <v>1356</v>
      </c>
      <c r="B313" s="42" t="s">
        <v>37</v>
      </c>
      <c r="C313" s="24">
        <v>610208</v>
      </c>
      <c r="D313" s="20">
        <v>41141</v>
      </c>
      <c r="E313" s="25">
        <v>478</v>
      </c>
      <c r="F313" s="25">
        <v>3</v>
      </c>
      <c r="G313" s="25">
        <v>668</v>
      </c>
      <c r="H313" s="25">
        <v>0</v>
      </c>
      <c r="I313" s="25">
        <v>0</v>
      </c>
    </row>
    <row r="314" spans="1:9" x14ac:dyDescent="0.25">
      <c r="A314" s="42" t="s">
        <v>1356</v>
      </c>
      <c r="B314" s="43" t="s">
        <v>39</v>
      </c>
      <c r="C314" s="24">
        <v>611704</v>
      </c>
      <c r="D314" s="20">
        <v>41141</v>
      </c>
      <c r="E314" s="25">
        <v>477</v>
      </c>
      <c r="F314" s="25">
        <v>11</v>
      </c>
      <c r="G314" s="25">
        <v>5298</v>
      </c>
      <c r="H314" s="25">
        <v>0</v>
      </c>
      <c r="I314" s="25">
        <v>0</v>
      </c>
    </row>
    <row r="315" spans="1:9" x14ac:dyDescent="0.25">
      <c r="A315" s="42" t="s">
        <v>1356</v>
      </c>
      <c r="B315" s="42" t="s">
        <v>37</v>
      </c>
      <c r="C315" s="24">
        <v>610208</v>
      </c>
      <c r="D315" s="20">
        <v>41142</v>
      </c>
      <c r="E315" s="25">
        <v>790</v>
      </c>
      <c r="F315" s="25">
        <v>0</v>
      </c>
      <c r="G315" s="25">
        <v>0</v>
      </c>
      <c r="H315" s="25">
        <v>0</v>
      </c>
      <c r="I315" s="25">
        <v>0</v>
      </c>
    </row>
    <row r="316" spans="1:9" x14ac:dyDescent="0.25">
      <c r="A316" s="42" t="s">
        <v>1355</v>
      </c>
      <c r="B316" s="42" t="s">
        <v>34</v>
      </c>
      <c r="C316" s="24">
        <v>613447</v>
      </c>
      <c r="D316" s="20">
        <v>41130</v>
      </c>
      <c r="E316" s="25">
        <v>478</v>
      </c>
      <c r="F316" s="25">
        <v>9</v>
      </c>
      <c r="G316" s="25">
        <v>2936</v>
      </c>
      <c r="H316" s="25">
        <v>0</v>
      </c>
      <c r="I316" s="25">
        <v>26</v>
      </c>
    </row>
    <row r="317" spans="1:9" x14ac:dyDescent="0.25">
      <c r="A317" s="42" t="s">
        <v>1355</v>
      </c>
      <c r="B317" s="42" t="s">
        <v>34</v>
      </c>
      <c r="C317" s="24">
        <v>613447</v>
      </c>
      <c r="D317" s="20">
        <v>41132</v>
      </c>
      <c r="E317" s="25">
        <v>478</v>
      </c>
      <c r="F317" s="25">
        <v>23</v>
      </c>
      <c r="G317" s="25">
        <v>7120</v>
      </c>
      <c r="H317" s="25">
        <v>3</v>
      </c>
      <c r="I317" s="25">
        <v>22</v>
      </c>
    </row>
    <row r="318" spans="1:9" x14ac:dyDescent="0.25">
      <c r="A318" s="42" t="s">
        <v>1355</v>
      </c>
      <c r="B318" s="42" t="s">
        <v>36</v>
      </c>
      <c r="C318" s="24">
        <v>610832</v>
      </c>
      <c r="D318" s="20">
        <v>41149</v>
      </c>
      <c r="E318" s="25">
        <v>478</v>
      </c>
      <c r="F318" s="25">
        <v>33</v>
      </c>
      <c r="G318" s="25">
        <v>10683</v>
      </c>
      <c r="H318" s="25">
        <v>27</v>
      </c>
      <c r="I318" s="25">
        <v>85</v>
      </c>
    </row>
    <row r="319" spans="1:9" x14ac:dyDescent="0.25">
      <c r="A319" s="42" t="s">
        <v>1356</v>
      </c>
      <c r="B319" s="43" t="s">
        <v>39</v>
      </c>
      <c r="C319" s="24">
        <v>611704</v>
      </c>
      <c r="D319" s="20">
        <v>41123</v>
      </c>
      <c r="E319" s="25">
        <v>85</v>
      </c>
      <c r="F319" s="25">
        <v>0</v>
      </c>
      <c r="G319" s="25">
        <v>0</v>
      </c>
      <c r="H319" s="25">
        <v>0</v>
      </c>
      <c r="I319" s="25">
        <v>0</v>
      </c>
    </row>
    <row r="320" spans="1:9" x14ac:dyDescent="0.25">
      <c r="A320" s="42" t="s">
        <v>1356</v>
      </c>
      <c r="B320" s="42" t="s">
        <v>37</v>
      </c>
      <c r="C320" s="24">
        <v>610208</v>
      </c>
      <c r="D320" s="20">
        <v>41133</v>
      </c>
      <c r="E320" s="25">
        <v>477</v>
      </c>
      <c r="F320" s="25">
        <v>18</v>
      </c>
      <c r="G320" s="25">
        <v>6813</v>
      </c>
      <c r="H320" s="25">
        <v>0</v>
      </c>
      <c r="I320" s="25">
        <v>0</v>
      </c>
    </row>
    <row r="321" spans="1:9" x14ac:dyDescent="0.25">
      <c r="A321" s="42" t="s">
        <v>1355</v>
      </c>
      <c r="B321" s="42" t="s">
        <v>36</v>
      </c>
      <c r="C321" s="24">
        <v>610832</v>
      </c>
      <c r="D321" s="20">
        <v>41143</v>
      </c>
      <c r="E321" s="25">
        <v>482</v>
      </c>
      <c r="F321" s="25">
        <v>6</v>
      </c>
      <c r="G321" s="25">
        <v>1828</v>
      </c>
      <c r="H321" s="25">
        <v>0</v>
      </c>
      <c r="I321" s="25">
        <v>0</v>
      </c>
    </row>
    <row r="322" spans="1:9" x14ac:dyDescent="0.25">
      <c r="A322" s="42" t="s">
        <v>1355</v>
      </c>
      <c r="B322" s="42" t="s">
        <v>34</v>
      </c>
      <c r="C322" s="24">
        <v>613447</v>
      </c>
      <c r="D322" s="20">
        <v>41142</v>
      </c>
      <c r="E322" s="25">
        <v>478</v>
      </c>
      <c r="F322" s="25">
        <v>2</v>
      </c>
      <c r="G322" s="25">
        <v>1260</v>
      </c>
      <c r="H322" s="25">
        <v>0</v>
      </c>
      <c r="I322" s="25">
        <v>0</v>
      </c>
    </row>
    <row r="323" spans="1:9" x14ac:dyDescent="0.25">
      <c r="A323" s="42" t="s">
        <v>1356</v>
      </c>
      <c r="B323" s="42" t="s">
        <v>37</v>
      </c>
      <c r="C323" s="24">
        <v>610208</v>
      </c>
      <c r="D323" s="20">
        <v>41143</v>
      </c>
      <c r="E323" s="25">
        <v>85</v>
      </c>
      <c r="F323" s="25">
        <v>0</v>
      </c>
      <c r="G323" s="25">
        <v>0</v>
      </c>
      <c r="H323" s="25">
        <v>0</v>
      </c>
      <c r="I323" s="25">
        <v>0</v>
      </c>
    </row>
    <row r="324" spans="1:9" x14ac:dyDescent="0.25">
      <c r="A324" s="42" t="s">
        <v>1356</v>
      </c>
      <c r="B324" s="43" t="s">
        <v>39</v>
      </c>
      <c r="C324" s="24">
        <v>611704</v>
      </c>
      <c r="D324" s="20">
        <v>41135</v>
      </c>
      <c r="E324" s="25">
        <v>85</v>
      </c>
      <c r="F324" s="25">
        <v>0</v>
      </c>
      <c r="G324" s="25">
        <v>0</v>
      </c>
      <c r="H324" s="25">
        <v>0</v>
      </c>
      <c r="I324" s="25">
        <v>0</v>
      </c>
    </row>
    <row r="325" spans="1:9" x14ac:dyDescent="0.25">
      <c r="A325" s="42" t="s">
        <v>1355</v>
      </c>
      <c r="B325" s="42" t="s">
        <v>35</v>
      </c>
      <c r="C325" s="24">
        <v>611419</v>
      </c>
      <c r="D325" s="20">
        <v>41144</v>
      </c>
      <c r="E325" s="25">
        <v>85</v>
      </c>
      <c r="F325" s="25">
        <v>0</v>
      </c>
      <c r="G325" s="25">
        <v>0</v>
      </c>
      <c r="H325" s="25">
        <v>0</v>
      </c>
      <c r="I325" s="25">
        <v>0</v>
      </c>
    </row>
    <row r="326" spans="1:9" x14ac:dyDescent="0.25">
      <c r="A326" s="42" t="s">
        <v>1356</v>
      </c>
      <c r="B326" s="42" t="s">
        <v>37</v>
      </c>
      <c r="C326" s="24">
        <v>610208</v>
      </c>
      <c r="D326" s="20">
        <v>41146</v>
      </c>
      <c r="E326" s="25">
        <v>473</v>
      </c>
      <c r="F326" s="25">
        <v>26</v>
      </c>
      <c r="G326" s="25">
        <v>6899</v>
      </c>
      <c r="H326" s="25">
        <v>0</v>
      </c>
      <c r="I326" s="25">
        <v>0</v>
      </c>
    </row>
    <row r="327" spans="1:9" x14ac:dyDescent="0.25">
      <c r="A327" s="42" t="s">
        <v>1356</v>
      </c>
      <c r="B327" s="42" t="s">
        <v>38</v>
      </c>
      <c r="C327" s="24">
        <v>610340</v>
      </c>
      <c r="D327" s="20">
        <v>41144</v>
      </c>
      <c r="E327" s="25">
        <v>465</v>
      </c>
      <c r="F327" s="25">
        <v>0</v>
      </c>
      <c r="G327" s="25">
        <v>0</v>
      </c>
      <c r="H327" s="25">
        <v>0</v>
      </c>
      <c r="I327" s="25">
        <v>0</v>
      </c>
    </row>
    <row r="328" spans="1:9" x14ac:dyDescent="0.25">
      <c r="A328" s="42" t="s">
        <v>1356</v>
      </c>
      <c r="B328" s="43" t="s">
        <v>39</v>
      </c>
      <c r="C328" s="24">
        <v>611704</v>
      </c>
      <c r="D328" s="20">
        <v>41145</v>
      </c>
      <c r="E328" s="25">
        <v>481</v>
      </c>
      <c r="F328" s="25">
        <v>0</v>
      </c>
      <c r="G328" s="25">
        <v>0</v>
      </c>
      <c r="H328" s="25">
        <v>0</v>
      </c>
      <c r="I328" s="25">
        <v>0</v>
      </c>
    </row>
    <row r="329" spans="1:9" x14ac:dyDescent="0.25">
      <c r="A329" s="42" t="s">
        <v>1356</v>
      </c>
      <c r="B329" s="43" t="s">
        <v>39</v>
      </c>
      <c r="C329" s="24">
        <v>611704</v>
      </c>
      <c r="D329" s="20">
        <v>41148</v>
      </c>
      <c r="E329" s="25">
        <v>85</v>
      </c>
      <c r="F329" s="25">
        <v>0</v>
      </c>
      <c r="G329" s="25">
        <v>0</v>
      </c>
      <c r="H329" s="25">
        <v>0</v>
      </c>
      <c r="I329" s="25">
        <v>0</v>
      </c>
    </row>
    <row r="330" spans="1:9" x14ac:dyDescent="0.25">
      <c r="A330" s="42" t="s">
        <v>1355</v>
      </c>
      <c r="B330" s="42" t="s">
        <v>36</v>
      </c>
      <c r="C330" s="24">
        <v>610832</v>
      </c>
      <c r="D330" s="20">
        <v>41125</v>
      </c>
      <c r="E330" s="25">
        <v>85</v>
      </c>
      <c r="F330" s="25">
        <v>0</v>
      </c>
      <c r="G330" s="25">
        <v>0</v>
      </c>
      <c r="H330" s="25">
        <v>0</v>
      </c>
      <c r="I330" s="25">
        <v>0</v>
      </c>
    </row>
    <row r="331" spans="1:9" x14ac:dyDescent="0.25">
      <c r="A331" s="42" t="s">
        <v>1355</v>
      </c>
      <c r="B331" s="42" t="s">
        <v>35</v>
      </c>
      <c r="C331" s="24">
        <v>611419</v>
      </c>
      <c r="D331" s="20">
        <v>41146</v>
      </c>
      <c r="E331" s="25">
        <v>482</v>
      </c>
      <c r="F331" s="25">
        <v>14</v>
      </c>
      <c r="G331" s="25">
        <v>3117</v>
      </c>
      <c r="H331" s="25">
        <v>26</v>
      </c>
      <c r="I331" s="25">
        <v>138</v>
      </c>
    </row>
    <row r="332" spans="1:9" x14ac:dyDescent="0.25">
      <c r="A332" s="42" t="s">
        <v>1355</v>
      </c>
      <c r="B332" s="42" t="s">
        <v>35</v>
      </c>
      <c r="C332" s="24">
        <v>611419</v>
      </c>
      <c r="D332" s="20">
        <v>41140</v>
      </c>
      <c r="E332" s="25">
        <v>466</v>
      </c>
      <c r="F332" s="25">
        <v>27</v>
      </c>
      <c r="G332" s="25">
        <v>7283</v>
      </c>
      <c r="H332" s="25">
        <v>13</v>
      </c>
      <c r="I332" s="25">
        <v>0</v>
      </c>
    </row>
    <row r="333" spans="1:9" x14ac:dyDescent="0.25">
      <c r="A333" s="42" t="s">
        <v>1355</v>
      </c>
      <c r="B333" s="42" t="s">
        <v>34</v>
      </c>
      <c r="C333" s="24">
        <v>613447</v>
      </c>
      <c r="D333" s="20">
        <v>41144</v>
      </c>
      <c r="E333" s="25">
        <v>466</v>
      </c>
      <c r="F333" s="25">
        <v>28</v>
      </c>
      <c r="G333" s="25">
        <v>8775</v>
      </c>
      <c r="H333" s="25">
        <v>10</v>
      </c>
      <c r="I333" s="25">
        <v>565</v>
      </c>
    </row>
    <row r="334" spans="1:9" x14ac:dyDescent="0.25">
      <c r="A334" s="42" t="s">
        <v>1355</v>
      </c>
      <c r="B334" s="42" t="s">
        <v>36</v>
      </c>
      <c r="C334" s="24">
        <v>610832</v>
      </c>
      <c r="D334" s="20">
        <v>41146</v>
      </c>
      <c r="E334" s="25">
        <v>467</v>
      </c>
      <c r="F334" s="25">
        <v>0</v>
      </c>
      <c r="G334" s="25">
        <v>0</v>
      </c>
      <c r="H334" s="25">
        <v>0</v>
      </c>
      <c r="I334" s="25">
        <v>0</v>
      </c>
    </row>
    <row r="335" spans="1:9" x14ac:dyDescent="0.25">
      <c r="A335" s="42" t="s">
        <v>1356</v>
      </c>
      <c r="B335" s="42" t="s">
        <v>37</v>
      </c>
      <c r="C335" s="24">
        <v>610208</v>
      </c>
      <c r="D335" s="20">
        <v>41144</v>
      </c>
      <c r="E335" s="25">
        <v>85</v>
      </c>
      <c r="F335" s="25">
        <v>0</v>
      </c>
      <c r="G335" s="25">
        <v>0</v>
      </c>
      <c r="H335" s="25">
        <v>0</v>
      </c>
      <c r="I335" s="25">
        <v>0</v>
      </c>
    </row>
    <row r="336" spans="1:9" x14ac:dyDescent="0.25">
      <c r="A336" s="42" t="s">
        <v>1355</v>
      </c>
      <c r="B336" s="42" t="s">
        <v>36</v>
      </c>
      <c r="C336" s="24">
        <v>610832</v>
      </c>
      <c r="D336" s="20">
        <v>41130</v>
      </c>
      <c r="E336" s="25">
        <v>85</v>
      </c>
      <c r="F336" s="25">
        <v>0</v>
      </c>
      <c r="G336" s="25">
        <v>0</v>
      </c>
      <c r="H336" s="25">
        <v>0</v>
      </c>
      <c r="I336" s="25">
        <v>0</v>
      </c>
    </row>
    <row r="337" spans="1:9" x14ac:dyDescent="0.25">
      <c r="A337" s="42" t="s">
        <v>1356</v>
      </c>
      <c r="B337" s="43" t="s">
        <v>39</v>
      </c>
      <c r="C337" s="24">
        <v>611704</v>
      </c>
      <c r="D337" s="20">
        <v>41144</v>
      </c>
      <c r="E337" s="25">
        <v>85</v>
      </c>
      <c r="F337" s="25">
        <v>0</v>
      </c>
      <c r="G337" s="25">
        <v>0</v>
      </c>
      <c r="H337" s="25">
        <v>0</v>
      </c>
      <c r="I337" s="25">
        <v>0</v>
      </c>
    </row>
    <row r="338" spans="1:9" x14ac:dyDescent="0.25">
      <c r="A338" s="42" t="s">
        <v>1356</v>
      </c>
      <c r="B338" s="42" t="s">
        <v>37</v>
      </c>
      <c r="C338" s="24">
        <v>610208</v>
      </c>
      <c r="D338" s="20">
        <v>41128</v>
      </c>
      <c r="E338" s="25">
        <v>481</v>
      </c>
      <c r="F338" s="25">
        <v>18</v>
      </c>
      <c r="G338" s="25">
        <v>4732</v>
      </c>
      <c r="H338" s="25">
        <v>0</v>
      </c>
      <c r="I338" s="25">
        <v>0</v>
      </c>
    </row>
    <row r="339" spans="1:9" x14ac:dyDescent="0.25">
      <c r="A339" s="42" t="s">
        <v>1355</v>
      </c>
      <c r="B339" s="42" t="s">
        <v>35</v>
      </c>
      <c r="C339" s="24">
        <v>611419</v>
      </c>
      <c r="D339" s="20">
        <v>41144</v>
      </c>
      <c r="E339" s="25">
        <v>467</v>
      </c>
      <c r="F339" s="25">
        <v>0</v>
      </c>
      <c r="G339" s="25">
        <v>0</v>
      </c>
      <c r="H339" s="25">
        <v>0</v>
      </c>
      <c r="I339" s="25">
        <v>0</v>
      </c>
    </row>
    <row r="340" spans="1:9" x14ac:dyDescent="0.25">
      <c r="A340" s="42" t="s">
        <v>1356</v>
      </c>
      <c r="B340" s="43" t="s">
        <v>39</v>
      </c>
      <c r="C340" s="24">
        <v>611704</v>
      </c>
      <c r="D340" s="20">
        <v>41129</v>
      </c>
      <c r="E340" s="25">
        <v>481</v>
      </c>
      <c r="F340" s="25">
        <v>0</v>
      </c>
      <c r="G340" s="25">
        <v>0</v>
      </c>
      <c r="H340" s="25">
        <v>0</v>
      </c>
      <c r="I340" s="25">
        <v>0</v>
      </c>
    </row>
    <row r="341" spans="1:9" x14ac:dyDescent="0.25">
      <c r="A341" s="42" t="s">
        <v>1356</v>
      </c>
      <c r="B341" s="42" t="s">
        <v>38</v>
      </c>
      <c r="C341" s="24">
        <v>610340</v>
      </c>
      <c r="D341" s="20">
        <v>41138</v>
      </c>
      <c r="E341" s="25">
        <v>481</v>
      </c>
      <c r="F341" s="25">
        <v>0</v>
      </c>
      <c r="G341" s="25">
        <v>0</v>
      </c>
      <c r="H341" s="25">
        <v>0</v>
      </c>
      <c r="I341" s="25">
        <v>0</v>
      </c>
    </row>
    <row r="342" spans="1:9" x14ac:dyDescent="0.25">
      <c r="A342" s="42" t="s">
        <v>1356</v>
      </c>
      <c r="B342" s="42" t="s">
        <v>38</v>
      </c>
      <c r="C342" s="24">
        <v>610340</v>
      </c>
      <c r="D342" s="20">
        <v>41152</v>
      </c>
      <c r="E342" s="25">
        <v>481</v>
      </c>
      <c r="F342" s="25">
        <v>0</v>
      </c>
      <c r="G342" s="25">
        <v>0</v>
      </c>
      <c r="H342" s="25">
        <v>0</v>
      </c>
      <c r="I342" s="25">
        <v>0</v>
      </c>
    </row>
    <row r="343" spans="1:9" x14ac:dyDescent="0.25">
      <c r="A343" s="42" t="s">
        <v>1356</v>
      </c>
      <c r="B343" s="42" t="s">
        <v>37</v>
      </c>
      <c r="C343" s="24">
        <v>610208</v>
      </c>
      <c r="D343" s="20">
        <v>41139</v>
      </c>
      <c r="E343" s="25">
        <v>478</v>
      </c>
      <c r="F343" s="25">
        <v>21</v>
      </c>
      <c r="G343" s="25">
        <v>6477</v>
      </c>
      <c r="H343" s="25">
        <v>4</v>
      </c>
      <c r="I343" s="25">
        <v>0</v>
      </c>
    </row>
    <row r="344" spans="1:9" x14ac:dyDescent="0.25">
      <c r="A344" s="42" t="s">
        <v>1355</v>
      </c>
      <c r="B344" s="42" t="s">
        <v>34</v>
      </c>
      <c r="C344" s="24">
        <v>613447</v>
      </c>
      <c r="D344" s="20">
        <v>41152</v>
      </c>
      <c r="E344" s="25">
        <v>790</v>
      </c>
      <c r="F344" s="25">
        <v>0</v>
      </c>
      <c r="G344" s="25">
        <v>0</v>
      </c>
      <c r="H344" s="25">
        <v>0</v>
      </c>
      <c r="I344" s="25">
        <v>0</v>
      </c>
    </row>
    <row r="345" spans="1:9" x14ac:dyDescent="0.25">
      <c r="A345" s="42" t="s">
        <v>1355</v>
      </c>
      <c r="B345" s="42" t="s">
        <v>34</v>
      </c>
      <c r="C345" s="24">
        <v>613447</v>
      </c>
      <c r="D345" s="20">
        <v>41152</v>
      </c>
      <c r="E345" s="25">
        <v>477</v>
      </c>
      <c r="F345" s="25">
        <v>10</v>
      </c>
      <c r="G345" s="25">
        <v>3122</v>
      </c>
      <c r="H345" s="25">
        <v>6</v>
      </c>
      <c r="I345" s="25">
        <v>88</v>
      </c>
    </row>
    <row r="346" spans="1:9" x14ac:dyDescent="0.25">
      <c r="A346" s="42" t="s">
        <v>1356</v>
      </c>
      <c r="B346" s="42" t="s">
        <v>38</v>
      </c>
      <c r="C346" s="24">
        <v>610340</v>
      </c>
      <c r="D346" s="20">
        <v>41145</v>
      </c>
      <c r="E346" s="25">
        <v>467</v>
      </c>
      <c r="F346" s="25">
        <v>0</v>
      </c>
      <c r="G346" s="25">
        <v>0</v>
      </c>
      <c r="H346" s="25">
        <v>0</v>
      </c>
      <c r="I346" s="25">
        <v>0</v>
      </c>
    </row>
    <row r="347" spans="1:9" x14ac:dyDescent="0.25">
      <c r="A347" s="42" t="s">
        <v>1356</v>
      </c>
      <c r="B347" s="42" t="s">
        <v>37</v>
      </c>
      <c r="C347" s="24">
        <v>610208</v>
      </c>
      <c r="D347" s="20">
        <v>41148</v>
      </c>
      <c r="E347" s="25">
        <v>477</v>
      </c>
      <c r="F347" s="25">
        <v>2</v>
      </c>
      <c r="G347" s="25">
        <v>412</v>
      </c>
      <c r="H347" s="25">
        <v>0</v>
      </c>
      <c r="I347" s="25">
        <v>0</v>
      </c>
    </row>
    <row r="348" spans="1:9" x14ac:dyDescent="0.25">
      <c r="A348" s="42" t="s">
        <v>1356</v>
      </c>
      <c r="B348" s="42" t="s">
        <v>37</v>
      </c>
      <c r="C348" s="24">
        <v>610208</v>
      </c>
      <c r="D348" s="20">
        <v>41122</v>
      </c>
      <c r="E348" s="25">
        <v>481</v>
      </c>
      <c r="F348" s="25">
        <v>0</v>
      </c>
      <c r="G348" s="25">
        <v>0</v>
      </c>
      <c r="H348" s="25">
        <v>0</v>
      </c>
      <c r="I348" s="25">
        <v>0</v>
      </c>
    </row>
    <row r="349" spans="1:9" x14ac:dyDescent="0.25">
      <c r="A349" s="42" t="s">
        <v>1355</v>
      </c>
      <c r="B349" s="42" t="s">
        <v>35</v>
      </c>
      <c r="C349" s="24">
        <v>611419</v>
      </c>
      <c r="D349" s="20">
        <v>41144</v>
      </c>
      <c r="E349" s="25">
        <v>482</v>
      </c>
      <c r="F349" s="25">
        <v>9</v>
      </c>
      <c r="G349" s="25">
        <v>2077</v>
      </c>
      <c r="H349" s="25">
        <v>3</v>
      </c>
      <c r="I349" s="25">
        <v>430</v>
      </c>
    </row>
    <row r="350" spans="1:9" x14ac:dyDescent="0.25">
      <c r="A350" s="42" t="s">
        <v>1356</v>
      </c>
      <c r="B350" s="42" t="s">
        <v>37</v>
      </c>
      <c r="C350" s="24">
        <v>610208</v>
      </c>
      <c r="D350" s="20">
        <v>41127</v>
      </c>
      <c r="E350" s="25">
        <v>481</v>
      </c>
      <c r="F350" s="25">
        <v>3</v>
      </c>
      <c r="G350" s="25">
        <v>374</v>
      </c>
      <c r="H350" s="25">
        <v>2</v>
      </c>
      <c r="I350" s="25">
        <v>0</v>
      </c>
    </row>
    <row r="351" spans="1:9" x14ac:dyDescent="0.25">
      <c r="A351" s="42" t="s">
        <v>1355</v>
      </c>
      <c r="B351" s="42" t="s">
        <v>35</v>
      </c>
      <c r="C351" s="24">
        <v>611419</v>
      </c>
      <c r="D351" s="20">
        <v>41122</v>
      </c>
      <c r="E351" s="25">
        <v>465</v>
      </c>
      <c r="F351" s="25">
        <v>5</v>
      </c>
      <c r="G351" s="25">
        <v>1241</v>
      </c>
      <c r="H351" s="25">
        <v>12</v>
      </c>
      <c r="I351" s="25">
        <v>13</v>
      </c>
    </row>
    <row r="352" spans="1:9" x14ac:dyDescent="0.25">
      <c r="A352" s="42" t="s">
        <v>1355</v>
      </c>
      <c r="B352" s="42" t="s">
        <v>34</v>
      </c>
      <c r="C352" s="24">
        <v>613447</v>
      </c>
      <c r="D352" s="20">
        <v>41141</v>
      </c>
      <c r="E352" s="25">
        <v>480</v>
      </c>
      <c r="F352" s="25">
        <v>7</v>
      </c>
      <c r="G352" s="25">
        <v>1607</v>
      </c>
      <c r="H352" s="25">
        <v>0</v>
      </c>
      <c r="I352" s="25">
        <v>115</v>
      </c>
    </row>
    <row r="353" spans="1:9" x14ac:dyDescent="0.25">
      <c r="A353" s="42" t="s">
        <v>1355</v>
      </c>
      <c r="B353" s="42" t="s">
        <v>34</v>
      </c>
      <c r="C353" s="24">
        <v>613447</v>
      </c>
      <c r="D353" s="20">
        <v>41128</v>
      </c>
      <c r="E353" s="25">
        <v>477</v>
      </c>
      <c r="F353" s="25">
        <v>39</v>
      </c>
      <c r="G353" s="25">
        <v>13103</v>
      </c>
      <c r="H353" s="25">
        <v>20</v>
      </c>
      <c r="I353" s="25">
        <v>50</v>
      </c>
    </row>
    <row r="354" spans="1:9" x14ac:dyDescent="0.25">
      <c r="A354" s="42" t="s">
        <v>1356</v>
      </c>
      <c r="B354" s="42" t="s">
        <v>37</v>
      </c>
      <c r="C354" s="24">
        <v>610208</v>
      </c>
      <c r="D354" s="20">
        <v>41134</v>
      </c>
      <c r="E354" s="25">
        <v>85</v>
      </c>
      <c r="F354" s="25">
        <v>0</v>
      </c>
      <c r="G354" s="25">
        <v>0</v>
      </c>
      <c r="H354" s="25">
        <v>0</v>
      </c>
      <c r="I354" s="25">
        <v>0</v>
      </c>
    </row>
    <row r="355" spans="1:9" x14ac:dyDescent="0.25">
      <c r="A355" s="42" t="s">
        <v>1355</v>
      </c>
      <c r="B355" s="42" t="s">
        <v>35</v>
      </c>
      <c r="C355" s="24">
        <v>611419</v>
      </c>
      <c r="D355" s="20">
        <v>41134</v>
      </c>
      <c r="E355" s="25">
        <v>790</v>
      </c>
      <c r="F355" s="25">
        <v>0</v>
      </c>
      <c r="G355" s="25">
        <v>0</v>
      </c>
      <c r="H355" s="25">
        <v>0</v>
      </c>
      <c r="I355" s="25">
        <v>0</v>
      </c>
    </row>
    <row r="356" spans="1:9" x14ac:dyDescent="0.25">
      <c r="A356" s="42" t="s">
        <v>1355</v>
      </c>
      <c r="B356" s="42" t="s">
        <v>36</v>
      </c>
      <c r="C356" s="24">
        <v>610832</v>
      </c>
      <c r="D356" s="20">
        <v>41136</v>
      </c>
      <c r="E356" s="25">
        <v>482</v>
      </c>
      <c r="F356" s="25">
        <v>13</v>
      </c>
      <c r="G356" s="25">
        <v>7497</v>
      </c>
      <c r="H356" s="25">
        <v>1</v>
      </c>
      <c r="I356" s="25">
        <v>19</v>
      </c>
    </row>
    <row r="357" spans="1:9" x14ac:dyDescent="0.25">
      <c r="A357" s="42" t="s">
        <v>1355</v>
      </c>
      <c r="B357" s="42" t="s">
        <v>36</v>
      </c>
      <c r="C357" s="24">
        <v>610832</v>
      </c>
      <c r="D357" s="20">
        <v>41125</v>
      </c>
      <c r="E357" s="25">
        <v>481</v>
      </c>
      <c r="F357" s="25">
        <v>0</v>
      </c>
      <c r="G357" s="25">
        <v>0</v>
      </c>
      <c r="H357" s="25">
        <v>0</v>
      </c>
      <c r="I357" s="25">
        <v>0</v>
      </c>
    </row>
    <row r="358" spans="1:9" x14ac:dyDescent="0.25">
      <c r="A358" s="42" t="s">
        <v>1356</v>
      </c>
      <c r="B358" s="43" t="s">
        <v>39</v>
      </c>
      <c r="C358" s="24">
        <v>611704</v>
      </c>
      <c r="D358" s="20">
        <v>41142</v>
      </c>
      <c r="E358" s="25">
        <v>480</v>
      </c>
      <c r="F358" s="25">
        <v>5</v>
      </c>
      <c r="G358" s="25">
        <v>1190</v>
      </c>
      <c r="H358" s="25">
        <v>4</v>
      </c>
      <c r="I358" s="25">
        <v>0</v>
      </c>
    </row>
    <row r="359" spans="1:9" x14ac:dyDescent="0.25">
      <c r="A359" s="42" t="s">
        <v>1355</v>
      </c>
      <c r="B359" s="42" t="s">
        <v>35</v>
      </c>
      <c r="C359" s="24">
        <v>611419</v>
      </c>
      <c r="D359" s="20">
        <v>41138</v>
      </c>
      <c r="E359" s="25">
        <v>480</v>
      </c>
      <c r="F359" s="25">
        <v>6</v>
      </c>
      <c r="G359" s="25">
        <v>1835</v>
      </c>
      <c r="H359" s="25">
        <v>0</v>
      </c>
      <c r="I359" s="25">
        <v>167</v>
      </c>
    </row>
    <row r="360" spans="1:9" x14ac:dyDescent="0.25">
      <c r="A360" s="42" t="s">
        <v>1355</v>
      </c>
      <c r="B360" s="42" t="s">
        <v>35</v>
      </c>
      <c r="C360" s="24">
        <v>611419</v>
      </c>
      <c r="D360" s="20">
        <v>41144</v>
      </c>
      <c r="E360" s="25">
        <v>481</v>
      </c>
      <c r="F360" s="25">
        <v>0</v>
      </c>
      <c r="G360" s="25">
        <v>0</v>
      </c>
      <c r="H360" s="25">
        <v>0</v>
      </c>
      <c r="I360" s="25">
        <v>0</v>
      </c>
    </row>
    <row r="361" spans="1:9" x14ac:dyDescent="0.25">
      <c r="A361" s="42" t="s">
        <v>1355</v>
      </c>
      <c r="B361" s="42" t="s">
        <v>35</v>
      </c>
      <c r="C361" s="24">
        <v>611419</v>
      </c>
      <c r="D361" s="20">
        <v>41148</v>
      </c>
      <c r="E361" s="25">
        <v>481</v>
      </c>
      <c r="F361" s="25">
        <v>0</v>
      </c>
      <c r="G361" s="25">
        <v>0</v>
      </c>
      <c r="H361" s="25">
        <v>0</v>
      </c>
      <c r="I361" s="25">
        <v>0</v>
      </c>
    </row>
    <row r="362" spans="1:9" x14ac:dyDescent="0.25">
      <c r="A362" s="42" t="s">
        <v>1355</v>
      </c>
      <c r="B362" s="42" t="s">
        <v>35</v>
      </c>
      <c r="C362" s="24">
        <v>611419</v>
      </c>
      <c r="D362" s="20">
        <v>41143</v>
      </c>
      <c r="E362" s="25">
        <v>467</v>
      </c>
      <c r="F362" s="25">
        <v>0</v>
      </c>
      <c r="G362" s="25">
        <v>0</v>
      </c>
      <c r="H362" s="25">
        <v>0</v>
      </c>
      <c r="I362" s="25">
        <v>0</v>
      </c>
    </row>
    <row r="363" spans="1:9" x14ac:dyDescent="0.25">
      <c r="A363" s="42" t="s">
        <v>1356</v>
      </c>
      <c r="B363" s="43" t="s">
        <v>39</v>
      </c>
      <c r="C363" s="24">
        <v>611704</v>
      </c>
      <c r="D363" s="20">
        <v>41138</v>
      </c>
      <c r="E363" s="25">
        <v>465</v>
      </c>
      <c r="F363" s="25">
        <v>0</v>
      </c>
      <c r="G363" s="25">
        <v>0</v>
      </c>
      <c r="H363" s="25">
        <v>0</v>
      </c>
      <c r="I363" s="25">
        <v>0</v>
      </c>
    </row>
    <row r="364" spans="1:9" x14ac:dyDescent="0.25">
      <c r="A364" s="42" t="s">
        <v>1356</v>
      </c>
      <c r="B364" s="42" t="s">
        <v>37</v>
      </c>
      <c r="C364" s="24">
        <v>610208</v>
      </c>
      <c r="D364" s="20">
        <v>41138</v>
      </c>
      <c r="E364" s="25">
        <v>477</v>
      </c>
      <c r="F364" s="25">
        <v>17</v>
      </c>
      <c r="G364" s="25">
        <v>5300</v>
      </c>
      <c r="H364" s="25">
        <v>4</v>
      </c>
      <c r="I364" s="25">
        <v>0</v>
      </c>
    </row>
    <row r="365" spans="1:9" x14ac:dyDescent="0.25">
      <c r="A365" s="42" t="s">
        <v>1355</v>
      </c>
      <c r="B365" s="42" t="s">
        <v>36</v>
      </c>
      <c r="C365" s="24">
        <v>610832</v>
      </c>
      <c r="D365" s="20">
        <v>41122</v>
      </c>
      <c r="E365" s="25">
        <v>477</v>
      </c>
      <c r="F365" s="25">
        <v>48</v>
      </c>
      <c r="G365" s="25">
        <v>17232</v>
      </c>
      <c r="H365" s="25">
        <v>8</v>
      </c>
      <c r="I365" s="25">
        <v>0</v>
      </c>
    </row>
    <row r="366" spans="1:9" x14ac:dyDescent="0.25">
      <c r="A366" s="42" t="s">
        <v>1355</v>
      </c>
      <c r="B366" s="42" t="s">
        <v>35</v>
      </c>
      <c r="C366" s="24">
        <v>611419</v>
      </c>
      <c r="D366" s="20">
        <v>41142</v>
      </c>
      <c r="E366" s="25">
        <v>85</v>
      </c>
      <c r="F366" s="25">
        <v>0</v>
      </c>
      <c r="G366" s="25">
        <v>0</v>
      </c>
      <c r="H366" s="25">
        <v>0</v>
      </c>
      <c r="I366" s="25">
        <v>0</v>
      </c>
    </row>
    <row r="367" spans="1:9" x14ac:dyDescent="0.25">
      <c r="A367" s="42" t="s">
        <v>1356</v>
      </c>
      <c r="B367" s="43" t="s">
        <v>39</v>
      </c>
      <c r="C367" s="24">
        <v>611704</v>
      </c>
      <c r="D367" s="20">
        <v>41122</v>
      </c>
      <c r="E367" s="25">
        <v>478</v>
      </c>
      <c r="F367" s="25">
        <v>5</v>
      </c>
      <c r="G367" s="25">
        <v>1202</v>
      </c>
      <c r="H367" s="25">
        <v>0</v>
      </c>
      <c r="I367" s="25">
        <v>0</v>
      </c>
    </row>
    <row r="368" spans="1:9" x14ac:dyDescent="0.25">
      <c r="A368" s="42" t="s">
        <v>1356</v>
      </c>
      <c r="B368" s="43" t="s">
        <v>39</v>
      </c>
      <c r="C368" s="24">
        <v>611704</v>
      </c>
      <c r="D368" s="20">
        <v>41131</v>
      </c>
      <c r="E368" s="25">
        <v>85</v>
      </c>
      <c r="F368" s="25">
        <v>0</v>
      </c>
      <c r="G368" s="25">
        <v>0</v>
      </c>
      <c r="H368" s="25">
        <v>0</v>
      </c>
      <c r="I368" s="25">
        <v>0</v>
      </c>
    </row>
    <row r="369" spans="1:9" x14ac:dyDescent="0.25">
      <c r="A369" s="42" t="s">
        <v>1356</v>
      </c>
      <c r="B369" s="42" t="s">
        <v>38</v>
      </c>
      <c r="C369" s="24">
        <v>610340</v>
      </c>
      <c r="D369" s="20">
        <v>41147</v>
      </c>
      <c r="E369" s="25">
        <v>478</v>
      </c>
      <c r="F369" s="25">
        <v>8</v>
      </c>
      <c r="G369" s="25">
        <v>2509</v>
      </c>
      <c r="H369" s="25">
        <v>0</v>
      </c>
      <c r="I369" s="25">
        <v>4</v>
      </c>
    </row>
    <row r="370" spans="1:9" x14ac:dyDescent="0.25">
      <c r="A370" s="42" t="s">
        <v>1355</v>
      </c>
      <c r="B370" s="42" t="s">
        <v>34</v>
      </c>
      <c r="C370" s="24">
        <v>613447</v>
      </c>
      <c r="D370" s="20">
        <v>41148</v>
      </c>
      <c r="E370" s="25">
        <v>480</v>
      </c>
      <c r="F370" s="25">
        <v>0</v>
      </c>
      <c r="G370" s="25">
        <v>0</v>
      </c>
      <c r="H370" s="25">
        <v>0</v>
      </c>
      <c r="I370" s="25">
        <v>0</v>
      </c>
    </row>
    <row r="371" spans="1:9" x14ac:dyDescent="0.25">
      <c r="A371" s="42" t="s">
        <v>1356</v>
      </c>
      <c r="B371" s="43" t="s">
        <v>39</v>
      </c>
      <c r="C371" s="24">
        <v>611704</v>
      </c>
      <c r="D371" s="20">
        <v>41135</v>
      </c>
      <c r="E371" s="25">
        <v>466</v>
      </c>
      <c r="F371" s="25">
        <v>1</v>
      </c>
      <c r="G371" s="25">
        <v>283</v>
      </c>
      <c r="H371" s="25">
        <v>0</v>
      </c>
      <c r="I371" s="25">
        <v>0</v>
      </c>
    </row>
    <row r="372" spans="1:9" x14ac:dyDescent="0.25">
      <c r="A372" s="42" t="s">
        <v>1355</v>
      </c>
      <c r="B372" s="42" t="s">
        <v>34</v>
      </c>
      <c r="C372" s="24">
        <v>613447</v>
      </c>
      <c r="D372" s="20">
        <v>41150</v>
      </c>
      <c r="E372" s="25">
        <v>477</v>
      </c>
      <c r="F372" s="25">
        <v>3</v>
      </c>
      <c r="G372" s="25">
        <v>641</v>
      </c>
      <c r="H372" s="25">
        <v>2</v>
      </c>
      <c r="I372" s="25">
        <v>44</v>
      </c>
    </row>
    <row r="373" spans="1:9" x14ac:dyDescent="0.25">
      <c r="A373" s="42" t="s">
        <v>1356</v>
      </c>
      <c r="B373" s="43" t="s">
        <v>39</v>
      </c>
      <c r="C373" s="24">
        <v>611704</v>
      </c>
      <c r="D373" s="20">
        <v>41130</v>
      </c>
      <c r="E373" s="25">
        <v>481</v>
      </c>
      <c r="F373" s="25">
        <v>0</v>
      </c>
      <c r="G373" s="25">
        <v>0</v>
      </c>
      <c r="H373" s="25">
        <v>0</v>
      </c>
      <c r="I373" s="25">
        <v>0</v>
      </c>
    </row>
    <row r="374" spans="1:9" x14ac:dyDescent="0.25">
      <c r="A374" s="42" t="s">
        <v>1355</v>
      </c>
      <c r="B374" s="42" t="s">
        <v>36</v>
      </c>
      <c r="C374" s="24">
        <v>610832</v>
      </c>
      <c r="D374" s="20">
        <v>41134</v>
      </c>
      <c r="E374" s="25">
        <v>85</v>
      </c>
      <c r="F374" s="25">
        <v>0</v>
      </c>
      <c r="G374" s="25">
        <v>0</v>
      </c>
      <c r="H374" s="25">
        <v>0</v>
      </c>
      <c r="I374" s="25">
        <v>0</v>
      </c>
    </row>
    <row r="375" spans="1:9" x14ac:dyDescent="0.25">
      <c r="A375" s="42" t="s">
        <v>1355</v>
      </c>
      <c r="B375" s="42" t="s">
        <v>34</v>
      </c>
      <c r="C375" s="24">
        <v>613447</v>
      </c>
      <c r="D375" s="20">
        <v>41123</v>
      </c>
      <c r="E375" s="25">
        <v>790</v>
      </c>
      <c r="F375" s="25">
        <v>0</v>
      </c>
      <c r="G375" s="25">
        <v>0</v>
      </c>
      <c r="H375" s="25">
        <v>0</v>
      </c>
      <c r="I375" s="25">
        <v>0</v>
      </c>
    </row>
    <row r="376" spans="1:9" x14ac:dyDescent="0.25">
      <c r="A376" s="42" t="s">
        <v>1355</v>
      </c>
      <c r="B376" s="42" t="s">
        <v>35</v>
      </c>
      <c r="C376" s="24">
        <v>611419</v>
      </c>
      <c r="D376" s="20">
        <v>41135</v>
      </c>
      <c r="E376" s="25">
        <v>790</v>
      </c>
      <c r="F376" s="25">
        <v>0</v>
      </c>
      <c r="G376" s="25">
        <v>0</v>
      </c>
      <c r="H376" s="25">
        <v>0</v>
      </c>
      <c r="I376" s="25">
        <v>0</v>
      </c>
    </row>
    <row r="377" spans="1:9" x14ac:dyDescent="0.25">
      <c r="A377" s="42" t="s">
        <v>1355</v>
      </c>
      <c r="B377" s="42" t="s">
        <v>36</v>
      </c>
      <c r="C377" s="24">
        <v>610832</v>
      </c>
      <c r="D377" s="20">
        <v>41130</v>
      </c>
      <c r="E377" s="25">
        <v>790</v>
      </c>
      <c r="F377" s="25">
        <v>0</v>
      </c>
      <c r="G377" s="25">
        <v>0</v>
      </c>
      <c r="H377" s="25">
        <v>0</v>
      </c>
      <c r="I377" s="25">
        <v>0</v>
      </c>
    </row>
    <row r="378" spans="1:9" x14ac:dyDescent="0.25">
      <c r="A378" s="42" t="s">
        <v>1356</v>
      </c>
      <c r="B378" s="42" t="s">
        <v>38</v>
      </c>
      <c r="C378" s="24">
        <v>610340</v>
      </c>
      <c r="D378" s="20">
        <v>41152</v>
      </c>
      <c r="E378" s="25">
        <v>477</v>
      </c>
      <c r="F378" s="25">
        <v>6</v>
      </c>
      <c r="G378" s="25">
        <v>1232</v>
      </c>
      <c r="H378" s="25">
        <v>0</v>
      </c>
      <c r="I378" s="25">
        <v>0</v>
      </c>
    </row>
    <row r="379" spans="1:9" x14ac:dyDescent="0.25">
      <c r="A379" s="42" t="s">
        <v>1356</v>
      </c>
      <c r="B379" s="42" t="s">
        <v>37</v>
      </c>
      <c r="C379" s="24">
        <v>610208</v>
      </c>
      <c r="D379" s="20">
        <v>41143</v>
      </c>
      <c r="E379" s="25">
        <v>482</v>
      </c>
      <c r="F379" s="25">
        <v>6</v>
      </c>
      <c r="G379" s="25">
        <v>1447</v>
      </c>
      <c r="H379" s="25">
        <v>0</v>
      </c>
      <c r="I379" s="25">
        <v>0</v>
      </c>
    </row>
    <row r="380" spans="1:9" x14ac:dyDescent="0.25">
      <c r="A380" s="42" t="s">
        <v>1355</v>
      </c>
      <c r="B380" s="42" t="s">
        <v>35</v>
      </c>
      <c r="C380" s="24">
        <v>611419</v>
      </c>
      <c r="D380" s="20">
        <v>41151</v>
      </c>
      <c r="E380" s="25">
        <v>467</v>
      </c>
      <c r="F380" s="25">
        <v>0</v>
      </c>
      <c r="G380" s="25">
        <v>0</v>
      </c>
      <c r="H380" s="25">
        <v>0</v>
      </c>
      <c r="I380" s="25">
        <v>0</v>
      </c>
    </row>
    <row r="381" spans="1:9" x14ac:dyDescent="0.25">
      <c r="A381" s="42" t="s">
        <v>1355</v>
      </c>
      <c r="B381" s="42" t="s">
        <v>35</v>
      </c>
      <c r="C381" s="24">
        <v>611419</v>
      </c>
      <c r="D381" s="20">
        <v>41137</v>
      </c>
      <c r="E381" s="25">
        <v>478</v>
      </c>
      <c r="F381" s="25">
        <v>0</v>
      </c>
      <c r="G381" s="25">
        <v>0</v>
      </c>
      <c r="H381" s="25">
        <v>0</v>
      </c>
      <c r="I381" s="25">
        <v>0</v>
      </c>
    </row>
    <row r="382" spans="1:9" x14ac:dyDescent="0.25">
      <c r="A382" s="42" t="s">
        <v>1356</v>
      </c>
      <c r="B382" s="43" t="s">
        <v>39</v>
      </c>
      <c r="C382" s="24">
        <v>611704</v>
      </c>
      <c r="D382" s="20">
        <v>41150</v>
      </c>
      <c r="E382" s="25">
        <v>477</v>
      </c>
      <c r="F382" s="25">
        <v>6</v>
      </c>
      <c r="G382" s="25">
        <v>2570</v>
      </c>
      <c r="H382" s="25">
        <v>0</v>
      </c>
      <c r="I382" s="25">
        <v>0</v>
      </c>
    </row>
    <row r="383" spans="1:9" x14ac:dyDescent="0.25">
      <c r="A383" s="42" t="s">
        <v>1356</v>
      </c>
      <c r="B383" s="42" t="s">
        <v>37</v>
      </c>
      <c r="C383" s="24">
        <v>610208</v>
      </c>
      <c r="D383" s="20">
        <v>41131</v>
      </c>
      <c r="E383" s="25">
        <v>790</v>
      </c>
      <c r="F383" s="25">
        <v>0</v>
      </c>
      <c r="G383" s="25">
        <v>0</v>
      </c>
      <c r="H383" s="25">
        <v>0</v>
      </c>
      <c r="I383" s="25">
        <v>0</v>
      </c>
    </row>
    <row r="384" spans="1:9" x14ac:dyDescent="0.25">
      <c r="A384" s="42" t="s">
        <v>1356</v>
      </c>
      <c r="B384" s="42" t="s">
        <v>38</v>
      </c>
      <c r="C384" s="24">
        <v>610340</v>
      </c>
      <c r="D384" s="20">
        <v>41143</v>
      </c>
      <c r="E384" s="25">
        <v>482</v>
      </c>
      <c r="F384" s="25">
        <v>12</v>
      </c>
      <c r="G384" s="25">
        <v>4333</v>
      </c>
      <c r="H384" s="25">
        <v>5</v>
      </c>
      <c r="I384" s="25">
        <v>0</v>
      </c>
    </row>
    <row r="385" spans="1:9" x14ac:dyDescent="0.25">
      <c r="A385" s="42" t="s">
        <v>1355</v>
      </c>
      <c r="B385" s="42" t="s">
        <v>36</v>
      </c>
      <c r="C385" s="24">
        <v>610832</v>
      </c>
      <c r="D385" s="20">
        <v>41135</v>
      </c>
      <c r="E385" s="25">
        <v>481</v>
      </c>
      <c r="F385" s="25">
        <v>0</v>
      </c>
      <c r="G385" s="25">
        <v>0</v>
      </c>
      <c r="H385" s="25">
        <v>0</v>
      </c>
      <c r="I385" s="25">
        <v>0</v>
      </c>
    </row>
    <row r="386" spans="1:9" x14ac:dyDescent="0.25">
      <c r="A386" s="42" t="s">
        <v>1356</v>
      </c>
      <c r="B386" s="42" t="s">
        <v>37</v>
      </c>
      <c r="C386" s="24">
        <v>610208</v>
      </c>
      <c r="D386" s="20">
        <v>41145</v>
      </c>
      <c r="E386" s="25">
        <v>482</v>
      </c>
      <c r="F386" s="25">
        <v>11</v>
      </c>
      <c r="G386" s="25">
        <v>3696</v>
      </c>
      <c r="H386" s="25">
        <v>0</v>
      </c>
      <c r="I386" s="25">
        <v>0</v>
      </c>
    </row>
    <row r="387" spans="1:9" x14ac:dyDescent="0.25">
      <c r="A387" s="42" t="s">
        <v>1355</v>
      </c>
      <c r="B387" s="42" t="s">
        <v>36</v>
      </c>
      <c r="C387" s="24">
        <v>610832</v>
      </c>
      <c r="D387" s="20">
        <v>41138</v>
      </c>
      <c r="E387" s="25">
        <v>481</v>
      </c>
      <c r="F387" s="25">
        <v>0</v>
      </c>
      <c r="G387" s="25">
        <v>0</v>
      </c>
      <c r="H387" s="25">
        <v>0</v>
      </c>
      <c r="I387" s="25">
        <v>0</v>
      </c>
    </row>
    <row r="388" spans="1:9" x14ac:dyDescent="0.25">
      <c r="A388" s="42" t="s">
        <v>1355</v>
      </c>
      <c r="B388" s="42" t="s">
        <v>35</v>
      </c>
      <c r="C388" s="24">
        <v>611419</v>
      </c>
      <c r="D388" s="20">
        <v>41148</v>
      </c>
      <c r="E388" s="25">
        <v>85</v>
      </c>
      <c r="F388" s="25">
        <v>0</v>
      </c>
      <c r="G388" s="25">
        <v>0</v>
      </c>
      <c r="H388" s="25">
        <v>0</v>
      </c>
      <c r="I388" s="25">
        <v>0</v>
      </c>
    </row>
    <row r="389" spans="1:9" x14ac:dyDescent="0.25">
      <c r="A389" s="42" t="s">
        <v>1356</v>
      </c>
      <c r="B389" s="42" t="s">
        <v>38</v>
      </c>
      <c r="C389" s="24">
        <v>610340</v>
      </c>
      <c r="D389" s="20">
        <v>41137</v>
      </c>
      <c r="E389" s="25">
        <v>465</v>
      </c>
      <c r="F389" s="25">
        <v>0</v>
      </c>
      <c r="G389" s="25">
        <v>0</v>
      </c>
      <c r="H389" s="25">
        <v>0</v>
      </c>
      <c r="I389" s="25">
        <v>0</v>
      </c>
    </row>
    <row r="390" spans="1:9" x14ac:dyDescent="0.25">
      <c r="A390" s="42" t="s">
        <v>1355</v>
      </c>
      <c r="B390" s="42" t="s">
        <v>36</v>
      </c>
      <c r="C390" s="24">
        <v>610832</v>
      </c>
      <c r="D390" s="20">
        <v>41149</v>
      </c>
      <c r="E390" s="25">
        <v>481</v>
      </c>
      <c r="F390" s="25">
        <v>0</v>
      </c>
      <c r="G390" s="25">
        <v>0</v>
      </c>
      <c r="H390" s="25">
        <v>0</v>
      </c>
      <c r="I390" s="25">
        <v>0</v>
      </c>
    </row>
    <row r="391" spans="1:9" x14ac:dyDescent="0.25">
      <c r="A391" s="42" t="s">
        <v>1356</v>
      </c>
      <c r="B391" s="42" t="s">
        <v>38</v>
      </c>
      <c r="C391" s="24">
        <v>610340</v>
      </c>
      <c r="D391" s="20">
        <v>41149</v>
      </c>
      <c r="E391" s="25">
        <v>465</v>
      </c>
      <c r="F391" s="25">
        <v>0</v>
      </c>
      <c r="G391" s="25">
        <v>0</v>
      </c>
      <c r="H391" s="25">
        <v>0</v>
      </c>
      <c r="I391" s="25">
        <v>0</v>
      </c>
    </row>
    <row r="392" spans="1:9" x14ac:dyDescent="0.25">
      <c r="A392" s="42" t="s">
        <v>1355</v>
      </c>
      <c r="B392" s="42" t="s">
        <v>36</v>
      </c>
      <c r="C392" s="24">
        <v>610832</v>
      </c>
      <c r="D392" s="20">
        <v>41130</v>
      </c>
      <c r="E392" s="25">
        <v>478</v>
      </c>
      <c r="F392" s="25">
        <v>16</v>
      </c>
      <c r="G392" s="25">
        <v>5100</v>
      </c>
      <c r="H392" s="25">
        <v>7</v>
      </c>
      <c r="I392" s="25">
        <v>10</v>
      </c>
    </row>
    <row r="393" spans="1:9" x14ac:dyDescent="0.25">
      <c r="A393" s="42" t="s">
        <v>1355</v>
      </c>
      <c r="B393" s="42" t="s">
        <v>34</v>
      </c>
      <c r="C393" s="24">
        <v>613447</v>
      </c>
      <c r="D393" s="20">
        <v>41138</v>
      </c>
      <c r="E393" s="25">
        <v>85</v>
      </c>
      <c r="F393" s="25">
        <v>0</v>
      </c>
      <c r="G393" s="25">
        <v>0</v>
      </c>
      <c r="H393" s="25">
        <v>0</v>
      </c>
      <c r="I393" s="25">
        <v>0</v>
      </c>
    </row>
    <row r="394" spans="1:9" x14ac:dyDescent="0.25">
      <c r="A394" s="42" t="s">
        <v>1356</v>
      </c>
      <c r="B394" s="43" t="s">
        <v>39</v>
      </c>
      <c r="C394" s="24">
        <v>611704</v>
      </c>
      <c r="D394" s="20">
        <v>41136</v>
      </c>
      <c r="E394" s="25">
        <v>790</v>
      </c>
      <c r="F394" s="25">
        <v>0</v>
      </c>
      <c r="G394" s="25">
        <v>0</v>
      </c>
      <c r="H394" s="25">
        <v>0</v>
      </c>
      <c r="I394" s="25">
        <v>0</v>
      </c>
    </row>
    <row r="395" spans="1:9" x14ac:dyDescent="0.25">
      <c r="A395" s="42" t="s">
        <v>1356</v>
      </c>
      <c r="B395" s="42" t="s">
        <v>37</v>
      </c>
      <c r="C395" s="24">
        <v>610208</v>
      </c>
      <c r="D395" s="20">
        <v>41149</v>
      </c>
      <c r="E395" s="25">
        <v>480</v>
      </c>
      <c r="F395" s="25">
        <v>0</v>
      </c>
      <c r="G395" s="25">
        <v>0</v>
      </c>
      <c r="H395" s="25">
        <v>0</v>
      </c>
      <c r="I395" s="25">
        <v>0</v>
      </c>
    </row>
    <row r="396" spans="1:9" x14ac:dyDescent="0.25">
      <c r="A396" s="42" t="s">
        <v>1355</v>
      </c>
      <c r="B396" s="42" t="s">
        <v>36</v>
      </c>
      <c r="C396" s="24">
        <v>610832</v>
      </c>
      <c r="D396" s="20">
        <v>41151</v>
      </c>
      <c r="E396" s="25">
        <v>790</v>
      </c>
      <c r="F396" s="25">
        <v>0</v>
      </c>
      <c r="G396" s="25">
        <v>0</v>
      </c>
      <c r="H396" s="25">
        <v>0</v>
      </c>
      <c r="I396" s="25">
        <v>0</v>
      </c>
    </row>
    <row r="397" spans="1:9" x14ac:dyDescent="0.25">
      <c r="A397" s="42" t="s">
        <v>1356</v>
      </c>
      <c r="B397" s="42" t="s">
        <v>38</v>
      </c>
      <c r="C397" s="24">
        <v>610340</v>
      </c>
      <c r="D397" s="20">
        <v>41123</v>
      </c>
      <c r="E397" s="25">
        <v>477</v>
      </c>
      <c r="F397" s="25">
        <v>39</v>
      </c>
      <c r="G397" s="25">
        <v>14627</v>
      </c>
      <c r="H397" s="25">
        <v>245</v>
      </c>
      <c r="I397" s="25">
        <v>22</v>
      </c>
    </row>
    <row r="398" spans="1:9" x14ac:dyDescent="0.25">
      <c r="A398" s="42" t="s">
        <v>1355</v>
      </c>
      <c r="B398" s="42" t="s">
        <v>34</v>
      </c>
      <c r="C398" s="24">
        <v>613447</v>
      </c>
      <c r="D398" s="20">
        <v>41122</v>
      </c>
      <c r="E398" s="25">
        <v>85</v>
      </c>
      <c r="F398" s="25">
        <v>0</v>
      </c>
      <c r="G398" s="25">
        <v>0</v>
      </c>
      <c r="H398" s="25">
        <v>0</v>
      </c>
      <c r="I398" s="25">
        <v>0</v>
      </c>
    </row>
    <row r="399" spans="1:9" x14ac:dyDescent="0.25">
      <c r="A399" s="42" t="s">
        <v>1356</v>
      </c>
      <c r="B399" s="42" t="s">
        <v>37</v>
      </c>
      <c r="C399" s="24">
        <v>610208</v>
      </c>
      <c r="D399" s="20">
        <v>41134</v>
      </c>
      <c r="E399" s="25">
        <v>790</v>
      </c>
      <c r="F399" s="25">
        <v>0</v>
      </c>
      <c r="G399" s="25">
        <v>0</v>
      </c>
      <c r="H399" s="25">
        <v>0</v>
      </c>
      <c r="I399" s="25">
        <v>0</v>
      </c>
    </row>
    <row r="400" spans="1:9" x14ac:dyDescent="0.25">
      <c r="A400" s="42" t="s">
        <v>1356</v>
      </c>
      <c r="B400" s="42" t="s">
        <v>38</v>
      </c>
      <c r="C400" s="24">
        <v>610340</v>
      </c>
      <c r="D400" s="20">
        <v>41150</v>
      </c>
      <c r="E400" s="25">
        <v>478</v>
      </c>
      <c r="F400" s="25">
        <v>35</v>
      </c>
      <c r="G400" s="25">
        <v>11368</v>
      </c>
      <c r="H400" s="25">
        <v>1</v>
      </c>
      <c r="I400" s="25">
        <v>0</v>
      </c>
    </row>
    <row r="401" spans="1:9" x14ac:dyDescent="0.25">
      <c r="A401" s="42" t="s">
        <v>1355</v>
      </c>
      <c r="B401" s="42" t="s">
        <v>35</v>
      </c>
      <c r="C401" s="24">
        <v>611419</v>
      </c>
      <c r="D401" s="20">
        <v>41122</v>
      </c>
      <c r="E401" s="25">
        <v>478</v>
      </c>
      <c r="F401" s="25">
        <v>2</v>
      </c>
      <c r="G401" s="25">
        <v>556</v>
      </c>
      <c r="H401" s="25">
        <v>1</v>
      </c>
      <c r="I401" s="25">
        <v>0</v>
      </c>
    </row>
    <row r="402" spans="1:9" x14ac:dyDescent="0.25">
      <c r="A402" s="42" t="s">
        <v>1356</v>
      </c>
      <c r="B402" s="42" t="s">
        <v>38</v>
      </c>
      <c r="C402" s="24">
        <v>610340</v>
      </c>
      <c r="D402" s="20">
        <v>41130</v>
      </c>
      <c r="E402" s="25">
        <v>477</v>
      </c>
      <c r="F402" s="25">
        <v>40</v>
      </c>
      <c r="G402" s="25">
        <v>10333</v>
      </c>
      <c r="H402" s="25">
        <v>0</v>
      </c>
      <c r="I402" s="25">
        <v>0</v>
      </c>
    </row>
    <row r="403" spans="1:9" x14ac:dyDescent="0.25">
      <c r="A403" s="42" t="s">
        <v>1355</v>
      </c>
      <c r="B403" s="42" t="s">
        <v>34</v>
      </c>
      <c r="C403" s="24">
        <v>613447</v>
      </c>
      <c r="D403" s="20">
        <v>41132</v>
      </c>
      <c r="E403" s="25">
        <v>481</v>
      </c>
      <c r="F403" s="25">
        <v>0</v>
      </c>
      <c r="G403" s="25">
        <v>0</v>
      </c>
      <c r="H403" s="25">
        <v>0</v>
      </c>
      <c r="I403" s="25">
        <v>0</v>
      </c>
    </row>
    <row r="404" spans="1:9" x14ac:dyDescent="0.25">
      <c r="A404" s="42" t="s">
        <v>1356</v>
      </c>
      <c r="B404" s="42" t="s">
        <v>37</v>
      </c>
      <c r="C404" s="24">
        <v>610208</v>
      </c>
      <c r="D404" s="20">
        <v>41142</v>
      </c>
      <c r="E404" s="25">
        <v>478</v>
      </c>
      <c r="F404" s="25">
        <v>2</v>
      </c>
      <c r="G404" s="25">
        <v>619</v>
      </c>
      <c r="H404" s="25">
        <v>0</v>
      </c>
      <c r="I404" s="25">
        <v>0</v>
      </c>
    </row>
    <row r="405" spans="1:9" x14ac:dyDescent="0.25">
      <c r="A405" s="42" t="s">
        <v>1356</v>
      </c>
      <c r="B405" s="42" t="s">
        <v>38</v>
      </c>
      <c r="C405" s="24">
        <v>610340</v>
      </c>
      <c r="D405" s="20">
        <v>41141</v>
      </c>
      <c r="E405" s="25">
        <v>480</v>
      </c>
      <c r="F405" s="25">
        <v>7</v>
      </c>
      <c r="G405" s="25">
        <v>1529</v>
      </c>
      <c r="H405" s="25">
        <v>0</v>
      </c>
      <c r="I405" s="25">
        <v>0</v>
      </c>
    </row>
    <row r="406" spans="1:9" x14ac:dyDescent="0.25">
      <c r="A406" s="42" t="s">
        <v>1355</v>
      </c>
      <c r="B406" s="42" t="s">
        <v>36</v>
      </c>
      <c r="C406" s="24">
        <v>610832</v>
      </c>
      <c r="D406" s="20">
        <v>41145</v>
      </c>
      <c r="E406" s="25">
        <v>477</v>
      </c>
      <c r="F406" s="25">
        <v>10</v>
      </c>
      <c r="G406" s="25">
        <v>5539</v>
      </c>
      <c r="H406" s="25">
        <v>0</v>
      </c>
      <c r="I406" s="25">
        <v>17</v>
      </c>
    </row>
    <row r="407" spans="1:9" x14ac:dyDescent="0.25">
      <c r="A407" s="42" t="s">
        <v>1356</v>
      </c>
      <c r="B407" s="42" t="s">
        <v>37</v>
      </c>
      <c r="C407" s="24">
        <v>610208</v>
      </c>
      <c r="D407" s="20">
        <v>41139</v>
      </c>
      <c r="E407" s="25">
        <v>482</v>
      </c>
      <c r="F407" s="25">
        <v>36</v>
      </c>
      <c r="G407" s="25">
        <v>9626</v>
      </c>
      <c r="H407" s="25">
        <v>0</v>
      </c>
      <c r="I407" s="25">
        <v>0</v>
      </c>
    </row>
    <row r="408" spans="1:9" x14ac:dyDescent="0.25">
      <c r="A408" s="42" t="s">
        <v>1356</v>
      </c>
      <c r="B408" s="42" t="s">
        <v>38</v>
      </c>
      <c r="C408" s="24">
        <v>610340</v>
      </c>
      <c r="D408" s="20">
        <v>41145</v>
      </c>
      <c r="E408" s="25">
        <v>466</v>
      </c>
      <c r="F408" s="25">
        <v>22</v>
      </c>
      <c r="G408" s="25">
        <v>6355</v>
      </c>
      <c r="H408" s="25">
        <v>2</v>
      </c>
      <c r="I408" s="25">
        <v>0</v>
      </c>
    </row>
    <row r="409" spans="1:9" x14ac:dyDescent="0.25">
      <c r="A409" s="42" t="s">
        <v>1355</v>
      </c>
      <c r="B409" s="42" t="s">
        <v>35</v>
      </c>
      <c r="C409" s="24">
        <v>611419</v>
      </c>
      <c r="D409" s="20">
        <v>41144</v>
      </c>
      <c r="E409" s="25">
        <v>480</v>
      </c>
      <c r="F409" s="25">
        <v>7</v>
      </c>
      <c r="G409" s="25">
        <v>1297</v>
      </c>
      <c r="H409" s="25">
        <v>0</v>
      </c>
      <c r="I409" s="25">
        <v>69</v>
      </c>
    </row>
    <row r="410" spans="1:9" x14ac:dyDescent="0.25">
      <c r="A410" s="42" t="s">
        <v>1356</v>
      </c>
      <c r="B410" s="42" t="s">
        <v>38</v>
      </c>
      <c r="C410" s="24">
        <v>610340</v>
      </c>
      <c r="D410" s="20">
        <v>41148</v>
      </c>
      <c r="E410" s="25">
        <v>478</v>
      </c>
      <c r="F410" s="25">
        <v>46</v>
      </c>
      <c r="G410" s="25">
        <v>12581</v>
      </c>
      <c r="H410" s="25">
        <v>3</v>
      </c>
      <c r="I410" s="25">
        <v>10</v>
      </c>
    </row>
    <row r="411" spans="1:9" x14ac:dyDescent="0.25">
      <c r="A411" s="42" t="s">
        <v>1356</v>
      </c>
      <c r="B411" s="42" t="s">
        <v>37</v>
      </c>
      <c r="C411" s="24">
        <v>610208</v>
      </c>
      <c r="D411" s="20">
        <v>41127</v>
      </c>
      <c r="E411" s="25">
        <v>790</v>
      </c>
      <c r="F411" s="25">
        <v>0</v>
      </c>
      <c r="G411" s="25">
        <v>0</v>
      </c>
      <c r="H411" s="25">
        <v>0</v>
      </c>
      <c r="I411" s="25">
        <v>0</v>
      </c>
    </row>
    <row r="412" spans="1:9" x14ac:dyDescent="0.25">
      <c r="A412" s="42" t="s">
        <v>1355</v>
      </c>
      <c r="B412" s="42" t="s">
        <v>35</v>
      </c>
      <c r="C412" s="24">
        <v>611419</v>
      </c>
      <c r="D412" s="20">
        <v>41127</v>
      </c>
      <c r="E412" s="25">
        <v>478</v>
      </c>
      <c r="F412" s="25">
        <v>6</v>
      </c>
      <c r="G412" s="25">
        <v>2095</v>
      </c>
      <c r="H412" s="25">
        <v>2</v>
      </c>
      <c r="I412" s="25">
        <v>107</v>
      </c>
    </row>
    <row r="413" spans="1:9" x14ac:dyDescent="0.25">
      <c r="A413" s="42" t="s">
        <v>1356</v>
      </c>
      <c r="B413" s="42" t="s">
        <v>38</v>
      </c>
      <c r="C413" s="24">
        <v>610340</v>
      </c>
      <c r="D413" s="20">
        <v>41142</v>
      </c>
      <c r="E413" s="25">
        <v>790</v>
      </c>
      <c r="F413" s="25">
        <v>0</v>
      </c>
      <c r="G413" s="25">
        <v>0</v>
      </c>
      <c r="H413" s="25">
        <v>0</v>
      </c>
      <c r="I413" s="25">
        <v>0</v>
      </c>
    </row>
    <row r="414" spans="1:9" x14ac:dyDescent="0.25">
      <c r="A414" s="42" t="s">
        <v>1356</v>
      </c>
      <c r="B414" s="43" t="s">
        <v>39</v>
      </c>
      <c r="C414" s="24">
        <v>611704</v>
      </c>
      <c r="D414" s="20">
        <v>41137</v>
      </c>
      <c r="E414" s="25">
        <v>790</v>
      </c>
      <c r="F414" s="25">
        <v>0</v>
      </c>
      <c r="G414" s="25">
        <v>0</v>
      </c>
      <c r="H414" s="25">
        <v>0</v>
      </c>
      <c r="I414" s="25">
        <v>0</v>
      </c>
    </row>
    <row r="415" spans="1:9" x14ac:dyDescent="0.25">
      <c r="A415" s="42" t="s">
        <v>1356</v>
      </c>
      <c r="B415" s="42" t="s">
        <v>38</v>
      </c>
      <c r="C415" s="24">
        <v>610340</v>
      </c>
      <c r="D415" s="20">
        <v>41142</v>
      </c>
      <c r="E415" s="25">
        <v>465</v>
      </c>
      <c r="F415" s="25">
        <v>0</v>
      </c>
      <c r="G415" s="25">
        <v>0</v>
      </c>
      <c r="H415" s="25">
        <v>0</v>
      </c>
      <c r="I415" s="25">
        <v>0</v>
      </c>
    </row>
    <row r="416" spans="1:9" x14ac:dyDescent="0.25">
      <c r="A416" s="42" t="s">
        <v>1355</v>
      </c>
      <c r="B416" s="42" t="s">
        <v>36</v>
      </c>
      <c r="C416" s="24">
        <v>610832</v>
      </c>
      <c r="D416" s="20">
        <v>41139</v>
      </c>
      <c r="E416" s="25">
        <v>480</v>
      </c>
      <c r="F416" s="25">
        <v>11</v>
      </c>
      <c r="G416" s="25">
        <v>4703</v>
      </c>
      <c r="H416" s="25">
        <v>2</v>
      </c>
      <c r="I416" s="25">
        <v>55</v>
      </c>
    </row>
    <row r="417" spans="1:9" x14ac:dyDescent="0.25">
      <c r="A417" s="42" t="s">
        <v>1355</v>
      </c>
      <c r="B417" s="42" t="s">
        <v>35</v>
      </c>
      <c r="C417" s="24">
        <v>611419</v>
      </c>
      <c r="D417" s="20">
        <v>41148</v>
      </c>
      <c r="E417" s="25">
        <v>478</v>
      </c>
      <c r="F417" s="25">
        <v>4</v>
      </c>
      <c r="G417" s="25">
        <v>583</v>
      </c>
      <c r="H417" s="25">
        <v>12</v>
      </c>
      <c r="I417" s="25">
        <v>0</v>
      </c>
    </row>
    <row r="418" spans="1:9" x14ac:dyDescent="0.25">
      <c r="A418" s="42" t="s">
        <v>1356</v>
      </c>
      <c r="B418" s="42" t="s">
        <v>38</v>
      </c>
      <c r="C418" s="24">
        <v>610340</v>
      </c>
      <c r="D418" s="20">
        <v>41144</v>
      </c>
      <c r="E418" s="25">
        <v>482</v>
      </c>
      <c r="F418" s="25">
        <v>7</v>
      </c>
      <c r="G418" s="25">
        <v>1538</v>
      </c>
      <c r="H418" s="25">
        <v>0</v>
      </c>
      <c r="I418" s="25">
        <v>0</v>
      </c>
    </row>
    <row r="419" spans="1:9" x14ac:dyDescent="0.25">
      <c r="A419" s="42" t="s">
        <v>1356</v>
      </c>
      <c r="B419" s="43" t="s">
        <v>39</v>
      </c>
      <c r="C419" s="24">
        <v>611704</v>
      </c>
      <c r="D419" s="20">
        <v>41150</v>
      </c>
      <c r="E419" s="25">
        <v>467</v>
      </c>
      <c r="F419" s="25">
        <v>0</v>
      </c>
      <c r="G419" s="25">
        <v>0</v>
      </c>
      <c r="H419" s="25">
        <v>0</v>
      </c>
      <c r="I419" s="25">
        <v>0</v>
      </c>
    </row>
    <row r="420" spans="1:9" x14ac:dyDescent="0.25">
      <c r="A420" s="42" t="s">
        <v>1355</v>
      </c>
      <c r="B420" s="42" t="s">
        <v>35</v>
      </c>
      <c r="C420" s="24">
        <v>611419</v>
      </c>
      <c r="D420" s="20">
        <v>41145</v>
      </c>
      <c r="E420" s="25">
        <v>480</v>
      </c>
      <c r="F420" s="25">
        <v>6</v>
      </c>
      <c r="G420" s="25">
        <v>1530</v>
      </c>
      <c r="H420" s="25">
        <v>0</v>
      </c>
      <c r="I420" s="25">
        <v>108</v>
      </c>
    </row>
    <row r="421" spans="1:9" x14ac:dyDescent="0.25">
      <c r="A421" s="42" t="s">
        <v>1356</v>
      </c>
      <c r="B421" s="43" t="s">
        <v>39</v>
      </c>
      <c r="C421" s="24">
        <v>611704</v>
      </c>
      <c r="D421" s="20">
        <v>41148</v>
      </c>
      <c r="E421" s="25">
        <v>467</v>
      </c>
      <c r="F421" s="25">
        <v>0</v>
      </c>
      <c r="G421" s="25">
        <v>0</v>
      </c>
      <c r="H421" s="25">
        <v>0</v>
      </c>
      <c r="I421" s="25">
        <v>0</v>
      </c>
    </row>
    <row r="422" spans="1:9" x14ac:dyDescent="0.25">
      <c r="A422" s="42" t="s">
        <v>1355</v>
      </c>
      <c r="B422" s="42" t="s">
        <v>34</v>
      </c>
      <c r="C422" s="24">
        <v>613447</v>
      </c>
      <c r="D422" s="20">
        <v>41150</v>
      </c>
      <c r="E422" s="25">
        <v>480</v>
      </c>
      <c r="F422" s="25">
        <v>0</v>
      </c>
      <c r="G422" s="25">
        <v>0</v>
      </c>
      <c r="H422" s="25">
        <v>0</v>
      </c>
      <c r="I422" s="25">
        <v>0</v>
      </c>
    </row>
    <row r="423" spans="1:9" x14ac:dyDescent="0.25">
      <c r="A423" s="42" t="s">
        <v>1355</v>
      </c>
      <c r="B423" s="42" t="s">
        <v>34</v>
      </c>
      <c r="C423" s="24">
        <v>613447</v>
      </c>
      <c r="D423" s="20">
        <v>41144</v>
      </c>
      <c r="E423" s="25">
        <v>790</v>
      </c>
      <c r="F423" s="25">
        <v>0</v>
      </c>
      <c r="G423" s="25">
        <v>0</v>
      </c>
      <c r="H423" s="25">
        <v>0</v>
      </c>
      <c r="I423" s="25">
        <v>0</v>
      </c>
    </row>
    <row r="424" spans="1:9" x14ac:dyDescent="0.25">
      <c r="A424" s="42" t="s">
        <v>1355</v>
      </c>
      <c r="B424" s="42" t="s">
        <v>35</v>
      </c>
      <c r="C424" s="24">
        <v>611419</v>
      </c>
      <c r="D424" s="20">
        <v>41140</v>
      </c>
      <c r="E424" s="25">
        <v>480</v>
      </c>
      <c r="F424" s="25">
        <v>3</v>
      </c>
      <c r="G424" s="25">
        <v>469</v>
      </c>
      <c r="H424" s="25">
        <v>0</v>
      </c>
      <c r="I424" s="25">
        <v>0</v>
      </c>
    </row>
    <row r="425" spans="1:9" x14ac:dyDescent="0.25">
      <c r="A425" s="42" t="s">
        <v>1356</v>
      </c>
      <c r="B425" s="42" t="s">
        <v>38</v>
      </c>
      <c r="C425" s="24">
        <v>610340</v>
      </c>
      <c r="D425" s="20">
        <v>41147</v>
      </c>
      <c r="E425" s="25">
        <v>465</v>
      </c>
      <c r="F425" s="25">
        <v>0</v>
      </c>
      <c r="G425" s="25">
        <v>0</v>
      </c>
      <c r="H425" s="25">
        <v>0</v>
      </c>
      <c r="I425" s="25">
        <v>0</v>
      </c>
    </row>
    <row r="426" spans="1:9" x14ac:dyDescent="0.25">
      <c r="A426" s="42" t="s">
        <v>1355</v>
      </c>
      <c r="B426" s="42" t="s">
        <v>34</v>
      </c>
      <c r="C426" s="24">
        <v>613447</v>
      </c>
      <c r="D426" s="20">
        <v>41144</v>
      </c>
      <c r="E426" s="25">
        <v>480</v>
      </c>
      <c r="F426" s="25">
        <v>5</v>
      </c>
      <c r="G426" s="25">
        <v>1244</v>
      </c>
      <c r="H426" s="25">
        <v>0</v>
      </c>
      <c r="I426" s="25">
        <v>130</v>
      </c>
    </row>
    <row r="427" spans="1:9" x14ac:dyDescent="0.25">
      <c r="A427" s="42" t="s">
        <v>1356</v>
      </c>
      <c r="B427" s="43" t="s">
        <v>39</v>
      </c>
      <c r="C427" s="24">
        <v>611704</v>
      </c>
      <c r="D427" s="20">
        <v>41145</v>
      </c>
      <c r="E427" s="25">
        <v>465</v>
      </c>
      <c r="F427" s="25">
        <v>0</v>
      </c>
      <c r="G427" s="25">
        <v>0</v>
      </c>
      <c r="H427" s="25">
        <v>0</v>
      </c>
      <c r="I427" s="25">
        <v>0</v>
      </c>
    </row>
    <row r="428" spans="1:9" x14ac:dyDescent="0.25">
      <c r="A428" s="42" t="s">
        <v>1355</v>
      </c>
      <c r="B428" s="42" t="s">
        <v>35</v>
      </c>
      <c r="C428" s="24">
        <v>611419</v>
      </c>
      <c r="D428" s="20">
        <v>41149</v>
      </c>
      <c r="E428" s="25">
        <v>467</v>
      </c>
      <c r="F428" s="25">
        <v>0</v>
      </c>
      <c r="G428" s="25">
        <v>0</v>
      </c>
      <c r="H428" s="25">
        <v>0</v>
      </c>
      <c r="I428" s="25">
        <v>0</v>
      </c>
    </row>
    <row r="429" spans="1:9" x14ac:dyDescent="0.25">
      <c r="A429" s="42" t="s">
        <v>1355</v>
      </c>
      <c r="B429" s="42" t="s">
        <v>36</v>
      </c>
      <c r="C429" s="24">
        <v>610832</v>
      </c>
      <c r="D429" s="20">
        <v>41125</v>
      </c>
      <c r="E429" s="25">
        <v>790</v>
      </c>
      <c r="F429" s="25">
        <v>0</v>
      </c>
      <c r="G429" s="25">
        <v>0</v>
      </c>
      <c r="H429" s="25">
        <v>0</v>
      </c>
      <c r="I429" s="25">
        <v>0</v>
      </c>
    </row>
    <row r="430" spans="1:9" x14ac:dyDescent="0.25">
      <c r="A430" s="42" t="s">
        <v>1356</v>
      </c>
      <c r="B430" s="42" t="s">
        <v>38</v>
      </c>
      <c r="C430" s="24">
        <v>610340</v>
      </c>
      <c r="D430" s="20">
        <v>41143</v>
      </c>
      <c r="E430" s="25">
        <v>790</v>
      </c>
      <c r="F430" s="25">
        <v>0</v>
      </c>
      <c r="G430" s="25">
        <v>0</v>
      </c>
      <c r="H430" s="25">
        <v>0</v>
      </c>
      <c r="I430" s="25">
        <v>0</v>
      </c>
    </row>
    <row r="431" spans="1:9" x14ac:dyDescent="0.25">
      <c r="A431" s="42" t="s">
        <v>1355</v>
      </c>
      <c r="B431" s="42" t="s">
        <v>36</v>
      </c>
      <c r="C431" s="24">
        <v>610832</v>
      </c>
      <c r="D431" s="20">
        <v>41131</v>
      </c>
      <c r="E431" s="25">
        <v>790</v>
      </c>
      <c r="F431" s="25">
        <v>0</v>
      </c>
      <c r="G431" s="25">
        <v>0</v>
      </c>
      <c r="H431" s="25">
        <v>0</v>
      </c>
      <c r="I431" s="25">
        <v>0</v>
      </c>
    </row>
    <row r="432" spans="1:9" x14ac:dyDescent="0.25">
      <c r="A432" s="42" t="s">
        <v>1355</v>
      </c>
      <c r="B432" s="42" t="s">
        <v>34</v>
      </c>
      <c r="C432" s="24">
        <v>613447</v>
      </c>
      <c r="D432" s="20">
        <v>41129</v>
      </c>
      <c r="E432" s="25">
        <v>85</v>
      </c>
      <c r="F432" s="25">
        <v>0</v>
      </c>
      <c r="G432" s="25">
        <v>0</v>
      </c>
      <c r="H432" s="25">
        <v>0</v>
      </c>
      <c r="I432" s="25">
        <v>0</v>
      </c>
    </row>
    <row r="433" spans="1:9" x14ac:dyDescent="0.25">
      <c r="A433" s="42" t="s">
        <v>1356</v>
      </c>
      <c r="B433" s="42" t="s">
        <v>37</v>
      </c>
      <c r="C433" s="24">
        <v>610208</v>
      </c>
      <c r="D433" s="20">
        <v>41148</v>
      </c>
      <c r="E433" s="25">
        <v>478</v>
      </c>
      <c r="F433" s="25">
        <v>54</v>
      </c>
      <c r="G433" s="25">
        <v>17777</v>
      </c>
      <c r="H433" s="25">
        <v>4</v>
      </c>
      <c r="I433" s="25">
        <v>0</v>
      </c>
    </row>
    <row r="434" spans="1:9" x14ac:dyDescent="0.25">
      <c r="A434" s="42" t="s">
        <v>1355</v>
      </c>
      <c r="B434" s="42" t="s">
        <v>34</v>
      </c>
      <c r="C434" s="24">
        <v>613447</v>
      </c>
      <c r="D434" s="20">
        <v>41126</v>
      </c>
      <c r="E434" s="25">
        <v>482</v>
      </c>
      <c r="F434" s="25">
        <v>0</v>
      </c>
      <c r="G434" s="25">
        <v>0</v>
      </c>
      <c r="H434" s="25">
        <v>0</v>
      </c>
      <c r="I434" s="25">
        <v>0</v>
      </c>
    </row>
    <row r="435" spans="1:9" x14ac:dyDescent="0.25">
      <c r="A435" s="42" t="s">
        <v>1355</v>
      </c>
      <c r="B435" s="42" t="s">
        <v>36</v>
      </c>
      <c r="C435" s="24">
        <v>610832</v>
      </c>
      <c r="D435" s="20">
        <v>41137</v>
      </c>
      <c r="E435" s="25">
        <v>85</v>
      </c>
      <c r="F435" s="25">
        <v>0</v>
      </c>
      <c r="G435" s="25">
        <v>0</v>
      </c>
      <c r="H435" s="25">
        <v>0</v>
      </c>
      <c r="I435" s="25">
        <v>0</v>
      </c>
    </row>
    <row r="436" spans="1:9" x14ac:dyDescent="0.25">
      <c r="A436" s="42" t="s">
        <v>1355</v>
      </c>
      <c r="B436" s="42" t="s">
        <v>34</v>
      </c>
      <c r="C436" s="24">
        <v>613447</v>
      </c>
      <c r="D436" s="20">
        <v>41136</v>
      </c>
      <c r="E436" s="25">
        <v>477</v>
      </c>
      <c r="F436" s="25">
        <v>1</v>
      </c>
      <c r="G436" s="25">
        <v>234</v>
      </c>
      <c r="H436" s="25">
        <v>4</v>
      </c>
      <c r="I436" s="25">
        <v>0</v>
      </c>
    </row>
    <row r="437" spans="1:9" x14ac:dyDescent="0.25">
      <c r="A437" s="42" t="s">
        <v>1355</v>
      </c>
      <c r="B437" s="42" t="s">
        <v>35</v>
      </c>
      <c r="C437" s="24">
        <v>611419</v>
      </c>
      <c r="D437" s="20">
        <v>41151</v>
      </c>
      <c r="E437" s="25">
        <v>465</v>
      </c>
      <c r="F437" s="25">
        <v>0</v>
      </c>
      <c r="G437" s="25">
        <v>0</v>
      </c>
      <c r="H437" s="25">
        <v>0</v>
      </c>
      <c r="I437" s="25">
        <v>0</v>
      </c>
    </row>
    <row r="438" spans="1:9" x14ac:dyDescent="0.25">
      <c r="A438" s="42" t="s">
        <v>1355</v>
      </c>
      <c r="B438" s="42" t="s">
        <v>36</v>
      </c>
      <c r="C438" s="24">
        <v>610832</v>
      </c>
      <c r="D438" s="20">
        <v>41136</v>
      </c>
      <c r="E438" s="25">
        <v>465</v>
      </c>
      <c r="F438" s="25">
        <v>0</v>
      </c>
      <c r="G438" s="25">
        <v>0</v>
      </c>
      <c r="H438" s="25">
        <v>0</v>
      </c>
      <c r="I438" s="25">
        <v>0</v>
      </c>
    </row>
    <row r="439" spans="1:9" x14ac:dyDescent="0.25">
      <c r="A439" s="42" t="s">
        <v>1356</v>
      </c>
      <c r="B439" s="42" t="s">
        <v>37</v>
      </c>
      <c r="C439" s="24">
        <v>610208</v>
      </c>
      <c r="D439" s="20">
        <v>41144</v>
      </c>
      <c r="E439" s="25">
        <v>466</v>
      </c>
      <c r="F439" s="25">
        <v>24</v>
      </c>
      <c r="G439" s="25">
        <v>6133</v>
      </c>
      <c r="H439" s="25">
        <v>7</v>
      </c>
      <c r="I439" s="25">
        <v>0</v>
      </c>
    </row>
    <row r="440" spans="1:9" x14ac:dyDescent="0.25">
      <c r="A440" s="42" t="s">
        <v>1355</v>
      </c>
      <c r="B440" s="42" t="s">
        <v>36</v>
      </c>
      <c r="C440" s="24">
        <v>610832</v>
      </c>
      <c r="D440" s="20">
        <v>41145</v>
      </c>
      <c r="E440" s="25">
        <v>480</v>
      </c>
      <c r="F440" s="25">
        <v>10</v>
      </c>
      <c r="G440" s="25">
        <v>2334</v>
      </c>
      <c r="H440" s="25">
        <v>0</v>
      </c>
      <c r="I440" s="25">
        <v>3</v>
      </c>
    </row>
    <row r="441" spans="1:9" x14ac:dyDescent="0.25">
      <c r="A441" s="42" t="s">
        <v>1355</v>
      </c>
      <c r="B441" s="42" t="s">
        <v>34</v>
      </c>
      <c r="C441" s="24">
        <v>613447</v>
      </c>
      <c r="D441" s="20">
        <v>41146</v>
      </c>
      <c r="E441" s="25">
        <v>467</v>
      </c>
      <c r="F441" s="25">
        <v>0</v>
      </c>
      <c r="G441" s="25">
        <v>0</v>
      </c>
      <c r="H441" s="25">
        <v>0</v>
      </c>
      <c r="I441" s="25">
        <v>0</v>
      </c>
    </row>
    <row r="442" spans="1:9" x14ac:dyDescent="0.25">
      <c r="A442" s="42" t="s">
        <v>1356</v>
      </c>
      <c r="B442" s="43" t="s">
        <v>39</v>
      </c>
      <c r="C442" s="24">
        <v>611704</v>
      </c>
      <c r="D442" s="20">
        <v>41131</v>
      </c>
      <c r="E442" s="25">
        <v>481</v>
      </c>
      <c r="F442" s="25">
        <v>0</v>
      </c>
      <c r="G442" s="25">
        <v>0</v>
      </c>
      <c r="H442" s="25">
        <v>0</v>
      </c>
      <c r="I442" s="25">
        <v>0</v>
      </c>
    </row>
    <row r="443" spans="1:9" x14ac:dyDescent="0.25">
      <c r="A443" s="42" t="s">
        <v>1356</v>
      </c>
      <c r="B443" s="43" t="s">
        <v>39</v>
      </c>
      <c r="C443" s="24">
        <v>611704</v>
      </c>
      <c r="D443" s="20">
        <v>41149</v>
      </c>
      <c r="E443" s="25">
        <v>482</v>
      </c>
      <c r="F443" s="25">
        <v>7</v>
      </c>
      <c r="G443" s="25">
        <v>2117</v>
      </c>
      <c r="H443" s="25">
        <v>0</v>
      </c>
      <c r="I443" s="25">
        <v>0</v>
      </c>
    </row>
    <row r="444" spans="1:9" x14ac:dyDescent="0.25">
      <c r="A444" s="42" t="s">
        <v>1355</v>
      </c>
      <c r="B444" s="42" t="s">
        <v>36</v>
      </c>
      <c r="C444" s="24">
        <v>610832</v>
      </c>
      <c r="D444" s="20">
        <v>41138</v>
      </c>
      <c r="E444" s="25">
        <v>790</v>
      </c>
      <c r="F444" s="25">
        <v>0</v>
      </c>
      <c r="G444" s="25">
        <v>0</v>
      </c>
      <c r="H444" s="25">
        <v>0</v>
      </c>
      <c r="I444" s="25">
        <v>0</v>
      </c>
    </row>
    <row r="445" spans="1:9" x14ac:dyDescent="0.25">
      <c r="A445" s="42" t="s">
        <v>1356</v>
      </c>
      <c r="B445" s="42" t="s">
        <v>37</v>
      </c>
      <c r="C445" s="24">
        <v>610208</v>
      </c>
      <c r="D445" s="20">
        <v>41129</v>
      </c>
      <c r="E445" s="25">
        <v>478</v>
      </c>
      <c r="F445" s="25">
        <v>8</v>
      </c>
      <c r="G445" s="25">
        <v>2572</v>
      </c>
      <c r="H445" s="25">
        <v>0</v>
      </c>
      <c r="I445" s="25">
        <v>0</v>
      </c>
    </row>
    <row r="446" spans="1:9" x14ac:dyDescent="0.25">
      <c r="A446" s="42" t="s">
        <v>1356</v>
      </c>
      <c r="B446" s="43" t="s">
        <v>39</v>
      </c>
      <c r="C446" s="24">
        <v>611704</v>
      </c>
      <c r="D446" s="20">
        <v>41137</v>
      </c>
      <c r="E446" s="25">
        <v>478</v>
      </c>
      <c r="F446" s="25">
        <v>0</v>
      </c>
      <c r="G446" s="25">
        <v>0</v>
      </c>
      <c r="H446" s="25">
        <v>0</v>
      </c>
      <c r="I446" s="25">
        <v>0</v>
      </c>
    </row>
    <row r="447" spans="1:9" x14ac:dyDescent="0.25">
      <c r="A447" s="42" t="s">
        <v>1355</v>
      </c>
      <c r="B447" s="42" t="s">
        <v>34</v>
      </c>
      <c r="C447" s="24">
        <v>613447</v>
      </c>
      <c r="D447" s="20">
        <v>41151</v>
      </c>
      <c r="E447" s="25">
        <v>465</v>
      </c>
      <c r="F447" s="25">
        <v>0</v>
      </c>
      <c r="G447" s="25">
        <v>0</v>
      </c>
      <c r="H447" s="25">
        <v>0</v>
      </c>
      <c r="I447" s="25">
        <v>0</v>
      </c>
    </row>
    <row r="448" spans="1:9" x14ac:dyDescent="0.25">
      <c r="A448" s="42" t="s">
        <v>1356</v>
      </c>
      <c r="B448" s="42" t="s">
        <v>37</v>
      </c>
      <c r="C448" s="24">
        <v>610208</v>
      </c>
      <c r="D448" s="20">
        <v>41141</v>
      </c>
      <c r="E448" s="25">
        <v>467</v>
      </c>
      <c r="F448" s="25">
        <v>0</v>
      </c>
      <c r="G448" s="25">
        <v>0</v>
      </c>
      <c r="H448" s="25">
        <v>0</v>
      </c>
      <c r="I448" s="25">
        <v>0</v>
      </c>
    </row>
    <row r="449" spans="1:9" x14ac:dyDescent="0.25">
      <c r="A449" s="42" t="s">
        <v>1356</v>
      </c>
      <c r="B449" s="43" t="s">
        <v>39</v>
      </c>
      <c r="C449" s="24">
        <v>611704</v>
      </c>
      <c r="D449" s="20">
        <v>41123</v>
      </c>
      <c r="E449" s="25">
        <v>790</v>
      </c>
      <c r="F449" s="25">
        <v>0</v>
      </c>
      <c r="G449" s="25">
        <v>0</v>
      </c>
      <c r="H449" s="25">
        <v>0</v>
      </c>
      <c r="I449" s="25">
        <v>0</v>
      </c>
    </row>
    <row r="450" spans="1:9" x14ac:dyDescent="0.25">
      <c r="A450" s="42" t="s">
        <v>1355</v>
      </c>
      <c r="B450" s="42" t="s">
        <v>34</v>
      </c>
      <c r="C450" s="24">
        <v>613447</v>
      </c>
      <c r="D450" s="20">
        <v>41148</v>
      </c>
      <c r="E450" s="25">
        <v>465</v>
      </c>
      <c r="F450" s="25">
        <v>0</v>
      </c>
      <c r="G450" s="25">
        <v>0</v>
      </c>
      <c r="H450" s="25">
        <v>0</v>
      </c>
      <c r="I450" s="25">
        <v>0</v>
      </c>
    </row>
    <row r="451" spans="1:9" x14ac:dyDescent="0.25">
      <c r="A451" s="42" t="s">
        <v>1356</v>
      </c>
      <c r="B451" s="42" t="s">
        <v>37</v>
      </c>
      <c r="C451" s="24">
        <v>610208</v>
      </c>
      <c r="D451" s="20">
        <v>41135</v>
      </c>
      <c r="E451" s="25">
        <v>466</v>
      </c>
      <c r="F451" s="25">
        <v>3</v>
      </c>
      <c r="G451" s="25">
        <v>572</v>
      </c>
      <c r="H451" s="25">
        <v>0</v>
      </c>
      <c r="I451" s="25">
        <v>0</v>
      </c>
    </row>
    <row r="452" spans="1:9" x14ac:dyDescent="0.25">
      <c r="A452" s="42" t="s">
        <v>1355</v>
      </c>
      <c r="B452" s="42" t="s">
        <v>35</v>
      </c>
      <c r="C452" s="24">
        <v>611419</v>
      </c>
      <c r="D452" s="20">
        <v>41129</v>
      </c>
      <c r="E452" s="25">
        <v>477</v>
      </c>
      <c r="F452" s="25">
        <v>42</v>
      </c>
      <c r="G452" s="25">
        <v>13631</v>
      </c>
      <c r="H452" s="25">
        <v>29</v>
      </c>
      <c r="I452" s="25">
        <v>173</v>
      </c>
    </row>
    <row r="453" spans="1:9" x14ac:dyDescent="0.25">
      <c r="A453" s="42" t="s">
        <v>1355</v>
      </c>
      <c r="B453" s="42" t="s">
        <v>36</v>
      </c>
      <c r="C453" s="24">
        <v>610832</v>
      </c>
      <c r="D453" s="20">
        <v>41145</v>
      </c>
      <c r="E453" s="25">
        <v>481</v>
      </c>
      <c r="F453" s="25">
        <v>0</v>
      </c>
      <c r="G453" s="25">
        <v>0</v>
      </c>
      <c r="H453" s="25">
        <v>0</v>
      </c>
      <c r="I453" s="25">
        <v>0</v>
      </c>
    </row>
    <row r="454" spans="1:9" x14ac:dyDescent="0.25">
      <c r="A454" s="42" t="s">
        <v>1356</v>
      </c>
      <c r="B454" s="42" t="s">
        <v>37</v>
      </c>
      <c r="C454" s="24">
        <v>610208</v>
      </c>
      <c r="D454" s="20">
        <v>41141</v>
      </c>
      <c r="E454" s="25">
        <v>480</v>
      </c>
      <c r="F454" s="25">
        <v>3</v>
      </c>
      <c r="G454" s="25">
        <v>455</v>
      </c>
      <c r="H454" s="25">
        <v>0</v>
      </c>
      <c r="I454" s="25">
        <v>0</v>
      </c>
    </row>
    <row r="455" spans="1:9" x14ac:dyDescent="0.25">
      <c r="A455" s="42" t="s">
        <v>1355</v>
      </c>
      <c r="B455" s="42" t="s">
        <v>34</v>
      </c>
      <c r="C455" s="24">
        <v>613447</v>
      </c>
      <c r="D455" s="20">
        <v>41151</v>
      </c>
      <c r="E455" s="25">
        <v>790</v>
      </c>
      <c r="F455" s="25">
        <v>0</v>
      </c>
      <c r="G455" s="25">
        <v>0</v>
      </c>
      <c r="H455" s="25">
        <v>0</v>
      </c>
      <c r="I455" s="25">
        <v>0</v>
      </c>
    </row>
    <row r="456" spans="1:9" x14ac:dyDescent="0.25">
      <c r="A456" s="42" t="s">
        <v>1355</v>
      </c>
      <c r="B456" s="42" t="s">
        <v>35</v>
      </c>
      <c r="C456" s="24">
        <v>611419</v>
      </c>
      <c r="D456" s="20">
        <v>41122</v>
      </c>
      <c r="E456" s="25">
        <v>477</v>
      </c>
      <c r="F456" s="25">
        <v>19</v>
      </c>
      <c r="G456" s="25">
        <v>5774</v>
      </c>
      <c r="H456" s="25">
        <v>18</v>
      </c>
      <c r="I456" s="25">
        <v>0</v>
      </c>
    </row>
    <row r="457" spans="1:9" x14ac:dyDescent="0.25">
      <c r="A457" s="42" t="s">
        <v>1356</v>
      </c>
      <c r="B457" s="43" t="s">
        <v>39</v>
      </c>
      <c r="C457" s="24">
        <v>611704</v>
      </c>
      <c r="D457" s="20">
        <v>41150</v>
      </c>
      <c r="E457" s="25">
        <v>790</v>
      </c>
      <c r="F457" s="25">
        <v>0</v>
      </c>
      <c r="G457" s="25">
        <v>0</v>
      </c>
      <c r="H457" s="25">
        <v>0</v>
      </c>
      <c r="I457" s="25">
        <v>0</v>
      </c>
    </row>
    <row r="458" spans="1:9" x14ac:dyDescent="0.25">
      <c r="A458" s="42" t="s">
        <v>1356</v>
      </c>
      <c r="B458" s="42" t="s">
        <v>37</v>
      </c>
      <c r="C458" s="24">
        <v>610208</v>
      </c>
      <c r="D458" s="20">
        <v>41137</v>
      </c>
      <c r="E458" s="25">
        <v>477</v>
      </c>
      <c r="F458" s="25">
        <v>20</v>
      </c>
      <c r="G458" s="25">
        <v>6050</v>
      </c>
      <c r="H458" s="25">
        <v>0</v>
      </c>
      <c r="I458" s="25">
        <v>0</v>
      </c>
    </row>
    <row r="459" spans="1:9" x14ac:dyDescent="0.25">
      <c r="A459" s="42" t="s">
        <v>1356</v>
      </c>
      <c r="B459" s="43" t="s">
        <v>39</v>
      </c>
      <c r="C459" s="24">
        <v>611704</v>
      </c>
      <c r="D459" s="20">
        <v>41138</v>
      </c>
      <c r="E459" s="25">
        <v>467</v>
      </c>
      <c r="F459" s="25">
        <v>0</v>
      </c>
      <c r="G459" s="25">
        <v>0</v>
      </c>
      <c r="H459" s="25">
        <v>0</v>
      </c>
      <c r="I459" s="25">
        <v>0</v>
      </c>
    </row>
    <row r="460" spans="1:9" x14ac:dyDescent="0.25">
      <c r="A460" s="42" t="s">
        <v>1355</v>
      </c>
      <c r="B460" s="42" t="s">
        <v>34</v>
      </c>
      <c r="C460" s="24">
        <v>613447</v>
      </c>
      <c r="D460" s="20">
        <v>41132</v>
      </c>
      <c r="E460" s="25">
        <v>85</v>
      </c>
      <c r="F460" s="25">
        <v>0</v>
      </c>
      <c r="G460" s="25">
        <v>0</v>
      </c>
      <c r="H460" s="25">
        <v>0</v>
      </c>
      <c r="I460" s="25">
        <v>0</v>
      </c>
    </row>
    <row r="461" spans="1:9" x14ac:dyDescent="0.25">
      <c r="A461" s="42" t="s">
        <v>1356</v>
      </c>
      <c r="B461" s="42" t="s">
        <v>37</v>
      </c>
      <c r="C461" s="24">
        <v>610208</v>
      </c>
      <c r="D461" s="20">
        <v>41142</v>
      </c>
      <c r="E461" s="25">
        <v>480</v>
      </c>
      <c r="F461" s="25">
        <v>4</v>
      </c>
      <c r="G461" s="25">
        <v>1129</v>
      </c>
      <c r="H461" s="25">
        <v>0</v>
      </c>
      <c r="I461" s="25">
        <v>0</v>
      </c>
    </row>
    <row r="462" spans="1:9" x14ac:dyDescent="0.25">
      <c r="A462" s="42" t="s">
        <v>1356</v>
      </c>
      <c r="B462" s="42" t="s">
        <v>38</v>
      </c>
      <c r="C462" s="24">
        <v>610340</v>
      </c>
      <c r="D462" s="20">
        <v>41139</v>
      </c>
      <c r="E462" s="25">
        <v>480</v>
      </c>
      <c r="F462" s="25">
        <v>6</v>
      </c>
      <c r="G462" s="25">
        <v>1379</v>
      </c>
      <c r="H462" s="25">
        <v>0</v>
      </c>
      <c r="I462" s="25">
        <v>5</v>
      </c>
    </row>
    <row r="463" spans="1:9" x14ac:dyDescent="0.25">
      <c r="A463" s="42" t="s">
        <v>1355</v>
      </c>
      <c r="B463" s="42" t="s">
        <v>34</v>
      </c>
      <c r="C463" s="24">
        <v>613447</v>
      </c>
      <c r="D463" s="20">
        <v>41131</v>
      </c>
      <c r="E463" s="25">
        <v>481</v>
      </c>
      <c r="F463" s="25">
        <v>0</v>
      </c>
      <c r="G463" s="25">
        <v>0</v>
      </c>
      <c r="H463" s="25">
        <v>0</v>
      </c>
      <c r="I463" s="25">
        <v>0</v>
      </c>
    </row>
    <row r="464" spans="1:9" x14ac:dyDescent="0.25">
      <c r="A464" s="42" t="s">
        <v>1355</v>
      </c>
      <c r="B464" s="42" t="s">
        <v>35</v>
      </c>
      <c r="C464" s="24">
        <v>611419</v>
      </c>
      <c r="D464" s="20">
        <v>41141</v>
      </c>
      <c r="E464" s="25">
        <v>480</v>
      </c>
      <c r="F464" s="25">
        <v>8</v>
      </c>
      <c r="G464" s="25">
        <v>2796</v>
      </c>
      <c r="H464" s="25">
        <v>0</v>
      </c>
      <c r="I464" s="25">
        <v>64</v>
      </c>
    </row>
    <row r="465" spans="1:9" x14ac:dyDescent="0.25">
      <c r="A465" s="42" t="s">
        <v>1355</v>
      </c>
      <c r="B465" s="42" t="s">
        <v>34</v>
      </c>
      <c r="C465" s="24">
        <v>613447</v>
      </c>
      <c r="D465" s="20">
        <v>41131</v>
      </c>
      <c r="E465" s="25">
        <v>478</v>
      </c>
      <c r="F465" s="25">
        <v>7</v>
      </c>
      <c r="G465" s="25">
        <v>2297</v>
      </c>
      <c r="H465" s="25">
        <v>11</v>
      </c>
      <c r="I465" s="25">
        <v>198</v>
      </c>
    </row>
    <row r="466" spans="1:9" x14ac:dyDescent="0.25">
      <c r="A466" s="42" t="s">
        <v>1356</v>
      </c>
      <c r="B466" s="43" t="s">
        <v>39</v>
      </c>
      <c r="C466" s="24">
        <v>611704</v>
      </c>
      <c r="D466" s="20">
        <v>41123</v>
      </c>
      <c r="E466" s="25">
        <v>477</v>
      </c>
      <c r="F466" s="25">
        <v>29</v>
      </c>
      <c r="G466" s="25">
        <v>9423</v>
      </c>
      <c r="H466" s="25">
        <v>6</v>
      </c>
      <c r="I466" s="25">
        <v>56</v>
      </c>
    </row>
    <row r="467" spans="1:9" x14ac:dyDescent="0.25">
      <c r="A467" s="42" t="s">
        <v>1356</v>
      </c>
      <c r="B467" s="43" t="s">
        <v>39</v>
      </c>
      <c r="C467" s="24">
        <v>611704</v>
      </c>
      <c r="D467" s="20">
        <v>41142</v>
      </c>
      <c r="E467" s="25">
        <v>790</v>
      </c>
      <c r="F467" s="25">
        <v>0</v>
      </c>
      <c r="G467" s="25">
        <v>0</v>
      </c>
      <c r="H467" s="25">
        <v>0</v>
      </c>
      <c r="I467" s="25">
        <v>0</v>
      </c>
    </row>
    <row r="468" spans="1:9" x14ac:dyDescent="0.25">
      <c r="A468" s="42" t="s">
        <v>1355</v>
      </c>
      <c r="B468" s="42" t="s">
        <v>34</v>
      </c>
      <c r="C468" s="24">
        <v>613447</v>
      </c>
      <c r="D468" s="20">
        <v>41149</v>
      </c>
      <c r="E468" s="25">
        <v>85</v>
      </c>
      <c r="F468" s="25">
        <v>0</v>
      </c>
      <c r="G468" s="25">
        <v>0</v>
      </c>
      <c r="H468" s="25">
        <v>0</v>
      </c>
      <c r="I468" s="25">
        <v>0</v>
      </c>
    </row>
    <row r="469" spans="1:9" x14ac:dyDescent="0.25">
      <c r="A469" s="42" t="s">
        <v>1356</v>
      </c>
      <c r="B469" s="42" t="s">
        <v>37</v>
      </c>
      <c r="C469" s="24">
        <v>610208</v>
      </c>
      <c r="D469" s="20">
        <v>41141</v>
      </c>
      <c r="E469" s="25">
        <v>790</v>
      </c>
      <c r="F469" s="25">
        <v>0</v>
      </c>
      <c r="G469" s="25">
        <v>0</v>
      </c>
      <c r="H469" s="25">
        <v>0</v>
      </c>
      <c r="I469" s="25">
        <v>0</v>
      </c>
    </row>
    <row r="470" spans="1:9" x14ac:dyDescent="0.25">
      <c r="A470" s="42" t="s">
        <v>1355</v>
      </c>
      <c r="B470" s="42" t="s">
        <v>35</v>
      </c>
      <c r="C470" s="24">
        <v>611419</v>
      </c>
      <c r="D470" s="20">
        <v>41143</v>
      </c>
      <c r="E470" s="25">
        <v>482</v>
      </c>
      <c r="F470" s="25">
        <v>14</v>
      </c>
      <c r="G470" s="25">
        <v>2563</v>
      </c>
      <c r="H470" s="25">
        <v>7</v>
      </c>
      <c r="I470" s="25">
        <v>1053</v>
      </c>
    </row>
    <row r="471" spans="1:9" x14ac:dyDescent="0.25">
      <c r="A471" s="42" t="s">
        <v>1356</v>
      </c>
      <c r="B471" s="43" t="s">
        <v>39</v>
      </c>
      <c r="C471" s="24">
        <v>611704</v>
      </c>
      <c r="D471" s="20">
        <v>41131</v>
      </c>
      <c r="E471" s="25">
        <v>477</v>
      </c>
      <c r="F471" s="25">
        <v>41</v>
      </c>
      <c r="G471" s="25">
        <v>13878</v>
      </c>
      <c r="H471" s="25">
        <v>18</v>
      </c>
      <c r="I471" s="25">
        <v>0</v>
      </c>
    </row>
    <row r="472" spans="1:9" x14ac:dyDescent="0.25">
      <c r="A472" s="42" t="s">
        <v>1355</v>
      </c>
      <c r="B472" s="42" t="s">
        <v>34</v>
      </c>
      <c r="C472" s="24">
        <v>613447</v>
      </c>
      <c r="D472" s="20">
        <v>41123</v>
      </c>
      <c r="E472" s="25">
        <v>477</v>
      </c>
      <c r="F472" s="25">
        <v>40</v>
      </c>
      <c r="G472" s="25">
        <v>16812</v>
      </c>
      <c r="H472" s="25">
        <v>2</v>
      </c>
      <c r="I472" s="25">
        <v>390</v>
      </c>
    </row>
    <row r="473" spans="1:9" x14ac:dyDescent="0.25">
      <c r="A473" s="42" t="s">
        <v>1355</v>
      </c>
      <c r="B473" s="42" t="s">
        <v>34</v>
      </c>
      <c r="C473" s="24">
        <v>613447</v>
      </c>
      <c r="D473" s="20">
        <v>41141</v>
      </c>
      <c r="E473" s="25">
        <v>466</v>
      </c>
      <c r="F473" s="25">
        <v>25</v>
      </c>
      <c r="G473" s="25">
        <v>8464</v>
      </c>
      <c r="H473" s="25">
        <v>5</v>
      </c>
      <c r="I473" s="25">
        <v>309</v>
      </c>
    </row>
    <row r="474" spans="1:9" x14ac:dyDescent="0.25">
      <c r="A474" s="42" t="s">
        <v>1356</v>
      </c>
      <c r="B474" s="42" t="s">
        <v>38</v>
      </c>
      <c r="C474" s="24">
        <v>610340</v>
      </c>
      <c r="D474" s="20">
        <v>41152</v>
      </c>
      <c r="E474" s="25">
        <v>482</v>
      </c>
      <c r="F474" s="25">
        <v>14</v>
      </c>
      <c r="G474" s="25">
        <v>2719</v>
      </c>
      <c r="H474" s="25">
        <v>3</v>
      </c>
      <c r="I474" s="25">
        <v>0</v>
      </c>
    </row>
    <row r="475" spans="1:9" x14ac:dyDescent="0.25">
      <c r="A475" s="42" t="s">
        <v>1355</v>
      </c>
      <c r="B475" s="42" t="s">
        <v>36</v>
      </c>
      <c r="C475" s="24">
        <v>610832</v>
      </c>
      <c r="D475" s="20">
        <v>41133</v>
      </c>
      <c r="E475" s="25">
        <v>790</v>
      </c>
      <c r="F475" s="25">
        <v>0</v>
      </c>
      <c r="G475" s="25">
        <v>0</v>
      </c>
      <c r="H475" s="25">
        <v>0</v>
      </c>
      <c r="I475" s="25">
        <v>0</v>
      </c>
    </row>
    <row r="476" spans="1:9" x14ac:dyDescent="0.25">
      <c r="A476" s="42" t="s">
        <v>1356</v>
      </c>
      <c r="B476" s="42" t="s">
        <v>37</v>
      </c>
      <c r="C476" s="24">
        <v>610208</v>
      </c>
      <c r="D476" s="20">
        <v>41122</v>
      </c>
      <c r="E476" s="25">
        <v>478</v>
      </c>
      <c r="F476" s="25">
        <v>18</v>
      </c>
      <c r="G476" s="25">
        <v>5612</v>
      </c>
      <c r="H476" s="25">
        <v>0</v>
      </c>
      <c r="I476" s="25">
        <v>0</v>
      </c>
    </row>
    <row r="477" spans="1:9" x14ac:dyDescent="0.25">
      <c r="A477" s="42" t="s">
        <v>1356</v>
      </c>
      <c r="B477" s="43" t="s">
        <v>39</v>
      </c>
      <c r="C477" s="24">
        <v>611704</v>
      </c>
      <c r="D477" s="20">
        <v>41151</v>
      </c>
      <c r="E477" s="25">
        <v>465</v>
      </c>
      <c r="F477" s="25">
        <v>0</v>
      </c>
      <c r="G477" s="25">
        <v>0</v>
      </c>
      <c r="H477" s="25">
        <v>0</v>
      </c>
      <c r="I477" s="25">
        <v>0</v>
      </c>
    </row>
    <row r="478" spans="1:9" x14ac:dyDescent="0.25">
      <c r="A478" s="42" t="s">
        <v>1356</v>
      </c>
      <c r="B478" s="42" t="s">
        <v>37</v>
      </c>
      <c r="C478" s="24">
        <v>610208</v>
      </c>
      <c r="D478" s="20">
        <v>41136</v>
      </c>
      <c r="E478" s="25">
        <v>480</v>
      </c>
      <c r="F478" s="25">
        <v>9</v>
      </c>
      <c r="G478" s="25">
        <v>1838</v>
      </c>
      <c r="H478" s="25">
        <v>0</v>
      </c>
      <c r="I478" s="25">
        <v>0</v>
      </c>
    </row>
    <row r="479" spans="1:9" x14ac:dyDescent="0.25">
      <c r="A479" s="42" t="s">
        <v>1356</v>
      </c>
      <c r="B479" s="42" t="s">
        <v>38</v>
      </c>
      <c r="C479" s="24">
        <v>610340</v>
      </c>
      <c r="D479" s="20">
        <v>41130</v>
      </c>
      <c r="E479" s="25">
        <v>85</v>
      </c>
      <c r="F479" s="25">
        <v>0</v>
      </c>
      <c r="G479" s="25">
        <v>0</v>
      </c>
      <c r="H479" s="25">
        <v>0</v>
      </c>
      <c r="I479" s="25">
        <v>0</v>
      </c>
    </row>
    <row r="480" spans="1:9" x14ac:dyDescent="0.25">
      <c r="A480" s="42" t="s">
        <v>1355</v>
      </c>
      <c r="B480" s="42" t="s">
        <v>34</v>
      </c>
      <c r="C480" s="24">
        <v>613447</v>
      </c>
      <c r="D480" s="20">
        <v>41151</v>
      </c>
      <c r="E480" s="25">
        <v>482</v>
      </c>
      <c r="F480" s="25">
        <v>4</v>
      </c>
      <c r="G480" s="25">
        <v>731</v>
      </c>
      <c r="H480" s="25">
        <v>0</v>
      </c>
      <c r="I480" s="25">
        <v>132</v>
      </c>
    </row>
    <row r="481" spans="1:9" x14ac:dyDescent="0.25">
      <c r="A481" s="42" t="s">
        <v>1355</v>
      </c>
      <c r="B481" s="42" t="s">
        <v>35</v>
      </c>
      <c r="C481" s="24">
        <v>611419</v>
      </c>
      <c r="D481" s="20">
        <v>41148</v>
      </c>
      <c r="E481" s="25">
        <v>466</v>
      </c>
      <c r="F481" s="25">
        <v>28</v>
      </c>
      <c r="G481" s="25">
        <v>5250</v>
      </c>
      <c r="H481" s="25">
        <v>16</v>
      </c>
      <c r="I481" s="25">
        <v>591</v>
      </c>
    </row>
    <row r="482" spans="1:9" x14ac:dyDescent="0.25">
      <c r="A482" s="42" t="s">
        <v>1356</v>
      </c>
      <c r="B482" s="42" t="s">
        <v>37</v>
      </c>
      <c r="C482" s="24">
        <v>610208</v>
      </c>
      <c r="D482" s="20">
        <v>41149</v>
      </c>
      <c r="E482" s="25">
        <v>477</v>
      </c>
      <c r="F482" s="25">
        <v>0</v>
      </c>
      <c r="G482" s="25">
        <v>0</v>
      </c>
      <c r="H482" s="25">
        <v>0</v>
      </c>
      <c r="I482" s="25">
        <v>0</v>
      </c>
    </row>
    <row r="483" spans="1:9" x14ac:dyDescent="0.25">
      <c r="A483" s="42" t="s">
        <v>1355</v>
      </c>
      <c r="B483" s="42" t="s">
        <v>36</v>
      </c>
      <c r="C483" s="24">
        <v>610832</v>
      </c>
      <c r="D483" s="20">
        <v>41143</v>
      </c>
      <c r="E483" s="25">
        <v>466</v>
      </c>
      <c r="F483" s="25">
        <v>19</v>
      </c>
      <c r="G483" s="25">
        <v>6395</v>
      </c>
      <c r="H483" s="25">
        <v>4</v>
      </c>
      <c r="I483" s="25">
        <v>23</v>
      </c>
    </row>
    <row r="484" spans="1:9" x14ac:dyDescent="0.25">
      <c r="A484" s="42" t="s">
        <v>1356</v>
      </c>
      <c r="B484" s="42" t="s">
        <v>37</v>
      </c>
      <c r="C484" s="24">
        <v>610208</v>
      </c>
      <c r="D484" s="20">
        <v>41133</v>
      </c>
      <c r="E484" s="25">
        <v>478</v>
      </c>
      <c r="F484" s="25">
        <v>12</v>
      </c>
      <c r="G484" s="25">
        <v>3120</v>
      </c>
      <c r="H484" s="25">
        <v>3</v>
      </c>
      <c r="I484" s="25">
        <v>0</v>
      </c>
    </row>
    <row r="485" spans="1:9" x14ac:dyDescent="0.25">
      <c r="A485" s="42" t="s">
        <v>1356</v>
      </c>
      <c r="B485" s="42" t="s">
        <v>37</v>
      </c>
      <c r="C485" s="24">
        <v>610208</v>
      </c>
      <c r="D485" s="20">
        <v>41130</v>
      </c>
      <c r="E485" s="25">
        <v>481</v>
      </c>
      <c r="F485" s="25">
        <v>2</v>
      </c>
      <c r="G485" s="25">
        <v>682</v>
      </c>
      <c r="H485" s="25">
        <v>0</v>
      </c>
      <c r="I485" s="25">
        <v>0</v>
      </c>
    </row>
    <row r="486" spans="1:9" x14ac:dyDescent="0.25">
      <c r="A486" s="42" t="s">
        <v>1355</v>
      </c>
      <c r="B486" s="42" t="s">
        <v>34</v>
      </c>
      <c r="C486" s="24">
        <v>613447</v>
      </c>
      <c r="D486" s="20">
        <v>41144</v>
      </c>
      <c r="E486" s="25">
        <v>465</v>
      </c>
      <c r="F486" s="25">
        <v>0</v>
      </c>
      <c r="G486" s="25">
        <v>0</v>
      </c>
      <c r="H486" s="25">
        <v>0</v>
      </c>
      <c r="I486" s="25">
        <v>0</v>
      </c>
    </row>
    <row r="487" spans="1:9" x14ac:dyDescent="0.25">
      <c r="A487" s="42" t="s">
        <v>1355</v>
      </c>
      <c r="B487" s="42" t="s">
        <v>34</v>
      </c>
      <c r="C487" s="24">
        <v>613447</v>
      </c>
      <c r="D487" s="20">
        <v>41145</v>
      </c>
      <c r="E487" s="25">
        <v>481</v>
      </c>
      <c r="F487" s="25">
        <v>0</v>
      </c>
      <c r="G487" s="25">
        <v>0</v>
      </c>
      <c r="H487" s="25">
        <v>0</v>
      </c>
      <c r="I487" s="25">
        <v>0</v>
      </c>
    </row>
    <row r="488" spans="1:9" x14ac:dyDescent="0.25">
      <c r="A488" s="42" t="s">
        <v>1355</v>
      </c>
      <c r="B488" s="42" t="s">
        <v>35</v>
      </c>
      <c r="C488" s="24">
        <v>611419</v>
      </c>
      <c r="D488" s="20">
        <v>41152</v>
      </c>
      <c r="E488" s="25">
        <v>478</v>
      </c>
      <c r="F488" s="25">
        <v>0</v>
      </c>
      <c r="G488" s="25">
        <v>0</v>
      </c>
      <c r="H488" s="25">
        <v>0</v>
      </c>
      <c r="I488" s="25">
        <v>0</v>
      </c>
    </row>
    <row r="489" spans="1:9" x14ac:dyDescent="0.25">
      <c r="A489" s="42" t="s">
        <v>1356</v>
      </c>
      <c r="B489" s="43" t="s">
        <v>39</v>
      </c>
      <c r="C489" s="24">
        <v>611704</v>
      </c>
      <c r="D489" s="20">
        <v>41124</v>
      </c>
      <c r="E489" s="25">
        <v>481</v>
      </c>
      <c r="F489" s="25">
        <v>0</v>
      </c>
      <c r="G489" s="25">
        <v>0</v>
      </c>
      <c r="H489" s="25">
        <v>0</v>
      </c>
      <c r="I489" s="25">
        <v>0</v>
      </c>
    </row>
    <row r="490" spans="1:9" x14ac:dyDescent="0.25">
      <c r="A490" s="42" t="s">
        <v>1356</v>
      </c>
      <c r="B490" s="42" t="s">
        <v>38</v>
      </c>
      <c r="C490" s="24">
        <v>610340</v>
      </c>
      <c r="D490" s="20">
        <v>41136</v>
      </c>
      <c r="E490" s="25">
        <v>467</v>
      </c>
      <c r="F490" s="25">
        <v>0</v>
      </c>
      <c r="G490" s="25">
        <v>0</v>
      </c>
      <c r="H490" s="25">
        <v>0</v>
      </c>
      <c r="I490" s="25">
        <v>0</v>
      </c>
    </row>
    <row r="491" spans="1:9" x14ac:dyDescent="0.25">
      <c r="A491" s="42" t="s">
        <v>1356</v>
      </c>
      <c r="B491" s="43" t="s">
        <v>39</v>
      </c>
      <c r="C491" s="24">
        <v>611704</v>
      </c>
      <c r="D491" s="20">
        <v>41138</v>
      </c>
      <c r="E491" s="25">
        <v>481</v>
      </c>
      <c r="F491" s="25">
        <v>0</v>
      </c>
      <c r="G491" s="25">
        <v>0</v>
      </c>
      <c r="H491" s="25">
        <v>0</v>
      </c>
      <c r="I491" s="25">
        <v>0</v>
      </c>
    </row>
    <row r="492" spans="1:9" x14ac:dyDescent="0.25">
      <c r="A492" s="42" t="s">
        <v>1356</v>
      </c>
      <c r="B492" s="43" t="s">
        <v>39</v>
      </c>
      <c r="C492" s="24">
        <v>611704</v>
      </c>
      <c r="D492" s="20">
        <v>41152</v>
      </c>
      <c r="E492" s="25">
        <v>466</v>
      </c>
      <c r="F492" s="25">
        <v>0</v>
      </c>
      <c r="G492" s="25">
        <v>0</v>
      </c>
      <c r="H492" s="25">
        <v>0</v>
      </c>
      <c r="I492" s="25">
        <v>0</v>
      </c>
    </row>
    <row r="493" spans="1:9" x14ac:dyDescent="0.25">
      <c r="A493" s="42" t="s">
        <v>1356</v>
      </c>
      <c r="B493" s="43" t="s">
        <v>39</v>
      </c>
      <c r="C493" s="24">
        <v>611704</v>
      </c>
      <c r="D493" s="20">
        <v>41139</v>
      </c>
      <c r="E493" s="25">
        <v>481</v>
      </c>
      <c r="F493" s="25">
        <v>0</v>
      </c>
      <c r="G493" s="25">
        <v>0</v>
      </c>
      <c r="H493" s="25">
        <v>0</v>
      </c>
      <c r="I493" s="25">
        <v>0</v>
      </c>
    </row>
    <row r="494" spans="1:9" x14ac:dyDescent="0.25">
      <c r="A494" s="42" t="s">
        <v>1356</v>
      </c>
      <c r="B494" s="42" t="s">
        <v>38</v>
      </c>
      <c r="C494" s="24">
        <v>610340</v>
      </c>
      <c r="D494" s="20">
        <v>41122</v>
      </c>
      <c r="E494" s="25">
        <v>477</v>
      </c>
      <c r="F494" s="25">
        <v>60</v>
      </c>
      <c r="G494" s="25">
        <v>15117</v>
      </c>
      <c r="H494" s="25">
        <v>2</v>
      </c>
      <c r="I494" s="25">
        <v>0</v>
      </c>
    </row>
    <row r="495" spans="1:9" x14ac:dyDescent="0.25">
      <c r="A495" s="42" t="s">
        <v>1355</v>
      </c>
      <c r="B495" s="42" t="s">
        <v>36</v>
      </c>
      <c r="C495" s="24">
        <v>610832</v>
      </c>
      <c r="D495" s="20">
        <v>41143</v>
      </c>
      <c r="E495" s="25">
        <v>478</v>
      </c>
      <c r="F495" s="25">
        <v>4</v>
      </c>
      <c r="G495" s="25">
        <v>841</v>
      </c>
      <c r="H495" s="25">
        <v>1</v>
      </c>
      <c r="I495" s="25">
        <v>6</v>
      </c>
    </row>
    <row r="496" spans="1:9" x14ac:dyDescent="0.25">
      <c r="A496" s="42" t="s">
        <v>1355</v>
      </c>
      <c r="B496" s="42" t="s">
        <v>35</v>
      </c>
      <c r="C496" s="24">
        <v>611419</v>
      </c>
      <c r="D496" s="20">
        <v>41127</v>
      </c>
      <c r="E496" s="25">
        <v>790</v>
      </c>
      <c r="F496" s="25">
        <v>0</v>
      </c>
      <c r="G496" s="25">
        <v>0</v>
      </c>
      <c r="H496" s="25">
        <v>0</v>
      </c>
      <c r="I496" s="25">
        <v>0</v>
      </c>
    </row>
    <row r="497" spans="1:9" x14ac:dyDescent="0.25">
      <c r="A497" s="42" t="s">
        <v>1356</v>
      </c>
      <c r="B497" s="43" t="s">
        <v>39</v>
      </c>
      <c r="C497" s="24">
        <v>611704</v>
      </c>
      <c r="D497" s="20">
        <v>41135</v>
      </c>
      <c r="E497" s="25">
        <v>477</v>
      </c>
      <c r="F497" s="25">
        <v>46</v>
      </c>
      <c r="G497" s="25">
        <v>13693</v>
      </c>
      <c r="H497" s="25">
        <v>4</v>
      </c>
      <c r="I497" s="25">
        <v>9</v>
      </c>
    </row>
    <row r="498" spans="1:9" x14ac:dyDescent="0.25">
      <c r="A498" s="42" t="s">
        <v>1356</v>
      </c>
      <c r="B498" s="42" t="s">
        <v>37</v>
      </c>
      <c r="C498" s="24">
        <v>610208</v>
      </c>
      <c r="D498" s="20">
        <v>41134</v>
      </c>
      <c r="E498" s="25">
        <v>477</v>
      </c>
      <c r="F498" s="25">
        <v>58</v>
      </c>
      <c r="G498" s="25">
        <v>16595</v>
      </c>
      <c r="H498" s="25">
        <v>20</v>
      </c>
      <c r="I498" s="25">
        <v>0</v>
      </c>
    </row>
    <row r="499" spans="1:9" x14ac:dyDescent="0.25">
      <c r="A499" s="42" t="s">
        <v>1355</v>
      </c>
      <c r="B499" s="42" t="s">
        <v>35</v>
      </c>
      <c r="C499" s="24">
        <v>611419</v>
      </c>
      <c r="D499" s="20">
        <v>41124</v>
      </c>
      <c r="E499" s="25">
        <v>477</v>
      </c>
      <c r="F499" s="25">
        <v>25</v>
      </c>
      <c r="G499" s="25">
        <v>6840</v>
      </c>
      <c r="H499" s="25">
        <v>19</v>
      </c>
      <c r="I499" s="25">
        <v>0</v>
      </c>
    </row>
    <row r="500" spans="1:9" x14ac:dyDescent="0.25">
      <c r="A500" s="42" t="s">
        <v>1356</v>
      </c>
      <c r="B500" s="43" t="s">
        <v>39</v>
      </c>
      <c r="C500" s="24">
        <v>611704</v>
      </c>
      <c r="D500" s="20">
        <v>41122</v>
      </c>
      <c r="E500" s="25">
        <v>85</v>
      </c>
      <c r="F500" s="25">
        <v>0</v>
      </c>
      <c r="G500" s="25">
        <v>0</v>
      </c>
      <c r="H500" s="25">
        <v>0</v>
      </c>
      <c r="I500" s="25">
        <v>0</v>
      </c>
    </row>
    <row r="501" spans="1:9" x14ac:dyDescent="0.25">
      <c r="A501" s="42" t="s">
        <v>1355</v>
      </c>
      <c r="B501" s="42" t="s">
        <v>34</v>
      </c>
      <c r="C501" s="24">
        <v>613447</v>
      </c>
      <c r="D501" s="20">
        <v>41146</v>
      </c>
      <c r="E501" s="25">
        <v>480</v>
      </c>
      <c r="F501" s="25">
        <v>14</v>
      </c>
      <c r="G501" s="25">
        <v>3501</v>
      </c>
      <c r="H501" s="25">
        <v>0</v>
      </c>
      <c r="I501" s="25">
        <v>0</v>
      </c>
    </row>
    <row r="502" spans="1:9" x14ac:dyDescent="0.25">
      <c r="A502" s="42" t="s">
        <v>1356</v>
      </c>
      <c r="B502" s="42" t="s">
        <v>38</v>
      </c>
      <c r="C502" s="24">
        <v>610340</v>
      </c>
      <c r="D502" s="20">
        <v>41150</v>
      </c>
      <c r="E502" s="25">
        <v>467</v>
      </c>
      <c r="F502" s="25">
        <v>0</v>
      </c>
      <c r="G502" s="25">
        <v>0</v>
      </c>
      <c r="H502" s="25">
        <v>0</v>
      </c>
      <c r="I502" s="25">
        <v>0</v>
      </c>
    </row>
    <row r="503" spans="1:9" x14ac:dyDescent="0.25">
      <c r="A503" s="42" t="s">
        <v>1355</v>
      </c>
      <c r="B503" s="42" t="s">
        <v>36</v>
      </c>
      <c r="C503" s="24">
        <v>610832</v>
      </c>
      <c r="D503" s="20">
        <v>41141</v>
      </c>
      <c r="E503" s="25">
        <v>467</v>
      </c>
      <c r="F503" s="25">
        <v>0</v>
      </c>
      <c r="G503" s="25">
        <v>0</v>
      </c>
      <c r="H503" s="25">
        <v>0</v>
      </c>
      <c r="I503" s="25">
        <v>0</v>
      </c>
    </row>
    <row r="504" spans="1:9" x14ac:dyDescent="0.25">
      <c r="A504" s="42" t="s">
        <v>1356</v>
      </c>
      <c r="B504" s="42" t="s">
        <v>38</v>
      </c>
      <c r="C504" s="24">
        <v>610340</v>
      </c>
      <c r="D504" s="20">
        <v>41129</v>
      </c>
      <c r="E504" s="25">
        <v>85</v>
      </c>
      <c r="F504" s="25">
        <v>0</v>
      </c>
      <c r="G504" s="25">
        <v>0</v>
      </c>
      <c r="H504" s="25">
        <v>0</v>
      </c>
      <c r="I504" s="25">
        <v>0</v>
      </c>
    </row>
    <row r="505" spans="1:9" x14ac:dyDescent="0.25">
      <c r="A505" s="42" t="s">
        <v>1356</v>
      </c>
      <c r="B505" s="43" t="s">
        <v>39</v>
      </c>
      <c r="C505" s="24">
        <v>611704</v>
      </c>
      <c r="D505" s="20">
        <v>41152</v>
      </c>
      <c r="E505" s="25">
        <v>790</v>
      </c>
      <c r="F505" s="25">
        <v>0</v>
      </c>
      <c r="G505" s="25">
        <v>0</v>
      </c>
      <c r="H505" s="25">
        <v>0</v>
      </c>
      <c r="I505" s="25">
        <v>0</v>
      </c>
    </row>
    <row r="506" spans="1:9" x14ac:dyDescent="0.25">
      <c r="A506" s="42" t="s">
        <v>1356</v>
      </c>
      <c r="B506" s="42" t="s">
        <v>38</v>
      </c>
      <c r="C506" s="24">
        <v>610340</v>
      </c>
      <c r="D506" s="20">
        <v>41150</v>
      </c>
      <c r="E506" s="25">
        <v>482</v>
      </c>
      <c r="F506" s="25">
        <v>5</v>
      </c>
      <c r="G506" s="25">
        <v>1119</v>
      </c>
      <c r="H506" s="25">
        <v>0</v>
      </c>
      <c r="I506" s="25">
        <v>0</v>
      </c>
    </row>
    <row r="507" spans="1:9" x14ac:dyDescent="0.25">
      <c r="A507" s="42" t="s">
        <v>1356</v>
      </c>
      <c r="B507" s="42" t="s">
        <v>38</v>
      </c>
      <c r="C507" s="24">
        <v>610340</v>
      </c>
      <c r="D507" s="20">
        <v>41131</v>
      </c>
      <c r="E507" s="25">
        <v>790</v>
      </c>
      <c r="F507" s="25">
        <v>0</v>
      </c>
      <c r="G507" s="25">
        <v>0</v>
      </c>
      <c r="H507" s="25">
        <v>0</v>
      </c>
      <c r="I507" s="25">
        <v>0</v>
      </c>
    </row>
    <row r="508" spans="1:9" x14ac:dyDescent="0.25">
      <c r="A508" s="42" t="s">
        <v>1356</v>
      </c>
      <c r="B508" s="42" t="s">
        <v>38</v>
      </c>
      <c r="C508" s="24">
        <v>610340</v>
      </c>
      <c r="D508" s="20">
        <v>41144</v>
      </c>
      <c r="E508" s="25">
        <v>480</v>
      </c>
      <c r="F508" s="25">
        <v>2</v>
      </c>
      <c r="G508" s="25">
        <v>183</v>
      </c>
      <c r="H508" s="25">
        <v>0</v>
      </c>
      <c r="I508" s="25">
        <v>0</v>
      </c>
    </row>
    <row r="509" spans="1:9" x14ac:dyDescent="0.25">
      <c r="A509" s="42" t="s">
        <v>1356</v>
      </c>
      <c r="B509" s="42" t="s">
        <v>37</v>
      </c>
      <c r="C509" s="24">
        <v>610208</v>
      </c>
      <c r="D509" s="20">
        <v>41146</v>
      </c>
      <c r="E509" s="25">
        <v>475</v>
      </c>
      <c r="F509" s="25">
        <v>1</v>
      </c>
      <c r="G509" s="25">
        <v>148</v>
      </c>
      <c r="H509" s="25">
        <v>0</v>
      </c>
      <c r="I509" s="25">
        <v>0</v>
      </c>
    </row>
    <row r="510" spans="1:9" x14ac:dyDescent="0.25">
      <c r="A510" s="42" t="s">
        <v>1356</v>
      </c>
      <c r="B510" s="43" t="s">
        <v>39</v>
      </c>
      <c r="C510" s="24">
        <v>611704</v>
      </c>
      <c r="D510" s="20">
        <v>41151</v>
      </c>
      <c r="E510" s="25">
        <v>481</v>
      </c>
      <c r="F510" s="25">
        <v>0</v>
      </c>
      <c r="G510" s="25">
        <v>0</v>
      </c>
      <c r="H510" s="25">
        <v>0</v>
      </c>
      <c r="I510" s="25">
        <v>0</v>
      </c>
    </row>
    <row r="511" spans="1:9" x14ac:dyDescent="0.25">
      <c r="A511" s="42" t="s">
        <v>1355</v>
      </c>
      <c r="B511" s="42" t="s">
        <v>35</v>
      </c>
      <c r="C511" s="24">
        <v>611419</v>
      </c>
      <c r="D511" s="20">
        <v>41152</v>
      </c>
      <c r="E511" s="25">
        <v>465</v>
      </c>
      <c r="F511" s="25">
        <v>0</v>
      </c>
      <c r="G511" s="25">
        <v>0</v>
      </c>
      <c r="H511" s="25">
        <v>0</v>
      </c>
      <c r="I511" s="25">
        <v>0</v>
      </c>
    </row>
    <row r="512" spans="1:9" x14ac:dyDescent="0.25">
      <c r="A512" s="42" t="s">
        <v>1355</v>
      </c>
      <c r="B512" s="42" t="s">
        <v>35</v>
      </c>
      <c r="C512" s="24">
        <v>611419</v>
      </c>
      <c r="D512" s="20">
        <v>41144</v>
      </c>
      <c r="E512" s="25">
        <v>477</v>
      </c>
      <c r="F512" s="25">
        <v>6</v>
      </c>
      <c r="G512" s="25">
        <v>1541</v>
      </c>
      <c r="H512" s="25">
        <v>4</v>
      </c>
      <c r="I512" s="25">
        <v>331</v>
      </c>
    </row>
    <row r="513" spans="1:9" x14ac:dyDescent="0.25">
      <c r="A513" s="42" t="s">
        <v>1355</v>
      </c>
      <c r="B513" s="42" t="s">
        <v>34</v>
      </c>
      <c r="C513" s="24">
        <v>613447</v>
      </c>
      <c r="D513" s="20">
        <v>41138</v>
      </c>
      <c r="E513" s="25">
        <v>466</v>
      </c>
      <c r="F513" s="25">
        <v>23</v>
      </c>
      <c r="G513" s="25">
        <v>6872</v>
      </c>
      <c r="H513" s="25">
        <v>0</v>
      </c>
      <c r="I513" s="25">
        <v>505</v>
      </c>
    </row>
    <row r="514" spans="1:9" x14ac:dyDescent="0.25">
      <c r="A514" s="42" t="s">
        <v>1356</v>
      </c>
      <c r="B514" s="42" t="s">
        <v>38</v>
      </c>
      <c r="C514" s="24">
        <v>610340</v>
      </c>
      <c r="D514" s="20">
        <v>41126</v>
      </c>
      <c r="E514" s="25">
        <v>481</v>
      </c>
      <c r="F514" s="25">
        <v>0</v>
      </c>
      <c r="G514" s="25">
        <v>0</v>
      </c>
      <c r="H514" s="25">
        <v>0</v>
      </c>
      <c r="I514" s="25">
        <v>0</v>
      </c>
    </row>
    <row r="515" spans="1:9" x14ac:dyDescent="0.25">
      <c r="A515" s="42" t="s">
        <v>1355</v>
      </c>
      <c r="B515" s="42" t="s">
        <v>34</v>
      </c>
      <c r="C515" s="24">
        <v>613447</v>
      </c>
      <c r="D515" s="20">
        <v>41142</v>
      </c>
      <c r="E515" s="25">
        <v>790</v>
      </c>
      <c r="F515" s="25">
        <v>0</v>
      </c>
      <c r="G515" s="25">
        <v>0</v>
      </c>
      <c r="H515" s="25">
        <v>0</v>
      </c>
      <c r="I515" s="25">
        <v>0</v>
      </c>
    </row>
    <row r="516" spans="1:9" x14ac:dyDescent="0.25">
      <c r="A516" s="42" t="s">
        <v>1355</v>
      </c>
      <c r="B516" s="42" t="s">
        <v>34</v>
      </c>
      <c r="C516" s="24">
        <v>613447</v>
      </c>
      <c r="D516" s="20">
        <v>41141</v>
      </c>
      <c r="E516" s="25">
        <v>478</v>
      </c>
      <c r="F516" s="25">
        <v>2</v>
      </c>
      <c r="G516" s="25">
        <v>635</v>
      </c>
      <c r="H516" s="25">
        <v>0</v>
      </c>
      <c r="I516" s="25">
        <v>49</v>
      </c>
    </row>
    <row r="517" spans="1:9" x14ac:dyDescent="0.25">
      <c r="A517" s="42" t="s">
        <v>1356</v>
      </c>
      <c r="B517" s="43" t="s">
        <v>39</v>
      </c>
      <c r="C517" s="24">
        <v>611704</v>
      </c>
      <c r="D517" s="20">
        <v>41138</v>
      </c>
      <c r="E517" s="25">
        <v>85</v>
      </c>
      <c r="F517" s="25">
        <v>0</v>
      </c>
      <c r="G517" s="25">
        <v>0</v>
      </c>
      <c r="H517" s="25">
        <v>0</v>
      </c>
      <c r="I517" s="25">
        <v>0</v>
      </c>
    </row>
    <row r="518" spans="1:9" x14ac:dyDescent="0.25">
      <c r="A518" s="42" t="s">
        <v>1356</v>
      </c>
      <c r="B518" s="43" t="s">
        <v>39</v>
      </c>
      <c r="C518" s="24">
        <v>611704</v>
      </c>
      <c r="D518" s="20">
        <v>41141</v>
      </c>
      <c r="E518" s="25">
        <v>465</v>
      </c>
      <c r="F518" s="25">
        <v>0</v>
      </c>
      <c r="G518" s="25">
        <v>0</v>
      </c>
      <c r="H518" s="25">
        <v>0</v>
      </c>
      <c r="I518" s="25">
        <v>0</v>
      </c>
    </row>
    <row r="519" spans="1:9" x14ac:dyDescent="0.25">
      <c r="A519" s="42" t="s">
        <v>1355</v>
      </c>
      <c r="B519" s="42" t="s">
        <v>36</v>
      </c>
      <c r="C519" s="24">
        <v>610832</v>
      </c>
      <c r="D519" s="20">
        <v>41142</v>
      </c>
      <c r="E519" s="25">
        <v>85</v>
      </c>
      <c r="F519" s="25">
        <v>0</v>
      </c>
      <c r="G519" s="25">
        <v>0</v>
      </c>
      <c r="H519" s="25">
        <v>0</v>
      </c>
      <c r="I519" s="25">
        <v>0</v>
      </c>
    </row>
    <row r="520" spans="1:9" x14ac:dyDescent="0.25">
      <c r="A520" s="42" t="s">
        <v>1356</v>
      </c>
      <c r="B520" s="42" t="s">
        <v>37</v>
      </c>
      <c r="C520" s="24">
        <v>610208</v>
      </c>
      <c r="D520" s="20">
        <v>41136</v>
      </c>
      <c r="E520" s="25">
        <v>482</v>
      </c>
      <c r="F520" s="25">
        <v>19</v>
      </c>
      <c r="G520" s="25">
        <v>5193</v>
      </c>
      <c r="H520" s="25">
        <v>0</v>
      </c>
      <c r="I520" s="25">
        <v>0</v>
      </c>
    </row>
    <row r="521" spans="1:9" x14ac:dyDescent="0.25">
      <c r="A521" s="42" t="s">
        <v>1356</v>
      </c>
      <c r="B521" s="42" t="s">
        <v>38</v>
      </c>
      <c r="C521" s="24">
        <v>610340</v>
      </c>
      <c r="D521" s="20">
        <v>41132</v>
      </c>
      <c r="E521" s="25">
        <v>477</v>
      </c>
      <c r="F521" s="25">
        <v>32</v>
      </c>
      <c r="G521" s="25">
        <v>6711</v>
      </c>
      <c r="H521" s="25">
        <v>0</v>
      </c>
      <c r="I521" s="25">
        <v>0</v>
      </c>
    </row>
    <row r="522" spans="1:9" x14ac:dyDescent="0.25">
      <c r="A522" s="42" t="s">
        <v>1356</v>
      </c>
      <c r="B522" s="42" t="s">
        <v>38</v>
      </c>
      <c r="C522" s="24">
        <v>610340</v>
      </c>
      <c r="D522" s="20">
        <v>41136</v>
      </c>
      <c r="E522" s="25">
        <v>477</v>
      </c>
      <c r="F522" s="25">
        <v>1</v>
      </c>
      <c r="G522" s="25">
        <v>128</v>
      </c>
      <c r="H522" s="25">
        <v>0</v>
      </c>
      <c r="I522" s="25">
        <v>0</v>
      </c>
    </row>
    <row r="523" spans="1:9" x14ac:dyDescent="0.25">
      <c r="A523" s="42" t="s">
        <v>1356</v>
      </c>
      <c r="B523" s="42" t="s">
        <v>37</v>
      </c>
      <c r="C523" s="24">
        <v>610208</v>
      </c>
      <c r="D523" s="20">
        <v>41138</v>
      </c>
      <c r="E523" s="25">
        <v>467</v>
      </c>
      <c r="F523" s="25">
        <v>0</v>
      </c>
      <c r="G523" s="25">
        <v>0</v>
      </c>
      <c r="H523" s="25">
        <v>0</v>
      </c>
      <c r="I523" s="25">
        <v>0</v>
      </c>
    </row>
    <row r="524" spans="1:9" x14ac:dyDescent="0.25">
      <c r="A524" s="42" t="s">
        <v>1356</v>
      </c>
      <c r="B524" s="42" t="s">
        <v>37</v>
      </c>
      <c r="C524" s="24">
        <v>610208</v>
      </c>
      <c r="D524" s="20">
        <v>41128</v>
      </c>
      <c r="E524" s="25">
        <v>477</v>
      </c>
      <c r="F524" s="25">
        <v>42</v>
      </c>
      <c r="G524" s="25">
        <v>12830</v>
      </c>
      <c r="H524" s="25">
        <v>7</v>
      </c>
      <c r="I524" s="25">
        <v>0</v>
      </c>
    </row>
    <row r="525" spans="1:9" x14ac:dyDescent="0.25">
      <c r="A525" s="42" t="s">
        <v>1355</v>
      </c>
      <c r="B525" s="42" t="s">
        <v>35</v>
      </c>
      <c r="C525" s="24">
        <v>611419</v>
      </c>
      <c r="D525" s="20">
        <v>41141</v>
      </c>
      <c r="E525" s="25">
        <v>466</v>
      </c>
      <c r="F525" s="25">
        <v>19</v>
      </c>
      <c r="G525" s="25">
        <v>4348</v>
      </c>
      <c r="H525" s="25">
        <v>13</v>
      </c>
      <c r="I525" s="25">
        <v>198</v>
      </c>
    </row>
    <row r="526" spans="1:9" x14ac:dyDescent="0.25">
      <c r="A526" s="42" t="s">
        <v>1356</v>
      </c>
      <c r="B526" s="43" t="s">
        <v>39</v>
      </c>
      <c r="C526" s="24">
        <v>611704</v>
      </c>
      <c r="D526" s="20">
        <v>41142</v>
      </c>
      <c r="E526" s="25">
        <v>85</v>
      </c>
      <c r="F526" s="25">
        <v>0</v>
      </c>
      <c r="G526" s="25">
        <v>0</v>
      </c>
      <c r="H526" s="25">
        <v>0</v>
      </c>
      <c r="I526" s="25">
        <v>0</v>
      </c>
    </row>
    <row r="527" spans="1:9" x14ac:dyDescent="0.25">
      <c r="A527" s="42" t="s">
        <v>1356</v>
      </c>
      <c r="B527" s="43" t="s">
        <v>39</v>
      </c>
      <c r="C527" s="24">
        <v>611704</v>
      </c>
      <c r="D527" s="20">
        <v>41128</v>
      </c>
      <c r="E527" s="25">
        <v>477</v>
      </c>
      <c r="F527" s="25">
        <v>58</v>
      </c>
      <c r="G527" s="25">
        <v>15337</v>
      </c>
      <c r="H527" s="25">
        <v>20</v>
      </c>
      <c r="I527" s="25">
        <v>14</v>
      </c>
    </row>
    <row r="528" spans="1:9" x14ac:dyDescent="0.25">
      <c r="A528" s="42" t="s">
        <v>1356</v>
      </c>
      <c r="B528" s="42" t="s">
        <v>38</v>
      </c>
      <c r="C528" s="24">
        <v>610340</v>
      </c>
      <c r="D528" s="20">
        <v>41141</v>
      </c>
      <c r="E528" s="25">
        <v>466</v>
      </c>
      <c r="F528" s="25">
        <v>40</v>
      </c>
      <c r="G528" s="25">
        <v>7844</v>
      </c>
      <c r="H528" s="25">
        <v>9</v>
      </c>
      <c r="I528" s="25">
        <v>0</v>
      </c>
    </row>
    <row r="529" spans="1:9" x14ac:dyDescent="0.25">
      <c r="A529" s="42" t="s">
        <v>1356</v>
      </c>
      <c r="B529" s="42" t="s">
        <v>38</v>
      </c>
      <c r="C529" s="24">
        <v>610340</v>
      </c>
      <c r="D529" s="20">
        <v>41127</v>
      </c>
      <c r="E529" s="25">
        <v>478</v>
      </c>
      <c r="F529" s="25">
        <v>8</v>
      </c>
      <c r="G529" s="25">
        <v>1884</v>
      </c>
      <c r="H529" s="25">
        <v>0</v>
      </c>
      <c r="I529" s="25">
        <v>0</v>
      </c>
    </row>
    <row r="530" spans="1:9" x14ac:dyDescent="0.25">
      <c r="A530" s="42" t="s">
        <v>1356</v>
      </c>
      <c r="B530" s="42" t="s">
        <v>38</v>
      </c>
      <c r="C530" s="24">
        <v>610340</v>
      </c>
      <c r="D530" s="20">
        <v>41139</v>
      </c>
      <c r="E530" s="25">
        <v>482</v>
      </c>
      <c r="F530" s="25">
        <v>37</v>
      </c>
      <c r="G530" s="25">
        <v>9352</v>
      </c>
      <c r="H530" s="25">
        <v>6</v>
      </c>
      <c r="I530" s="25">
        <v>0</v>
      </c>
    </row>
    <row r="531" spans="1:9" x14ac:dyDescent="0.25">
      <c r="A531" s="42" t="s">
        <v>1355</v>
      </c>
      <c r="B531" s="42" t="s">
        <v>34</v>
      </c>
      <c r="C531" s="24">
        <v>613447</v>
      </c>
      <c r="D531" s="20">
        <v>41152</v>
      </c>
      <c r="E531" s="25">
        <v>466</v>
      </c>
      <c r="F531" s="25">
        <v>2</v>
      </c>
      <c r="G531" s="25">
        <v>357</v>
      </c>
      <c r="H531" s="25">
        <v>0</v>
      </c>
      <c r="I531" s="25">
        <v>21</v>
      </c>
    </row>
    <row r="532" spans="1:9" x14ac:dyDescent="0.25">
      <c r="A532" s="42" t="s">
        <v>1355</v>
      </c>
      <c r="B532" s="42" t="s">
        <v>36</v>
      </c>
      <c r="C532" s="24">
        <v>610832</v>
      </c>
      <c r="D532" s="20">
        <v>41152</v>
      </c>
      <c r="E532" s="25">
        <v>465</v>
      </c>
      <c r="F532" s="25">
        <v>0</v>
      </c>
      <c r="G532" s="25">
        <v>0</v>
      </c>
      <c r="H532" s="25">
        <v>0</v>
      </c>
      <c r="I532" s="25">
        <v>0</v>
      </c>
    </row>
    <row r="533" spans="1:9" x14ac:dyDescent="0.25">
      <c r="A533" s="42" t="s">
        <v>1356</v>
      </c>
      <c r="B533" s="43" t="s">
        <v>39</v>
      </c>
      <c r="C533" s="24">
        <v>611704</v>
      </c>
      <c r="D533" s="20">
        <v>41149</v>
      </c>
      <c r="E533" s="25">
        <v>790</v>
      </c>
      <c r="F533" s="25">
        <v>0</v>
      </c>
      <c r="G533" s="25">
        <v>0</v>
      </c>
      <c r="H533" s="25">
        <v>0</v>
      </c>
      <c r="I533" s="25">
        <v>0</v>
      </c>
    </row>
    <row r="534" spans="1:9" x14ac:dyDescent="0.25">
      <c r="A534" s="42" t="s">
        <v>1355</v>
      </c>
      <c r="B534" s="42" t="s">
        <v>34</v>
      </c>
      <c r="C534" s="24">
        <v>613447</v>
      </c>
      <c r="D534" s="20">
        <v>41144</v>
      </c>
      <c r="E534" s="25">
        <v>482</v>
      </c>
      <c r="F534" s="25">
        <v>11</v>
      </c>
      <c r="G534" s="25">
        <v>2736</v>
      </c>
      <c r="H534" s="25">
        <v>0</v>
      </c>
      <c r="I534" s="25">
        <v>94</v>
      </c>
    </row>
    <row r="535" spans="1:9" x14ac:dyDescent="0.25">
      <c r="A535" s="42" t="s">
        <v>1356</v>
      </c>
      <c r="B535" s="42" t="s">
        <v>38</v>
      </c>
      <c r="C535" s="24">
        <v>610340</v>
      </c>
      <c r="D535" s="20">
        <v>41132</v>
      </c>
      <c r="E535" s="25">
        <v>478</v>
      </c>
      <c r="F535" s="25">
        <v>13</v>
      </c>
      <c r="G535" s="25">
        <v>3513</v>
      </c>
      <c r="H535" s="25">
        <v>0</v>
      </c>
      <c r="I535" s="25">
        <v>0</v>
      </c>
    </row>
    <row r="536" spans="1:9" x14ac:dyDescent="0.25">
      <c r="A536" s="42" t="s">
        <v>1355</v>
      </c>
      <c r="B536" s="42" t="s">
        <v>35</v>
      </c>
      <c r="C536" s="24">
        <v>611419</v>
      </c>
      <c r="D536" s="20">
        <v>41148</v>
      </c>
      <c r="E536" s="25">
        <v>477</v>
      </c>
      <c r="F536" s="25">
        <v>17</v>
      </c>
      <c r="G536" s="25">
        <v>3273</v>
      </c>
      <c r="H536" s="25">
        <v>27</v>
      </c>
      <c r="I536" s="25">
        <v>405</v>
      </c>
    </row>
    <row r="537" spans="1:9" x14ac:dyDescent="0.25">
      <c r="A537" s="42" t="s">
        <v>1355</v>
      </c>
      <c r="B537" s="42" t="s">
        <v>34</v>
      </c>
      <c r="C537" s="24">
        <v>613447</v>
      </c>
      <c r="D537" s="20">
        <v>41138</v>
      </c>
      <c r="E537" s="25">
        <v>467</v>
      </c>
      <c r="F537" s="25">
        <v>0</v>
      </c>
      <c r="G537" s="25">
        <v>0</v>
      </c>
      <c r="H537" s="25">
        <v>0</v>
      </c>
      <c r="I537" s="25">
        <v>0</v>
      </c>
    </row>
    <row r="538" spans="1:9" x14ac:dyDescent="0.25">
      <c r="A538" s="42" t="s">
        <v>1356</v>
      </c>
      <c r="B538" s="42" t="s">
        <v>38</v>
      </c>
      <c r="C538" s="24">
        <v>610340</v>
      </c>
      <c r="D538" s="20">
        <v>41142</v>
      </c>
      <c r="E538" s="25">
        <v>466</v>
      </c>
      <c r="F538" s="25">
        <v>47</v>
      </c>
      <c r="G538" s="25">
        <v>8879</v>
      </c>
      <c r="H538" s="25">
        <v>7</v>
      </c>
      <c r="I538" s="25">
        <v>11</v>
      </c>
    </row>
    <row r="539" spans="1:9" x14ac:dyDescent="0.25">
      <c r="A539" s="42" t="s">
        <v>1356</v>
      </c>
      <c r="B539" s="43" t="s">
        <v>39</v>
      </c>
      <c r="C539" s="24">
        <v>611704</v>
      </c>
      <c r="D539" s="20">
        <v>41148</v>
      </c>
      <c r="E539" s="25">
        <v>790</v>
      </c>
      <c r="F539" s="25">
        <v>0</v>
      </c>
      <c r="G539" s="25">
        <v>0</v>
      </c>
      <c r="H539" s="25">
        <v>0</v>
      </c>
      <c r="I539" s="25">
        <v>0</v>
      </c>
    </row>
    <row r="540" spans="1:9" x14ac:dyDescent="0.25">
      <c r="A540" s="42" t="s">
        <v>1356</v>
      </c>
      <c r="B540" s="42" t="s">
        <v>37</v>
      </c>
      <c r="C540" s="24">
        <v>610208</v>
      </c>
      <c r="D540" s="20">
        <v>41129</v>
      </c>
      <c r="E540" s="25">
        <v>790</v>
      </c>
      <c r="F540" s="25">
        <v>0</v>
      </c>
      <c r="G540" s="25">
        <v>0</v>
      </c>
      <c r="H540" s="25">
        <v>0</v>
      </c>
      <c r="I540" s="25">
        <v>0</v>
      </c>
    </row>
    <row r="541" spans="1:9" x14ac:dyDescent="0.25">
      <c r="A541" s="42" t="s">
        <v>1356</v>
      </c>
      <c r="B541" s="42" t="s">
        <v>38</v>
      </c>
      <c r="C541" s="24">
        <v>610340</v>
      </c>
      <c r="D541" s="20">
        <v>41141</v>
      </c>
      <c r="E541" s="25">
        <v>790</v>
      </c>
      <c r="F541" s="25">
        <v>0</v>
      </c>
      <c r="G541" s="25">
        <v>0</v>
      </c>
      <c r="H541" s="25">
        <v>0</v>
      </c>
      <c r="I541" s="25">
        <v>0</v>
      </c>
    </row>
    <row r="542" spans="1:9" x14ac:dyDescent="0.25">
      <c r="A542" s="42" t="s">
        <v>1356</v>
      </c>
      <c r="B542" s="43" t="s">
        <v>39</v>
      </c>
      <c r="C542" s="24">
        <v>611704</v>
      </c>
      <c r="D542" s="20">
        <v>41141</v>
      </c>
      <c r="E542" s="25">
        <v>466</v>
      </c>
      <c r="F542" s="25">
        <v>17</v>
      </c>
      <c r="G542" s="25">
        <v>5497</v>
      </c>
      <c r="H542" s="25">
        <v>0</v>
      </c>
      <c r="I542" s="25">
        <v>5</v>
      </c>
    </row>
    <row r="543" spans="1:9" x14ac:dyDescent="0.25">
      <c r="A543" s="42" t="s">
        <v>1356</v>
      </c>
      <c r="B543" s="42" t="s">
        <v>38</v>
      </c>
      <c r="C543" s="24">
        <v>610340</v>
      </c>
      <c r="D543" s="20">
        <v>41134</v>
      </c>
      <c r="E543" s="25">
        <v>481</v>
      </c>
      <c r="F543" s="25">
        <v>0</v>
      </c>
      <c r="G543" s="25">
        <v>0</v>
      </c>
      <c r="H543" s="25">
        <v>0</v>
      </c>
      <c r="I543" s="25">
        <v>0</v>
      </c>
    </row>
    <row r="544" spans="1:9" x14ac:dyDescent="0.25">
      <c r="A544" s="42" t="s">
        <v>1356</v>
      </c>
      <c r="B544" s="42" t="s">
        <v>38</v>
      </c>
      <c r="C544" s="24">
        <v>610340</v>
      </c>
      <c r="D544" s="20">
        <v>41124</v>
      </c>
      <c r="E544" s="25">
        <v>790</v>
      </c>
      <c r="F544" s="25">
        <v>0</v>
      </c>
      <c r="G544" s="25">
        <v>0</v>
      </c>
      <c r="H544" s="25">
        <v>0</v>
      </c>
      <c r="I544" s="25">
        <v>0</v>
      </c>
    </row>
    <row r="545" spans="1:9" x14ac:dyDescent="0.25">
      <c r="A545" s="42" t="s">
        <v>1355</v>
      </c>
      <c r="B545" s="42" t="s">
        <v>36</v>
      </c>
      <c r="C545" s="24">
        <v>610832</v>
      </c>
      <c r="D545" s="20">
        <v>41149</v>
      </c>
      <c r="E545" s="25">
        <v>85</v>
      </c>
      <c r="F545" s="25">
        <v>0</v>
      </c>
      <c r="G545" s="25">
        <v>0</v>
      </c>
      <c r="H545" s="25">
        <v>0</v>
      </c>
      <c r="I545" s="25">
        <v>0</v>
      </c>
    </row>
    <row r="546" spans="1:9" x14ac:dyDescent="0.25">
      <c r="A546" s="42" t="s">
        <v>1355</v>
      </c>
      <c r="B546" s="42" t="s">
        <v>36</v>
      </c>
      <c r="C546" s="24">
        <v>610832</v>
      </c>
      <c r="D546" s="20">
        <v>41142</v>
      </c>
      <c r="E546" s="25">
        <v>481</v>
      </c>
      <c r="F546" s="25">
        <v>0</v>
      </c>
      <c r="G546" s="25">
        <v>0</v>
      </c>
      <c r="H546" s="25">
        <v>0</v>
      </c>
      <c r="I546" s="25">
        <v>0</v>
      </c>
    </row>
    <row r="547" spans="1:9" x14ac:dyDescent="0.25">
      <c r="A547" s="42" t="s">
        <v>1356</v>
      </c>
      <c r="B547" s="42" t="s">
        <v>38</v>
      </c>
      <c r="C547" s="24">
        <v>610340</v>
      </c>
      <c r="D547" s="20">
        <v>41149</v>
      </c>
      <c r="E547" s="25">
        <v>85</v>
      </c>
      <c r="F547" s="25">
        <v>0</v>
      </c>
      <c r="G547" s="25">
        <v>0</v>
      </c>
      <c r="H547" s="25">
        <v>0</v>
      </c>
      <c r="I547" s="25">
        <v>0</v>
      </c>
    </row>
    <row r="548" spans="1:9" x14ac:dyDescent="0.25">
      <c r="A548" s="42" t="s">
        <v>1356</v>
      </c>
      <c r="B548" s="42" t="s">
        <v>37</v>
      </c>
      <c r="C548" s="24">
        <v>610208</v>
      </c>
      <c r="D548" s="20">
        <v>41148</v>
      </c>
      <c r="E548" s="25">
        <v>465</v>
      </c>
      <c r="F548" s="25">
        <v>1</v>
      </c>
      <c r="G548" s="25">
        <v>341</v>
      </c>
      <c r="H548" s="25">
        <v>0</v>
      </c>
      <c r="I548" s="25">
        <v>0</v>
      </c>
    </row>
    <row r="549" spans="1:9" x14ac:dyDescent="0.25">
      <c r="A549" s="42" t="s">
        <v>1356</v>
      </c>
      <c r="B549" s="42" t="s">
        <v>38</v>
      </c>
      <c r="C549" s="24">
        <v>610340</v>
      </c>
      <c r="D549" s="20">
        <v>41145</v>
      </c>
      <c r="E549" s="25">
        <v>790</v>
      </c>
      <c r="F549" s="25">
        <v>0</v>
      </c>
      <c r="G549" s="25">
        <v>0</v>
      </c>
      <c r="H549" s="25">
        <v>0</v>
      </c>
      <c r="I549" s="25">
        <v>0</v>
      </c>
    </row>
    <row r="550" spans="1:9" x14ac:dyDescent="0.25">
      <c r="A550" s="42" t="s">
        <v>1355</v>
      </c>
      <c r="B550" s="42" t="s">
        <v>36</v>
      </c>
      <c r="C550" s="24">
        <v>610832</v>
      </c>
      <c r="D550" s="20">
        <v>41144</v>
      </c>
      <c r="E550" s="25">
        <v>482</v>
      </c>
      <c r="F550" s="25">
        <v>7</v>
      </c>
      <c r="G550" s="25">
        <v>2205</v>
      </c>
      <c r="H550" s="25">
        <v>1</v>
      </c>
      <c r="I550" s="25">
        <v>36</v>
      </c>
    </row>
    <row r="551" spans="1:9" x14ac:dyDescent="0.25">
      <c r="A551" s="42" t="s">
        <v>1356</v>
      </c>
      <c r="B551" s="43" t="s">
        <v>39</v>
      </c>
      <c r="C551" s="24">
        <v>611704</v>
      </c>
      <c r="D551" s="20">
        <v>41150</v>
      </c>
      <c r="E551" s="25">
        <v>85</v>
      </c>
      <c r="F551" s="25">
        <v>0</v>
      </c>
      <c r="G551" s="25">
        <v>0</v>
      </c>
      <c r="H551" s="25">
        <v>0</v>
      </c>
      <c r="I551" s="25">
        <v>0</v>
      </c>
    </row>
    <row r="552" spans="1:9" x14ac:dyDescent="0.25">
      <c r="A552" s="42" t="s">
        <v>1355</v>
      </c>
      <c r="B552" s="42" t="s">
        <v>34</v>
      </c>
      <c r="C552" s="24">
        <v>613447</v>
      </c>
      <c r="D552" s="20">
        <v>41138</v>
      </c>
      <c r="E552" s="25">
        <v>481</v>
      </c>
      <c r="F552" s="25">
        <v>0</v>
      </c>
      <c r="G552" s="25">
        <v>0</v>
      </c>
      <c r="H552" s="25">
        <v>0</v>
      </c>
      <c r="I552" s="25">
        <v>0</v>
      </c>
    </row>
    <row r="553" spans="1:9" x14ac:dyDescent="0.25">
      <c r="A553" s="42" t="s">
        <v>1356</v>
      </c>
      <c r="B553" s="43" t="s">
        <v>39</v>
      </c>
      <c r="C553" s="24">
        <v>611704</v>
      </c>
      <c r="D553" s="20">
        <v>41135</v>
      </c>
      <c r="E553" s="25">
        <v>790</v>
      </c>
      <c r="F553" s="25">
        <v>0</v>
      </c>
      <c r="G553" s="25">
        <v>0</v>
      </c>
      <c r="H553" s="25">
        <v>0</v>
      </c>
      <c r="I553" s="25">
        <v>0</v>
      </c>
    </row>
    <row r="554" spans="1:9" x14ac:dyDescent="0.25">
      <c r="A554" s="42" t="s">
        <v>1356</v>
      </c>
      <c r="B554" s="42" t="s">
        <v>38</v>
      </c>
      <c r="C554" s="24">
        <v>610340</v>
      </c>
      <c r="D554" s="20">
        <v>41127</v>
      </c>
      <c r="E554" s="25">
        <v>481</v>
      </c>
      <c r="F554" s="25">
        <v>18</v>
      </c>
      <c r="G554" s="25">
        <v>5159</v>
      </c>
      <c r="H554" s="25">
        <v>13</v>
      </c>
      <c r="I554" s="25">
        <v>3</v>
      </c>
    </row>
    <row r="555" spans="1:9" x14ac:dyDescent="0.25">
      <c r="A555" s="42" t="s">
        <v>1356</v>
      </c>
      <c r="B555" s="42" t="s">
        <v>37</v>
      </c>
      <c r="C555" s="24">
        <v>610208</v>
      </c>
      <c r="D555" s="20">
        <v>41144</v>
      </c>
      <c r="E555" s="25">
        <v>481</v>
      </c>
      <c r="F555" s="25">
        <v>0</v>
      </c>
      <c r="G555" s="25">
        <v>0</v>
      </c>
      <c r="H555" s="25">
        <v>0</v>
      </c>
      <c r="I555" s="25">
        <v>0</v>
      </c>
    </row>
    <row r="556" spans="1:9" x14ac:dyDescent="0.25">
      <c r="A556" s="42" t="s">
        <v>1356</v>
      </c>
      <c r="B556" s="43" t="s">
        <v>39</v>
      </c>
      <c r="C556" s="24">
        <v>611704</v>
      </c>
      <c r="D556" s="20">
        <v>41145</v>
      </c>
      <c r="E556" s="25">
        <v>478</v>
      </c>
      <c r="F556" s="25">
        <v>0</v>
      </c>
      <c r="G556" s="25">
        <v>0</v>
      </c>
      <c r="H556" s="25">
        <v>0</v>
      </c>
      <c r="I556" s="25">
        <v>0</v>
      </c>
    </row>
    <row r="557" spans="1:9" x14ac:dyDescent="0.25">
      <c r="A557" s="42" t="s">
        <v>1356</v>
      </c>
      <c r="B557" s="43" t="s">
        <v>39</v>
      </c>
      <c r="C557" s="24">
        <v>611704</v>
      </c>
      <c r="D557" s="20">
        <v>41152</v>
      </c>
      <c r="E557" s="25">
        <v>467</v>
      </c>
      <c r="F557" s="25">
        <v>0</v>
      </c>
      <c r="G557" s="25">
        <v>0</v>
      </c>
      <c r="H557" s="25">
        <v>0</v>
      </c>
      <c r="I557" s="25">
        <v>0</v>
      </c>
    </row>
    <row r="558" spans="1:9" x14ac:dyDescent="0.25">
      <c r="A558" s="42" t="s">
        <v>1355</v>
      </c>
      <c r="B558" s="42" t="s">
        <v>34</v>
      </c>
      <c r="C558" s="24">
        <v>613447</v>
      </c>
      <c r="D558" s="20">
        <v>41148</v>
      </c>
      <c r="E558" s="25">
        <v>482</v>
      </c>
      <c r="F558" s="25">
        <v>16</v>
      </c>
      <c r="G558" s="25">
        <v>3354</v>
      </c>
      <c r="H558" s="25">
        <v>0</v>
      </c>
      <c r="I558" s="25">
        <v>119</v>
      </c>
    </row>
    <row r="559" spans="1:9" x14ac:dyDescent="0.25">
      <c r="A559" s="42" t="s">
        <v>1356</v>
      </c>
      <c r="B559" s="42" t="s">
        <v>38</v>
      </c>
      <c r="C559" s="24">
        <v>610340</v>
      </c>
      <c r="D559" s="20">
        <v>41150</v>
      </c>
      <c r="E559" s="25">
        <v>465</v>
      </c>
      <c r="F559" s="25">
        <v>0</v>
      </c>
      <c r="G559" s="25">
        <v>0</v>
      </c>
      <c r="H559" s="25">
        <v>0</v>
      </c>
      <c r="I559" s="25">
        <v>0</v>
      </c>
    </row>
    <row r="560" spans="1:9" x14ac:dyDescent="0.25">
      <c r="A560" s="42" t="s">
        <v>1355</v>
      </c>
      <c r="B560" s="42" t="s">
        <v>36</v>
      </c>
      <c r="C560" s="24">
        <v>610832</v>
      </c>
      <c r="D560" s="20">
        <v>41127</v>
      </c>
      <c r="E560" s="25">
        <v>85</v>
      </c>
      <c r="F560" s="25">
        <v>0</v>
      </c>
      <c r="G560" s="25">
        <v>0</v>
      </c>
      <c r="H560" s="25">
        <v>0</v>
      </c>
      <c r="I560" s="25">
        <v>0</v>
      </c>
    </row>
    <row r="561" spans="1:9" x14ac:dyDescent="0.25">
      <c r="A561" s="42" t="s">
        <v>1356</v>
      </c>
      <c r="B561" s="42" t="s">
        <v>38</v>
      </c>
      <c r="C561" s="24">
        <v>610340</v>
      </c>
      <c r="D561" s="20">
        <v>41152</v>
      </c>
      <c r="E561" s="25">
        <v>466</v>
      </c>
      <c r="F561" s="25">
        <v>1</v>
      </c>
      <c r="G561" s="25">
        <v>1045</v>
      </c>
      <c r="H561" s="25">
        <v>1</v>
      </c>
      <c r="I561" s="25">
        <v>0</v>
      </c>
    </row>
    <row r="562" spans="1:9" x14ac:dyDescent="0.25">
      <c r="A562" s="42" t="s">
        <v>1355</v>
      </c>
      <c r="B562" s="42" t="s">
        <v>34</v>
      </c>
      <c r="C562" s="24">
        <v>613447</v>
      </c>
      <c r="D562" s="20">
        <v>41137</v>
      </c>
      <c r="E562" s="25">
        <v>466</v>
      </c>
      <c r="F562" s="25">
        <v>31</v>
      </c>
      <c r="G562" s="25">
        <v>9708</v>
      </c>
      <c r="H562" s="25">
        <v>1</v>
      </c>
      <c r="I562" s="25">
        <v>338</v>
      </c>
    </row>
    <row r="563" spans="1:9" x14ac:dyDescent="0.25">
      <c r="A563" s="42" t="s">
        <v>1355</v>
      </c>
      <c r="B563" s="42" t="s">
        <v>35</v>
      </c>
      <c r="C563" s="24">
        <v>611419</v>
      </c>
      <c r="D563" s="20">
        <v>41145</v>
      </c>
      <c r="E563" s="25">
        <v>466</v>
      </c>
      <c r="F563" s="25">
        <v>27</v>
      </c>
      <c r="G563" s="25">
        <v>6045</v>
      </c>
      <c r="H563" s="25">
        <v>16</v>
      </c>
      <c r="I563" s="25">
        <v>2628</v>
      </c>
    </row>
    <row r="564" spans="1:9" x14ac:dyDescent="0.25">
      <c r="A564" s="42" t="s">
        <v>1356</v>
      </c>
      <c r="B564" s="42" t="s">
        <v>38</v>
      </c>
      <c r="C564" s="24">
        <v>610340</v>
      </c>
      <c r="D564" s="20">
        <v>41149</v>
      </c>
      <c r="E564" s="25">
        <v>467</v>
      </c>
      <c r="F564" s="25">
        <v>0</v>
      </c>
      <c r="G564" s="25">
        <v>0</v>
      </c>
      <c r="H564" s="25">
        <v>0</v>
      </c>
      <c r="I564" s="25">
        <v>0</v>
      </c>
    </row>
    <row r="565" spans="1:9" x14ac:dyDescent="0.25">
      <c r="A565" s="42" t="s">
        <v>1356</v>
      </c>
      <c r="B565" s="43" t="s">
        <v>39</v>
      </c>
      <c r="C565" s="24">
        <v>611704</v>
      </c>
      <c r="D565" s="20">
        <v>41136</v>
      </c>
      <c r="E565" s="25">
        <v>481</v>
      </c>
      <c r="F565" s="25">
        <v>0</v>
      </c>
      <c r="G565" s="25">
        <v>0</v>
      </c>
      <c r="H565" s="25">
        <v>0</v>
      </c>
      <c r="I565" s="25">
        <v>0</v>
      </c>
    </row>
    <row r="566" spans="1:9" x14ac:dyDescent="0.25">
      <c r="A566" s="42" t="s">
        <v>1355</v>
      </c>
      <c r="B566" s="42" t="s">
        <v>34</v>
      </c>
      <c r="C566" s="24">
        <v>613447</v>
      </c>
      <c r="D566" s="20">
        <v>41146</v>
      </c>
      <c r="E566" s="25">
        <v>477</v>
      </c>
      <c r="F566" s="25">
        <v>44</v>
      </c>
      <c r="G566" s="25">
        <v>9636</v>
      </c>
      <c r="H566" s="25">
        <v>0</v>
      </c>
      <c r="I566" s="25">
        <v>0</v>
      </c>
    </row>
    <row r="567" spans="1:9" x14ac:dyDescent="0.25">
      <c r="A567" s="42" t="s">
        <v>1356</v>
      </c>
      <c r="B567" s="42" t="s">
        <v>38</v>
      </c>
      <c r="C567" s="24">
        <v>610340</v>
      </c>
      <c r="D567" s="20">
        <v>41151</v>
      </c>
      <c r="E567" s="25">
        <v>478</v>
      </c>
      <c r="F567" s="25">
        <v>60</v>
      </c>
      <c r="G567" s="25">
        <v>13295</v>
      </c>
      <c r="H567" s="25">
        <v>1</v>
      </c>
      <c r="I567" s="25">
        <v>0</v>
      </c>
    </row>
    <row r="568" spans="1:9" x14ac:dyDescent="0.25">
      <c r="A568" s="42" t="s">
        <v>1355</v>
      </c>
      <c r="B568" s="42" t="s">
        <v>35</v>
      </c>
      <c r="C568" s="24">
        <v>611419</v>
      </c>
      <c r="D568" s="20">
        <v>41149</v>
      </c>
      <c r="E568" s="25">
        <v>790</v>
      </c>
      <c r="F568" s="25">
        <v>0</v>
      </c>
      <c r="G568" s="25">
        <v>0</v>
      </c>
      <c r="H568" s="25">
        <v>0</v>
      </c>
      <c r="I568" s="25">
        <v>0</v>
      </c>
    </row>
    <row r="569" spans="1:9" x14ac:dyDescent="0.25">
      <c r="A569" s="42" t="s">
        <v>1356</v>
      </c>
      <c r="B569" s="42" t="s">
        <v>37</v>
      </c>
      <c r="C569" s="24">
        <v>610208</v>
      </c>
      <c r="D569" s="20">
        <v>41127</v>
      </c>
      <c r="E569" s="25">
        <v>478</v>
      </c>
      <c r="F569" s="25">
        <v>5</v>
      </c>
      <c r="G569" s="25">
        <v>1924</v>
      </c>
      <c r="H569" s="25">
        <v>2</v>
      </c>
      <c r="I569" s="25">
        <v>0</v>
      </c>
    </row>
    <row r="570" spans="1:9" x14ac:dyDescent="0.25">
      <c r="A570" s="42" t="s">
        <v>1356</v>
      </c>
      <c r="B570" s="43" t="s">
        <v>39</v>
      </c>
      <c r="C570" s="24">
        <v>611704</v>
      </c>
      <c r="D570" s="20">
        <v>41133</v>
      </c>
      <c r="E570" s="25">
        <v>790</v>
      </c>
      <c r="F570" s="25">
        <v>0</v>
      </c>
      <c r="G570" s="25">
        <v>0</v>
      </c>
      <c r="H570" s="25">
        <v>0</v>
      </c>
      <c r="I570" s="25">
        <v>0</v>
      </c>
    </row>
    <row r="571" spans="1:9" x14ac:dyDescent="0.25">
      <c r="A571" s="42" t="s">
        <v>1355</v>
      </c>
      <c r="B571" s="42" t="s">
        <v>36</v>
      </c>
      <c r="C571" s="24">
        <v>610832</v>
      </c>
      <c r="D571" s="20">
        <v>41148</v>
      </c>
      <c r="E571" s="25">
        <v>85</v>
      </c>
      <c r="F571" s="25">
        <v>0</v>
      </c>
      <c r="G571" s="25">
        <v>0</v>
      </c>
      <c r="H571" s="25">
        <v>0</v>
      </c>
      <c r="I571" s="25">
        <v>0</v>
      </c>
    </row>
    <row r="572" spans="1:9" x14ac:dyDescent="0.25">
      <c r="A572" s="42" t="s">
        <v>1356</v>
      </c>
      <c r="B572" s="43" t="s">
        <v>39</v>
      </c>
      <c r="C572" s="24">
        <v>611704</v>
      </c>
      <c r="D572" s="20">
        <v>41133</v>
      </c>
      <c r="E572" s="25">
        <v>481</v>
      </c>
      <c r="F572" s="25">
        <v>0</v>
      </c>
      <c r="G572" s="25">
        <v>0</v>
      </c>
      <c r="H572" s="25">
        <v>0</v>
      </c>
      <c r="I572" s="25">
        <v>0</v>
      </c>
    </row>
    <row r="573" spans="1:9" x14ac:dyDescent="0.25">
      <c r="A573" s="42" t="s">
        <v>1355</v>
      </c>
      <c r="B573" s="42" t="s">
        <v>36</v>
      </c>
      <c r="C573" s="24">
        <v>610832</v>
      </c>
      <c r="D573" s="20">
        <v>41133</v>
      </c>
      <c r="E573" s="25">
        <v>85</v>
      </c>
      <c r="F573" s="25">
        <v>0</v>
      </c>
      <c r="G573" s="25">
        <v>0</v>
      </c>
      <c r="H573" s="25">
        <v>0</v>
      </c>
      <c r="I573" s="25">
        <v>0</v>
      </c>
    </row>
    <row r="574" spans="1:9" x14ac:dyDescent="0.25">
      <c r="A574" s="42" t="s">
        <v>1356</v>
      </c>
      <c r="B574" s="42" t="s">
        <v>38</v>
      </c>
      <c r="C574" s="24">
        <v>610340</v>
      </c>
      <c r="D574" s="20">
        <v>41147</v>
      </c>
      <c r="E574" s="25">
        <v>466</v>
      </c>
      <c r="F574" s="25">
        <v>24</v>
      </c>
      <c r="G574" s="25">
        <v>4060</v>
      </c>
      <c r="H574" s="25">
        <v>5</v>
      </c>
      <c r="I574" s="25">
        <v>0</v>
      </c>
    </row>
    <row r="575" spans="1:9" x14ac:dyDescent="0.25">
      <c r="A575" s="42" t="s">
        <v>1355</v>
      </c>
      <c r="B575" s="42" t="s">
        <v>34</v>
      </c>
      <c r="C575" s="24">
        <v>613447</v>
      </c>
      <c r="D575" s="20">
        <v>41135</v>
      </c>
      <c r="E575" s="25">
        <v>466</v>
      </c>
      <c r="F575" s="25">
        <v>1</v>
      </c>
      <c r="G575" s="25">
        <v>251</v>
      </c>
      <c r="H575" s="25">
        <v>0</v>
      </c>
      <c r="I575" s="25">
        <v>0</v>
      </c>
    </row>
    <row r="576" spans="1:9" x14ac:dyDescent="0.25">
      <c r="A576" s="42" t="s">
        <v>1356</v>
      </c>
      <c r="B576" s="42" t="s">
        <v>38</v>
      </c>
      <c r="C576" s="24">
        <v>610340</v>
      </c>
      <c r="D576" s="20">
        <v>41135</v>
      </c>
      <c r="E576" s="25">
        <v>481</v>
      </c>
      <c r="F576" s="25">
        <v>0</v>
      </c>
      <c r="G576" s="25">
        <v>0</v>
      </c>
      <c r="H576" s="25">
        <v>0</v>
      </c>
      <c r="I576" s="25">
        <v>0</v>
      </c>
    </row>
    <row r="577" spans="1:9" x14ac:dyDescent="0.25">
      <c r="A577" s="42" t="s">
        <v>1356</v>
      </c>
      <c r="B577" s="42" t="s">
        <v>38</v>
      </c>
      <c r="C577" s="24">
        <v>610340</v>
      </c>
      <c r="D577" s="20">
        <v>41147</v>
      </c>
      <c r="E577" s="25">
        <v>790</v>
      </c>
      <c r="F577" s="25">
        <v>0</v>
      </c>
      <c r="G577" s="25">
        <v>0</v>
      </c>
      <c r="H577" s="25">
        <v>0</v>
      </c>
      <c r="I577" s="25">
        <v>0</v>
      </c>
    </row>
    <row r="578" spans="1:9" x14ac:dyDescent="0.25">
      <c r="A578" s="42" t="s">
        <v>1356</v>
      </c>
      <c r="B578" s="42" t="s">
        <v>38</v>
      </c>
      <c r="C578" s="24">
        <v>610340</v>
      </c>
      <c r="D578" s="20">
        <v>41129</v>
      </c>
      <c r="E578" s="25">
        <v>481</v>
      </c>
      <c r="F578" s="25">
        <v>6</v>
      </c>
      <c r="G578" s="25">
        <v>1768</v>
      </c>
      <c r="H578" s="25">
        <v>0</v>
      </c>
      <c r="I578" s="25">
        <v>0</v>
      </c>
    </row>
    <row r="579" spans="1:9" x14ac:dyDescent="0.25">
      <c r="A579" s="42" t="s">
        <v>1355</v>
      </c>
      <c r="B579" s="42" t="s">
        <v>36</v>
      </c>
      <c r="C579" s="24">
        <v>610832</v>
      </c>
      <c r="D579" s="20">
        <v>41144</v>
      </c>
      <c r="E579" s="25">
        <v>480</v>
      </c>
      <c r="F579" s="25">
        <v>3</v>
      </c>
      <c r="G579" s="25">
        <v>2042</v>
      </c>
      <c r="H579" s="25">
        <v>3</v>
      </c>
      <c r="I579" s="25">
        <v>0</v>
      </c>
    </row>
    <row r="580" spans="1:9" x14ac:dyDescent="0.25">
      <c r="A580" s="42" t="s">
        <v>1355</v>
      </c>
      <c r="B580" s="42" t="s">
        <v>36</v>
      </c>
      <c r="C580" s="24">
        <v>610832</v>
      </c>
      <c r="D580" s="20">
        <v>41138</v>
      </c>
      <c r="E580" s="25">
        <v>466</v>
      </c>
      <c r="F580" s="25">
        <v>23</v>
      </c>
      <c r="G580" s="25">
        <v>9037</v>
      </c>
      <c r="H580" s="25">
        <v>0</v>
      </c>
      <c r="I580" s="25">
        <v>99</v>
      </c>
    </row>
    <row r="581" spans="1:9" x14ac:dyDescent="0.25">
      <c r="A581" s="42" t="s">
        <v>1356</v>
      </c>
      <c r="B581" s="42" t="s">
        <v>38</v>
      </c>
      <c r="C581" s="24">
        <v>610340</v>
      </c>
      <c r="D581" s="20">
        <v>41142</v>
      </c>
      <c r="E581" s="25">
        <v>482</v>
      </c>
      <c r="F581" s="25">
        <v>12</v>
      </c>
      <c r="G581" s="25">
        <v>2530</v>
      </c>
      <c r="H581" s="25">
        <v>0</v>
      </c>
      <c r="I581" s="25">
        <v>4</v>
      </c>
    </row>
    <row r="582" spans="1:9" x14ac:dyDescent="0.25">
      <c r="A582" s="42" t="s">
        <v>1356</v>
      </c>
      <c r="B582" s="42" t="s">
        <v>37</v>
      </c>
      <c r="C582" s="24">
        <v>610208</v>
      </c>
      <c r="D582" s="20">
        <v>41137</v>
      </c>
      <c r="E582" s="25">
        <v>482</v>
      </c>
      <c r="F582" s="25">
        <v>5</v>
      </c>
      <c r="G582" s="25">
        <v>1238</v>
      </c>
      <c r="H582" s="25">
        <v>0</v>
      </c>
      <c r="I582" s="25">
        <v>0</v>
      </c>
    </row>
    <row r="583" spans="1:9" x14ac:dyDescent="0.25">
      <c r="A583" s="42" t="s">
        <v>1355</v>
      </c>
      <c r="B583" s="42" t="s">
        <v>35</v>
      </c>
      <c r="C583" s="24">
        <v>611419</v>
      </c>
      <c r="D583" s="20">
        <v>41132</v>
      </c>
      <c r="E583" s="25">
        <v>465</v>
      </c>
      <c r="F583" s="25">
        <v>0</v>
      </c>
      <c r="G583" s="25">
        <v>0</v>
      </c>
      <c r="H583" s="25">
        <v>0</v>
      </c>
      <c r="I583" s="25">
        <v>0</v>
      </c>
    </row>
    <row r="584" spans="1:9" x14ac:dyDescent="0.25">
      <c r="A584" s="42" t="s">
        <v>1356</v>
      </c>
      <c r="B584" s="43" t="s">
        <v>39</v>
      </c>
      <c r="C584" s="24">
        <v>611704</v>
      </c>
      <c r="D584" s="20">
        <v>41150</v>
      </c>
      <c r="E584" s="25">
        <v>465</v>
      </c>
      <c r="F584" s="25">
        <v>0</v>
      </c>
      <c r="G584" s="25">
        <v>0</v>
      </c>
      <c r="H584" s="25">
        <v>0</v>
      </c>
      <c r="I584" s="25">
        <v>0</v>
      </c>
    </row>
    <row r="585" spans="1:9" x14ac:dyDescent="0.25">
      <c r="A585" s="42" t="s">
        <v>1356</v>
      </c>
      <c r="B585" s="43" t="s">
        <v>39</v>
      </c>
      <c r="C585" s="24">
        <v>611704</v>
      </c>
      <c r="D585" s="20">
        <v>41128</v>
      </c>
      <c r="E585" s="25">
        <v>481</v>
      </c>
      <c r="F585" s="25">
        <v>0</v>
      </c>
      <c r="G585" s="25">
        <v>0</v>
      </c>
      <c r="H585" s="25">
        <v>0</v>
      </c>
      <c r="I585" s="25">
        <v>0</v>
      </c>
    </row>
    <row r="586" spans="1:9" x14ac:dyDescent="0.25">
      <c r="A586" s="42" t="s">
        <v>1356</v>
      </c>
      <c r="B586" s="42" t="s">
        <v>37</v>
      </c>
      <c r="C586" s="24">
        <v>610208</v>
      </c>
      <c r="D586" s="20">
        <v>41142</v>
      </c>
      <c r="E586" s="25">
        <v>466</v>
      </c>
      <c r="F586" s="25">
        <v>37</v>
      </c>
      <c r="G586" s="25">
        <v>9252</v>
      </c>
      <c r="H586" s="25">
        <v>23</v>
      </c>
      <c r="I586" s="25">
        <v>0</v>
      </c>
    </row>
    <row r="587" spans="1:9" x14ac:dyDescent="0.25">
      <c r="A587" s="42" t="s">
        <v>1355</v>
      </c>
      <c r="B587" s="42" t="s">
        <v>36</v>
      </c>
      <c r="C587" s="24">
        <v>610832</v>
      </c>
      <c r="D587" s="20">
        <v>41143</v>
      </c>
      <c r="E587" s="25">
        <v>481</v>
      </c>
      <c r="F587" s="25">
        <v>0</v>
      </c>
      <c r="G587" s="25">
        <v>0</v>
      </c>
      <c r="H587" s="25">
        <v>0</v>
      </c>
      <c r="I587" s="25">
        <v>0</v>
      </c>
    </row>
    <row r="588" spans="1:9" x14ac:dyDescent="0.25">
      <c r="A588" s="42" t="s">
        <v>1356</v>
      </c>
      <c r="B588" s="42" t="s">
        <v>38</v>
      </c>
      <c r="C588" s="24">
        <v>610340</v>
      </c>
      <c r="D588" s="20">
        <v>41142</v>
      </c>
      <c r="E588" s="25">
        <v>481</v>
      </c>
      <c r="F588" s="25">
        <v>0</v>
      </c>
      <c r="G588" s="25">
        <v>0</v>
      </c>
      <c r="H588" s="25">
        <v>0</v>
      </c>
      <c r="I588" s="25">
        <v>0</v>
      </c>
    </row>
    <row r="589" spans="1:9" x14ac:dyDescent="0.25">
      <c r="A589" s="42" t="s">
        <v>1355</v>
      </c>
      <c r="B589" s="42" t="s">
        <v>34</v>
      </c>
      <c r="C589" s="24">
        <v>613447</v>
      </c>
      <c r="D589" s="20">
        <v>41143</v>
      </c>
      <c r="E589" s="25">
        <v>465</v>
      </c>
      <c r="F589" s="25">
        <v>0</v>
      </c>
      <c r="G589" s="25">
        <v>0</v>
      </c>
      <c r="H589" s="25">
        <v>0</v>
      </c>
      <c r="I589" s="25">
        <v>0</v>
      </c>
    </row>
    <row r="590" spans="1:9" x14ac:dyDescent="0.25">
      <c r="A590" s="42" t="s">
        <v>1355</v>
      </c>
      <c r="B590" s="42" t="s">
        <v>35</v>
      </c>
      <c r="C590" s="24">
        <v>611419</v>
      </c>
      <c r="D590" s="20">
        <v>41151</v>
      </c>
      <c r="E590" s="25">
        <v>477</v>
      </c>
      <c r="F590" s="25">
        <v>16</v>
      </c>
      <c r="G590" s="25">
        <v>2610</v>
      </c>
      <c r="H590" s="25">
        <v>3</v>
      </c>
      <c r="I590" s="25">
        <v>930</v>
      </c>
    </row>
    <row r="591" spans="1:9" x14ac:dyDescent="0.25">
      <c r="A591" s="42" t="s">
        <v>1356</v>
      </c>
      <c r="B591" s="43" t="s">
        <v>39</v>
      </c>
      <c r="C591" s="24">
        <v>611704</v>
      </c>
      <c r="D591" s="20">
        <v>41152</v>
      </c>
      <c r="E591" s="25">
        <v>481</v>
      </c>
      <c r="F591" s="25">
        <v>0</v>
      </c>
      <c r="G591" s="25">
        <v>0</v>
      </c>
      <c r="H591" s="25">
        <v>0</v>
      </c>
      <c r="I591" s="25">
        <v>0</v>
      </c>
    </row>
    <row r="592" spans="1:9" x14ac:dyDescent="0.25">
      <c r="A592" s="42" t="s">
        <v>1355</v>
      </c>
      <c r="B592" s="42" t="s">
        <v>36</v>
      </c>
      <c r="C592" s="24">
        <v>610832</v>
      </c>
      <c r="D592" s="20">
        <v>41138</v>
      </c>
      <c r="E592" s="25">
        <v>85</v>
      </c>
      <c r="F592" s="25">
        <v>0</v>
      </c>
      <c r="G592" s="25">
        <v>0</v>
      </c>
      <c r="H592" s="25">
        <v>0</v>
      </c>
      <c r="I592" s="25">
        <v>0</v>
      </c>
    </row>
    <row r="593" spans="1:9" x14ac:dyDescent="0.25">
      <c r="A593" s="42" t="s">
        <v>1355</v>
      </c>
      <c r="B593" s="42" t="s">
        <v>36</v>
      </c>
      <c r="C593" s="24">
        <v>610832</v>
      </c>
      <c r="D593" s="20">
        <v>41122</v>
      </c>
      <c r="E593" s="25">
        <v>85</v>
      </c>
      <c r="F593" s="25">
        <v>0</v>
      </c>
      <c r="G593" s="25">
        <v>0</v>
      </c>
      <c r="H593" s="25">
        <v>0</v>
      </c>
      <c r="I593" s="25">
        <v>0</v>
      </c>
    </row>
    <row r="594" spans="1:9" x14ac:dyDescent="0.25">
      <c r="A594" s="42" t="s">
        <v>1355</v>
      </c>
      <c r="B594" s="42" t="s">
        <v>34</v>
      </c>
      <c r="C594" s="24">
        <v>613447</v>
      </c>
      <c r="D594" s="20">
        <v>41152</v>
      </c>
      <c r="E594" s="25">
        <v>465</v>
      </c>
      <c r="F594" s="25">
        <v>0</v>
      </c>
      <c r="G594" s="25">
        <v>0</v>
      </c>
      <c r="H594" s="25">
        <v>0</v>
      </c>
      <c r="I594" s="25">
        <v>0</v>
      </c>
    </row>
    <row r="595" spans="1:9" x14ac:dyDescent="0.25">
      <c r="A595" s="42" t="s">
        <v>1356</v>
      </c>
      <c r="B595" s="42" t="s">
        <v>37</v>
      </c>
      <c r="C595" s="24">
        <v>610208</v>
      </c>
      <c r="D595" s="20">
        <v>41135</v>
      </c>
      <c r="E595" s="25">
        <v>478</v>
      </c>
      <c r="F595" s="25">
        <v>42</v>
      </c>
      <c r="G595" s="25">
        <v>12226</v>
      </c>
      <c r="H595" s="25">
        <v>6</v>
      </c>
      <c r="I595" s="25">
        <v>0</v>
      </c>
    </row>
    <row r="596" spans="1:9" x14ac:dyDescent="0.25">
      <c r="A596" s="42" t="s">
        <v>1356</v>
      </c>
      <c r="B596" s="43" t="s">
        <v>39</v>
      </c>
      <c r="C596" s="24">
        <v>611704</v>
      </c>
      <c r="D596" s="20">
        <v>41124</v>
      </c>
      <c r="E596" s="25">
        <v>477</v>
      </c>
      <c r="F596" s="25">
        <v>31</v>
      </c>
      <c r="G596" s="25">
        <v>10813</v>
      </c>
      <c r="H596" s="25">
        <v>0</v>
      </c>
      <c r="I596" s="25">
        <v>20</v>
      </c>
    </row>
    <row r="597" spans="1:9" x14ac:dyDescent="0.25">
      <c r="A597" s="42" t="s">
        <v>1356</v>
      </c>
      <c r="B597" s="42" t="s">
        <v>38</v>
      </c>
      <c r="C597" s="24">
        <v>610340</v>
      </c>
      <c r="D597" s="20">
        <v>41152</v>
      </c>
      <c r="E597" s="25">
        <v>465</v>
      </c>
      <c r="F597" s="25">
        <v>0</v>
      </c>
      <c r="G597" s="25">
        <v>0</v>
      </c>
      <c r="H597" s="25">
        <v>0</v>
      </c>
      <c r="I597" s="25">
        <v>0</v>
      </c>
    </row>
    <row r="598" spans="1:9" x14ac:dyDescent="0.25">
      <c r="A598" s="42" t="s">
        <v>1356</v>
      </c>
      <c r="B598" s="42" t="s">
        <v>38</v>
      </c>
      <c r="C598" s="24">
        <v>610340</v>
      </c>
      <c r="D598" s="20">
        <v>41150</v>
      </c>
      <c r="E598" s="25">
        <v>85</v>
      </c>
      <c r="F598" s="25">
        <v>0</v>
      </c>
      <c r="G598" s="25">
        <v>0</v>
      </c>
      <c r="H598" s="25">
        <v>0</v>
      </c>
      <c r="I598" s="25">
        <v>0</v>
      </c>
    </row>
    <row r="599" spans="1:9" x14ac:dyDescent="0.25">
      <c r="A599" s="42" t="s">
        <v>1356</v>
      </c>
      <c r="B599" s="43" t="s">
        <v>39</v>
      </c>
      <c r="C599" s="24">
        <v>611704</v>
      </c>
      <c r="D599" s="20">
        <v>41138</v>
      </c>
      <c r="E599" s="25">
        <v>466</v>
      </c>
      <c r="F599" s="25">
        <v>27</v>
      </c>
      <c r="G599" s="25">
        <v>10437</v>
      </c>
      <c r="H599" s="25">
        <v>9</v>
      </c>
      <c r="I599" s="25">
        <v>0</v>
      </c>
    </row>
    <row r="600" spans="1:9" x14ac:dyDescent="0.25">
      <c r="A600" s="42" t="s">
        <v>1356</v>
      </c>
      <c r="B600" s="42" t="s">
        <v>37</v>
      </c>
      <c r="C600" s="24">
        <v>610208</v>
      </c>
      <c r="D600" s="20">
        <v>41145</v>
      </c>
      <c r="E600" s="25">
        <v>467</v>
      </c>
      <c r="F600" s="25">
        <v>0</v>
      </c>
      <c r="G600" s="25">
        <v>0</v>
      </c>
      <c r="H600" s="25">
        <v>0</v>
      </c>
      <c r="I600" s="25">
        <v>0</v>
      </c>
    </row>
    <row r="601" spans="1:9" x14ac:dyDescent="0.25">
      <c r="A601" s="42" t="s">
        <v>1355</v>
      </c>
      <c r="B601" s="42" t="s">
        <v>35</v>
      </c>
      <c r="C601" s="24">
        <v>611419</v>
      </c>
      <c r="D601" s="20">
        <v>41131</v>
      </c>
      <c r="E601" s="25">
        <v>477</v>
      </c>
      <c r="F601" s="25">
        <v>53</v>
      </c>
      <c r="G601" s="25">
        <v>11072</v>
      </c>
      <c r="H601" s="25">
        <v>43</v>
      </c>
      <c r="I601" s="25">
        <v>170</v>
      </c>
    </row>
    <row r="602" spans="1:9" x14ac:dyDescent="0.25">
      <c r="A602" s="42" t="s">
        <v>1355</v>
      </c>
      <c r="B602" s="42" t="s">
        <v>36</v>
      </c>
      <c r="C602" s="24">
        <v>610832</v>
      </c>
      <c r="D602" s="20">
        <v>41128</v>
      </c>
      <c r="E602" s="25">
        <v>790</v>
      </c>
      <c r="F602" s="25">
        <v>0</v>
      </c>
      <c r="G602" s="25">
        <v>0</v>
      </c>
      <c r="H602" s="25">
        <v>0</v>
      </c>
      <c r="I602" s="25">
        <v>0</v>
      </c>
    </row>
    <row r="603" spans="1:9" x14ac:dyDescent="0.25">
      <c r="A603" s="42" t="s">
        <v>1355</v>
      </c>
      <c r="B603" s="42" t="s">
        <v>35</v>
      </c>
      <c r="C603" s="24">
        <v>611419</v>
      </c>
      <c r="D603" s="20">
        <v>41145</v>
      </c>
      <c r="E603" s="25">
        <v>465</v>
      </c>
      <c r="F603" s="25">
        <v>0</v>
      </c>
      <c r="G603" s="25">
        <v>0</v>
      </c>
      <c r="H603" s="25">
        <v>0</v>
      </c>
      <c r="I603" s="25">
        <v>0</v>
      </c>
    </row>
    <row r="604" spans="1:9" x14ac:dyDescent="0.25">
      <c r="A604" s="42" t="s">
        <v>1355</v>
      </c>
      <c r="B604" s="42" t="s">
        <v>35</v>
      </c>
      <c r="C604" s="24">
        <v>611419</v>
      </c>
      <c r="D604" s="20">
        <v>41152</v>
      </c>
      <c r="E604" s="25">
        <v>790</v>
      </c>
      <c r="F604" s="25">
        <v>0</v>
      </c>
      <c r="G604" s="25">
        <v>0</v>
      </c>
      <c r="H604" s="25">
        <v>0</v>
      </c>
      <c r="I604" s="25">
        <v>0</v>
      </c>
    </row>
    <row r="605" spans="1:9" x14ac:dyDescent="0.25">
      <c r="A605" s="42" t="s">
        <v>1356</v>
      </c>
      <c r="B605" s="42" t="s">
        <v>37</v>
      </c>
      <c r="C605" s="24">
        <v>610208</v>
      </c>
      <c r="D605" s="20">
        <v>41142</v>
      </c>
      <c r="E605" s="25">
        <v>85</v>
      </c>
      <c r="F605" s="25">
        <v>0</v>
      </c>
      <c r="G605" s="25">
        <v>0</v>
      </c>
      <c r="H605" s="25">
        <v>0</v>
      </c>
      <c r="I605" s="25">
        <v>0</v>
      </c>
    </row>
    <row r="606" spans="1:9" x14ac:dyDescent="0.25">
      <c r="A606" s="42" t="s">
        <v>1356</v>
      </c>
      <c r="B606" s="42" t="s">
        <v>38</v>
      </c>
      <c r="C606" s="24">
        <v>610340</v>
      </c>
      <c r="D606" s="20">
        <v>41137</v>
      </c>
      <c r="E606" s="25">
        <v>478</v>
      </c>
      <c r="F606" s="25">
        <v>2</v>
      </c>
      <c r="G606" s="25">
        <v>412</v>
      </c>
      <c r="H606" s="25">
        <v>3</v>
      </c>
      <c r="I606" s="25">
        <v>0</v>
      </c>
    </row>
    <row r="607" spans="1:9" x14ac:dyDescent="0.25">
      <c r="A607" s="42" t="s">
        <v>1355</v>
      </c>
      <c r="B607" s="42" t="s">
        <v>35</v>
      </c>
      <c r="C607" s="24">
        <v>611419</v>
      </c>
      <c r="D607" s="20">
        <v>41142</v>
      </c>
      <c r="E607" s="25">
        <v>467</v>
      </c>
      <c r="F607" s="25">
        <v>0</v>
      </c>
      <c r="G607" s="25">
        <v>0</v>
      </c>
      <c r="H607" s="25">
        <v>0</v>
      </c>
      <c r="I607" s="25">
        <v>0</v>
      </c>
    </row>
    <row r="608" spans="1:9" x14ac:dyDescent="0.25">
      <c r="A608" s="42" t="s">
        <v>1356</v>
      </c>
      <c r="B608" s="42" t="s">
        <v>37</v>
      </c>
      <c r="C608" s="24">
        <v>610208</v>
      </c>
      <c r="D608" s="20">
        <v>41135</v>
      </c>
      <c r="E608" s="25">
        <v>467</v>
      </c>
      <c r="F608" s="25">
        <v>0</v>
      </c>
      <c r="G608" s="25">
        <v>0</v>
      </c>
      <c r="H608" s="25">
        <v>0</v>
      </c>
      <c r="I608" s="25">
        <v>0</v>
      </c>
    </row>
    <row r="609" spans="1:9" x14ac:dyDescent="0.25">
      <c r="A609" s="42" t="s">
        <v>1355</v>
      </c>
      <c r="B609" s="42" t="s">
        <v>34</v>
      </c>
      <c r="C609" s="24">
        <v>613447</v>
      </c>
      <c r="D609" s="20">
        <v>41140</v>
      </c>
      <c r="E609" s="25">
        <v>482</v>
      </c>
      <c r="F609" s="25">
        <v>12</v>
      </c>
      <c r="G609" s="25">
        <v>3408</v>
      </c>
      <c r="H609" s="25">
        <v>0</v>
      </c>
      <c r="I609" s="25">
        <v>0</v>
      </c>
    </row>
    <row r="610" spans="1:9" x14ac:dyDescent="0.25">
      <c r="A610" s="42" t="s">
        <v>1355</v>
      </c>
      <c r="B610" s="42" t="s">
        <v>34</v>
      </c>
      <c r="C610" s="24">
        <v>613447</v>
      </c>
      <c r="D610" s="20">
        <v>41144</v>
      </c>
      <c r="E610" s="25">
        <v>481</v>
      </c>
      <c r="F610" s="25">
        <v>0</v>
      </c>
      <c r="G610" s="25">
        <v>0</v>
      </c>
      <c r="H610" s="25">
        <v>0</v>
      </c>
      <c r="I610" s="25">
        <v>0</v>
      </c>
    </row>
    <row r="611" spans="1:9" x14ac:dyDescent="0.25">
      <c r="A611" s="42" t="s">
        <v>1356</v>
      </c>
      <c r="B611" s="42" t="s">
        <v>37</v>
      </c>
      <c r="C611" s="24">
        <v>610208</v>
      </c>
      <c r="D611" s="20">
        <v>41134</v>
      </c>
      <c r="E611" s="25">
        <v>481</v>
      </c>
      <c r="F611" s="25">
        <v>0</v>
      </c>
      <c r="G611" s="25">
        <v>0</v>
      </c>
      <c r="H611" s="25">
        <v>0</v>
      </c>
      <c r="I611" s="25">
        <v>0</v>
      </c>
    </row>
    <row r="612" spans="1:9" x14ac:dyDescent="0.25">
      <c r="A612" s="42" t="s">
        <v>1356</v>
      </c>
      <c r="B612" s="43" t="s">
        <v>39</v>
      </c>
      <c r="C612" s="24">
        <v>611704</v>
      </c>
      <c r="D612" s="20">
        <v>41125</v>
      </c>
      <c r="E612" s="25">
        <v>85</v>
      </c>
      <c r="F612" s="25">
        <v>0</v>
      </c>
      <c r="G612" s="25">
        <v>0</v>
      </c>
      <c r="H612" s="25">
        <v>0</v>
      </c>
      <c r="I612" s="25">
        <v>0</v>
      </c>
    </row>
    <row r="613" spans="1:9" x14ac:dyDescent="0.25">
      <c r="A613" s="42" t="s">
        <v>1355</v>
      </c>
      <c r="B613" s="42" t="s">
        <v>34</v>
      </c>
      <c r="C613" s="24">
        <v>613447</v>
      </c>
      <c r="D613" s="20">
        <v>41124</v>
      </c>
      <c r="E613" s="25">
        <v>790</v>
      </c>
      <c r="F613" s="25">
        <v>0</v>
      </c>
      <c r="G613" s="25">
        <v>0</v>
      </c>
      <c r="H613" s="25">
        <v>0</v>
      </c>
      <c r="I613" s="25">
        <v>0</v>
      </c>
    </row>
    <row r="614" spans="1:9" x14ac:dyDescent="0.25">
      <c r="A614" s="42" t="s">
        <v>1356</v>
      </c>
      <c r="B614" s="43" t="s">
        <v>39</v>
      </c>
      <c r="C614" s="24">
        <v>611704</v>
      </c>
      <c r="D614" s="20">
        <v>41148</v>
      </c>
      <c r="E614" s="25">
        <v>465</v>
      </c>
      <c r="F614" s="25">
        <v>0</v>
      </c>
      <c r="G614" s="25">
        <v>0</v>
      </c>
      <c r="H614" s="25">
        <v>0</v>
      </c>
      <c r="I614" s="25">
        <v>0</v>
      </c>
    </row>
    <row r="615" spans="1:9" x14ac:dyDescent="0.25">
      <c r="A615" s="42" t="s">
        <v>1355</v>
      </c>
      <c r="B615" s="42" t="s">
        <v>34</v>
      </c>
      <c r="C615" s="24">
        <v>613447</v>
      </c>
      <c r="D615" s="20">
        <v>41145</v>
      </c>
      <c r="E615" s="25">
        <v>480</v>
      </c>
      <c r="F615" s="25">
        <v>2</v>
      </c>
      <c r="G615" s="25">
        <v>739</v>
      </c>
      <c r="H615" s="25">
        <v>0</v>
      </c>
      <c r="I615" s="25">
        <v>0</v>
      </c>
    </row>
    <row r="616" spans="1:9" x14ac:dyDescent="0.25">
      <c r="A616" s="42" t="s">
        <v>1355</v>
      </c>
      <c r="B616" s="42" t="s">
        <v>34</v>
      </c>
      <c r="C616" s="24">
        <v>613447</v>
      </c>
      <c r="D616" s="20">
        <v>41145</v>
      </c>
      <c r="E616" s="25">
        <v>465</v>
      </c>
      <c r="F616" s="25">
        <v>0</v>
      </c>
      <c r="G616" s="25">
        <v>0</v>
      </c>
      <c r="H616" s="25">
        <v>0</v>
      </c>
      <c r="I616" s="25">
        <v>0</v>
      </c>
    </row>
    <row r="617" spans="1:9" x14ac:dyDescent="0.25">
      <c r="A617" s="42" t="s">
        <v>1355</v>
      </c>
      <c r="B617" s="42" t="s">
        <v>34</v>
      </c>
      <c r="C617" s="24">
        <v>613447</v>
      </c>
      <c r="D617" s="20">
        <v>41132</v>
      </c>
      <c r="E617" s="25">
        <v>790</v>
      </c>
      <c r="F617" s="25">
        <v>0</v>
      </c>
      <c r="G617" s="25">
        <v>0</v>
      </c>
      <c r="H617" s="25">
        <v>0</v>
      </c>
      <c r="I617" s="25">
        <v>0</v>
      </c>
    </row>
    <row r="618" spans="1:9" x14ac:dyDescent="0.25">
      <c r="A618" s="42" t="s">
        <v>1355</v>
      </c>
      <c r="B618" s="42" t="s">
        <v>35</v>
      </c>
      <c r="C618" s="24">
        <v>611419</v>
      </c>
      <c r="D618" s="20">
        <v>41138</v>
      </c>
      <c r="E618" s="25">
        <v>85</v>
      </c>
      <c r="F618" s="25">
        <v>0</v>
      </c>
      <c r="G618" s="25">
        <v>0</v>
      </c>
      <c r="H618" s="25">
        <v>0</v>
      </c>
      <c r="I618" s="25">
        <v>0</v>
      </c>
    </row>
    <row r="619" spans="1:9" x14ac:dyDescent="0.25">
      <c r="A619" s="42" t="s">
        <v>1355</v>
      </c>
      <c r="B619" s="42" t="s">
        <v>36</v>
      </c>
      <c r="C619" s="24">
        <v>610832</v>
      </c>
      <c r="D619" s="20">
        <v>41148</v>
      </c>
      <c r="E619" s="25">
        <v>467</v>
      </c>
      <c r="F619" s="25">
        <v>0</v>
      </c>
      <c r="G619" s="25">
        <v>0</v>
      </c>
      <c r="H619" s="25">
        <v>0</v>
      </c>
      <c r="I619" s="25">
        <v>0</v>
      </c>
    </row>
    <row r="620" spans="1:9" x14ac:dyDescent="0.25">
      <c r="A620" s="42" t="s">
        <v>1356</v>
      </c>
      <c r="B620" s="42" t="s">
        <v>38</v>
      </c>
      <c r="C620" s="24">
        <v>610340</v>
      </c>
      <c r="D620" s="20">
        <v>41148</v>
      </c>
      <c r="E620" s="25">
        <v>466</v>
      </c>
      <c r="F620" s="25">
        <v>0</v>
      </c>
      <c r="G620" s="25">
        <v>0</v>
      </c>
      <c r="H620" s="25">
        <v>0</v>
      </c>
      <c r="I620" s="25">
        <v>0</v>
      </c>
    </row>
    <row r="621" spans="1:9" x14ac:dyDescent="0.25">
      <c r="A621" s="42" t="s">
        <v>1356</v>
      </c>
      <c r="B621" s="42" t="s">
        <v>37</v>
      </c>
      <c r="C621" s="24">
        <v>610208</v>
      </c>
      <c r="D621" s="20">
        <v>41138</v>
      </c>
      <c r="E621" s="25">
        <v>481</v>
      </c>
      <c r="F621" s="25">
        <v>0</v>
      </c>
      <c r="G621" s="25">
        <v>0</v>
      </c>
      <c r="H621" s="25">
        <v>0</v>
      </c>
      <c r="I621" s="25">
        <v>0</v>
      </c>
    </row>
    <row r="622" spans="1:9" x14ac:dyDescent="0.25">
      <c r="A622" s="42" t="s">
        <v>1355</v>
      </c>
      <c r="B622" s="42" t="s">
        <v>34</v>
      </c>
      <c r="C622" s="24">
        <v>613447</v>
      </c>
      <c r="D622" s="20">
        <v>41130</v>
      </c>
      <c r="E622" s="25">
        <v>85</v>
      </c>
      <c r="F622" s="25">
        <v>0</v>
      </c>
      <c r="G622" s="25">
        <v>0</v>
      </c>
      <c r="H622" s="25">
        <v>0</v>
      </c>
      <c r="I622" s="25">
        <v>0</v>
      </c>
    </row>
    <row r="623" spans="1:9" x14ac:dyDescent="0.25">
      <c r="A623" s="42" t="s">
        <v>1355</v>
      </c>
      <c r="B623" s="42" t="s">
        <v>35</v>
      </c>
      <c r="C623" s="24">
        <v>611419</v>
      </c>
      <c r="D623" s="20">
        <v>41148</v>
      </c>
      <c r="E623" s="25">
        <v>790</v>
      </c>
      <c r="F623" s="25">
        <v>0</v>
      </c>
      <c r="G623" s="25">
        <v>0</v>
      </c>
      <c r="H623" s="25">
        <v>0</v>
      </c>
      <c r="I623" s="25">
        <v>0</v>
      </c>
    </row>
    <row r="624" spans="1:9" x14ac:dyDescent="0.25">
      <c r="A624" s="42" t="s">
        <v>1355</v>
      </c>
      <c r="B624" s="42" t="s">
        <v>36</v>
      </c>
      <c r="C624" s="24">
        <v>610832</v>
      </c>
      <c r="D624" s="20">
        <v>41138</v>
      </c>
      <c r="E624" s="25">
        <v>480</v>
      </c>
      <c r="F624" s="25">
        <v>7</v>
      </c>
      <c r="G624" s="25">
        <v>2207</v>
      </c>
      <c r="H624" s="25">
        <v>0</v>
      </c>
      <c r="I624" s="25">
        <v>20</v>
      </c>
    </row>
    <row r="625" spans="1:9" x14ac:dyDescent="0.25">
      <c r="A625" s="42" t="s">
        <v>1355</v>
      </c>
      <c r="B625" s="42" t="s">
        <v>36</v>
      </c>
      <c r="C625" s="24">
        <v>610832</v>
      </c>
      <c r="D625" s="20">
        <v>41128</v>
      </c>
      <c r="E625" s="25">
        <v>85</v>
      </c>
      <c r="F625" s="25">
        <v>0</v>
      </c>
      <c r="G625" s="25">
        <v>0</v>
      </c>
      <c r="H625" s="25">
        <v>0</v>
      </c>
      <c r="I625" s="25">
        <v>0</v>
      </c>
    </row>
    <row r="626" spans="1:9" x14ac:dyDescent="0.25">
      <c r="A626" s="42" t="s">
        <v>1356</v>
      </c>
      <c r="B626" s="43" t="s">
        <v>39</v>
      </c>
      <c r="C626" s="24">
        <v>611704</v>
      </c>
      <c r="D626" s="20">
        <v>41152</v>
      </c>
      <c r="E626" s="25">
        <v>85</v>
      </c>
      <c r="F626" s="25">
        <v>0</v>
      </c>
      <c r="G626" s="25">
        <v>0</v>
      </c>
      <c r="H626" s="25">
        <v>0</v>
      </c>
      <c r="I626" s="25">
        <v>0</v>
      </c>
    </row>
    <row r="627" spans="1:9" x14ac:dyDescent="0.25">
      <c r="A627" s="42" t="s">
        <v>1356</v>
      </c>
      <c r="B627" s="42" t="s">
        <v>38</v>
      </c>
      <c r="C627" s="24">
        <v>610340</v>
      </c>
      <c r="D627" s="20">
        <v>41149</v>
      </c>
      <c r="E627" s="25">
        <v>477</v>
      </c>
      <c r="F627" s="25">
        <v>4</v>
      </c>
      <c r="G627" s="25">
        <v>687</v>
      </c>
      <c r="H627" s="25">
        <v>0</v>
      </c>
      <c r="I627" s="25">
        <v>0</v>
      </c>
    </row>
    <row r="628" spans="1:9" x14ac:dyDescent="0.25">
      <c r="A628" s="42" t="s">
        <v>1356</v>
      </c>
      <c r="B628" s="42" t="s">
        <v>38</v>
      </c>
      <c r="C628" s="24">
        <v>610340</v>
      </c>
      <c r="D628" s="20">
        <v>41151</v>
      </c>
      <c r="E628" s="25">
        <v>465</v>
      </c>
      <c r="F628" s="25">
        <v>0</v>
      </c>
      <c r="G628" s="25">
        <v>0</v>
      </c>
      <c r="H628" s="25">
        <v>0</v>
      </c>
      <c r="I628" s="25">
        <v>0</v>
      </c>
    </row>
    <row r="629" spans="1:9" x14ac:dyDescent="0.25">
      <c r="A629" s="42" t="s">
        <v>1356</v>
      </c>
      <c r="B629" s="42" t="s">
        <v>38</v>
      </c>
      <c r="C629" s="24">
        <v>610340</v>
      </c>
      <c r="D629" s="20">
        <v>41142</v>
      </c>
      <c r="E629" s="25">
        <v>480</v>
      </c>
      <c r="F629" s="25">
        <v>2</v>
      </c>
      <c r="G629" s="25">
        <v>378</v>
      </c>
      <c r="H629" s="25">
        <v>0</v>
      </c>
      <c r="I629" s="25">
        <v>0</v>
      </c>
    </row>
    <row r="630" spans="1:9" x14ac:dyDescent="0.25">
      <c r="A630" s="42" t="s">
        <v>1356</v>
      </c>
      <c r="B630" s="42" t="s">
        <v>38</v>
      </c>
      <c r="C630" s="24">
        <v>610340</v>
      </c>
      <c r="D630" s="20">
        <v>41145</v>
      </c>
      <c r="E630" s="25">
        <v>480</v>
      </c>
      <c r="F630" s="25">
        <v>6</v>
      </c>
      <c r="G630" s="25">
        <v>2078</v>
      </c>
      <c r="H630" s="25">
        <v>0</v>
      </c>
      <c r="I630" s="25">
        <v>0</v>
      </c>
    </row>
    <row r="631" spans="1:9" x14ac:dyDescent="0.25">
      <c r="A631" s="42" t="s">
        <v>1355</v>
      </c>
      <c r="B631" s="42" t="s">
        <v>36</v>
      </c>
      <c r="C631" s="24">
        <v>610832</v>
      </c>
      <c r="D631" s="20">
        <v>41129</v>
      </c>
      <c r="E631" s="25">
        <v>790</v>
      </c>
      <c r="F631" s="25">
        <v>0</v>
      </c>
      <c r="G631" s="25">
        <v>0</v>
      </c>
      <c r="H631" s="25">
        <v>0</v>
      </c>
      <c r="I631" s="25">
        <v>0</v>
      </c>
    </row>
    <row r="632" spans="1:9" x14ac:dyDescent="0.25">
      <c r="A632" s="42" t="s">
        <v>1356</v>
      </c>
      <c r="B632" s="42" t="s">
        <v>38</v>
      </c>
      <c r="C632" s="24">
        <v>610340</v>
      </c>
      <c r="D632" s="20">
        <v>41149</v>
      </c>
      <c r="E632" s="25">
        <v>466</v>
      </c>
      <c r="F632" s="25">
        <v>2</v>
      </c>
      <c r="G632" s="25">
        <v>337</v>
      </c>
      <c r="H632" s="25">
        <v>0</v>
      </c>
      <c r="I632" s="25">
        <v>0</v>
      </c>
    </row>
    <row r="633" spans="1:9" x14ac:dyDescent="0.25">
      <c r="A633" s="42" t="s">
        <v>1356</v>
      </c>
      <c r="B633" s="42" t="s">
        <v>38</v>
      </c>
      <c r="C633" s="24">
        <v>610340</v>
      </c>
      <c r="D633" s="20">
        <v>41150</v>
      </c>
      <c r="E633" s="25">
        <v>466</v>
      </c>
      <c r="F633" s="25">
        <v>0</v>
      </c>
      <c r="G633" s="25">
        <v>0</v>
      </c>
      <c r="H633" s="25">
        <v>0</v>
      </c>
      <c r="I633" s="25">
        <v>0</v>
      </c>
    </row>
    <row r="634" spans="1:9" x14ac:dyDescent="0.25">
      <c r="A634" s="42" t="s">
        <v>1356</v>
      </c>
      <c r="B634" s="42" t="s">
        <v>38</v>
      </c>
      <c r="C634" s="24">
        <v>610340</v>
      </c>
      <c r="D634" s="20">
        <v>41147</v>
      </c>
      <c r="E634" s="25">
        <v>481</v>
      </c>
      <c r="F634" s="25">
        <v>0</v>
      </c>
      <c r="G634" s="25">
        <v>0</v>
      </c>
      <c r="H634" s="25">
        <v>0</v>
      </c>
      <c r="I634" s="25">
        <v>0</v>
      </c>
    </row>
    <row r="635" spans="1:9" x14ac:dyDescent="0.25">
      <c r="A635" s="42" t="s">
        <v>1356</v>
      </c>
      <c r="B635" s="42" t="s">
        <v>38</v>
      </c>
      <c r="C635" s="24">
        <v>610340</v>
      </c>
      <c r="D635" s="20">
        <v>41143</v>
      </c>
      <c r="E635" s="25">
        <v>466</v>
      </c>
      <c r="F635" s="25">
        <v>31</v>
      </c>
      <c r="G635" s="25">
        <v>6101</v>
      </c>
      <c r="H635" s="25">
        <v>6</v>
      </c>
      <c r="I635" s="25">
        <v>0</v>
      </c>
    </row>
    <row r="636" spans="1:9" x14ac:dyDescent="0.25">
      <c r="A636" s="42" t="s">
        <v>1355</v>
      </c>
      <c r="B636" s="42" t="s">
        <v>34</v>
      </c>
      <c r="C636" s="24">
        <v>613447</v>
      </c>
      <c r="D636" s="20">
        <v>41126</v>
      </c>
      <c r="E636" s="25">
        <v>480</v>
      </c>
      <c r="F636" s="25">
        <v>40</v>
      </c>
      <c r="G636" s="25">
        <v>11535</v>
      </c>
      <c r="H636" s="25">
        <v>5</v>
      </c>
      <c r="I636" s="25">
        <v>0</v>
      </c>
    </row>
    <row r="637" spans="1:9" x14ac:dyDescent="0.25">
      <c r="A637" s="42" t="s">
        <v>1356</v>
      </c>
      <c r="B637" s="43" t="s">
        <v>39</v>
      </c>
      <c r="C637" s="24">
        <v>611704</v>
      </c>
      <c r="D637" s="20">
        <v>41138</v>
      </c>
      <c r="E637" s="25">
        <v>482</v>
      </c>
      <c r="F637" s="25">
        <v>15</v>
      </c>
      <c r="G637" s="25">
        <v>3391</v>
      </c>
      <c r="H637" s="25">
        <v>8</v>
      </c>
      <c r="I637" s="25">
        <v>9</v>
      </c>
    </row>
    <row r="638" spans="1:9" x14ac:dyDescent="0.25">
      <c r="A638" s="42" t="s">
        <v>1355</v>
      </c>
      <c r="B638" s="42" t="s">
        <v>34</v>
      </c>
      <c r="C638" s="24">
        <v>613447</v>
      </c>
      <c r="D638" s="20">
        <v>41152</v>
      </c>
      <c r="E638" s="25">
        <v>480</v>
      </c>
      <c r="F638" s="25">
        <v>2</v>
      </c>
      <c r="G638" s="25">
        <v>264</v>
      </c>
      <c r="H638" s="25">
        <v>0</v>
      </c>
      <c r="I638" s="25">
        <v>0</v>
      </c>
    </row>
    <row r="639" spans="1:9" x14ac:dyDescent="0.25">
      <c r="A639" s="42" t="s">
        <v>1355</v>
      </c>
      <c r="B639" s="42" t="s">
        <v>35</v>
      </c>
      <c r="C639" s="24">
        <v>611419</v>
      </c>
      <c r="D639" s="20">
        <v>41151</v>
      </c>
      <c r="E639" s="25">
        <v>482</v>
      </c>
      <c r="F639" s="25">
        <v>0</v>
      </c>
      <c r="G639" s="25">
        <v>0</v>
      </c>
      <c r="H639" s="25">
        <v>0</v>
      </c>
      <c r="I639" s="25">
        <v>0</v>
      </c>
    </row>
    <row r="640" spans="1:9" x14ac:dyDescent="0.25">
      <c r="A640" s="42" t="s">
        <v>1356</v>
      </c>
      <c r="B640" s="42" t="s">
        <v>38</v>
      </c>
      <c r="C640" s="24">
        <v>610340</v>
      </c>
      <c r="D640" s="20">
        <v>41150</v>
      </c>
      <c r="E640" s="25">
        <v>790</v>
      </c>
      <c r="F640" s="25">
        <v>0</v>
      </c>
      <c r="G640" s="25">
        <v>0</v>
      </c>
      <c r="H640" s="25">
        <v>0</v>
      </c>
      <c r="I640" s="25">
        <v>0</v>
      </c>
    </row>
    <row r="641" spans="1:9" x14ac:dyDescent="0.25">
      <c r="A641" s="42" t="s">
        <v>1355</v>
      </c>
      <c r="B641" s="42" t="s">
        <v>36</v>
      </c>
      <c r="C641" s="24">
        <v>610832</v>
      </c>
      <c r="D641" s="20">
        <v>41150</v>
      </c>
      <c r="E641" s="25">
        <v>480</v>
      </c>
      <c r="F641" s="25">
        <v>3</v>
      </c>
      <c r="G641" s="25">
        <v>417</v>
      </c>
      <c r="H641" s="25">
        <v>0</v>
      </c>
      <c r="I641" s="25">
        <v>0</v>
      </c>
    </row>
    <row r="642" spans="1:9" x14ac:dyDescent="0.25">
      <c r="A642" s="42" t="s">
        <v>1356</v>
      </c>
      <c r="B642" s="42" t="s">
        <v>38</v>
      </c>
      <c r="C642" s="24">
        <v>610340</v>
      </c>
      <c r="D642" s="20">
        <v>41126</v>
      </c>
      <c r="E642" s="25">
        <v>480</v>
      </c>
      <c r="F642" s="25">
        <v>20</v>
      </c>
      <c r="G642" s="25">
        <v>8070</v>
      </c>
      <c r="H642" s="25">
        <v>0</v>
      </c>
      <c r="I642" s="25">
        <v>3</v>
      </c>
    </row>
    <row r="643" spans="1:9" x14ac:dyDescent="0.25">
      <c r="A643" s="42" t="s">
        <v>1356</v>
      </c>
      <c r="B643" s="42" t="s">
        <v>38</v>
      </c>
      <c r="C643" s="24">
        <v>610340</v>
      </c>
      <c r="D643" s="20">
        <v>41124</v>
      </c>
      <c r="E643" s="25">
        <v>481</v>
      </c>
      <c r="F643" s="25">
        <v>21</v>
      </c>
      <c r="G643" s="25">
        <v>6863</v>
      </c>
      <c r="H643" s="25">
        <v>10</v>
      </c>
      <c r="I643" s="25">
        <v>0</v>
      </c>
    </row>
    <row r="644" spans="1:9" x14ac:dyDescent="0.25">
      <c r="A644" s="42" t="s">
        <v>1355</v>
      </c>
      <c r="B644" s="42" t="s">
        <v>36</v>
      </c>
      <c r="C644" s="24">
        <v>610832</v>
      </c>
      <c r="D644" s="20">
        <v>41123</v>
      </c>
      <c r="E644" s="25">
        <v>85</v>
      </c>
      <c r="F644" s="25">
        <v>0</v>
      </c>
      <c r="G644" s="25">
        <v>0</v>
      </c>
      <c r="H644" s="25">
        <v>0</v>
      </c>
      <c r="I644" s="25">
        <v>0</v>
      </c>
    </row>
    <row r="645" spans="1:9" x14ac:dyDescent="0.25">
      <c r="A645" s="42" t="s">
        <v>1355</v>
      </c>
      <c r="B645" s="42" t="s">
        <v>34</v>
      </c>
      <c r="C645" s="24">
        <v>613447</v>
      </c>
      <c r="D645" s="20">
        <v>41142</v>
      </c>
      <c r="E645" s="25">
        <v>481</v>
      </c>
      <c r="F645" s="25">
        <v>0</v>
      </c>
      <c r="G645" s="25">
        <v>0</v>
      </c>
      <c r="H645" s="25">
        <v>0</v>
      </c>
      <c r="I645" s="25">
        <v>0</v>
      </c>
    </row>
    <row r="646" spans="1:9" x14ac:dyDescent="0.25">
      <c r="A646" s="42" t="s">
        <v>1356</v>
      </c>
      <c r="B646" s="42" t="s">
        <v>38</v>
      </c>
      <c r="C646" s="24">
        <v>610340</v>
      </c>
      <c r="D646" s="20">
        <v>41143</v>
      </c>
      <c r="E646" s="25">
        <v>477</v>
      </c>
      <c r="F646" s="25">
        <v>25</v>
      </c>
      <c r="G646" s="25">
        <v>4783</v>
      </c>
      <c r="H646" s="25">
        <v>11</v>
      </c>
      <c r="I646" s="25">
        <v>0</v>
      </c>
    </row>
    <row r="647" spans="1:9" x14ac:dyDescent="0.25">
      <c r="A647" s="42" t="s">
        <v>1356</v>
      </c>
      <c r="B647" s="43" t="s">
        <v>39</v>
      </c>
      <c r="C647" s="24">
        <v>611704</v>
      </c>
      <c r="D647" s="20">
        <v>41143</v>
      </c>
      <c r="E647" s="25">
        <v>466</v>
      </c>
      <c r="F647" s="25">
        <v>23</v>
      </c>
      <c r="G647" s="25">
        <v>6964</v>
      </c>
      <c r="H647" s="25">
        <v>8</v>
      </c>
      <c r="I647" s="25">
        <v>6</v>
      </c>
    </row>
    <row r="648" spans="1:9" x14ac:dyDescent="0.25">
      <c r="A648" s="42" t="s">
        <v>1356</v>
      </c>
      <c r="B648" s="42" t="s">
        <v>38</v>
      </c>
      <c r="C648" s="24">
        <v>610340</v>
      </c>
      <c r="D648" s="20">
        <v>41149</v>
      </c>
      <c r="E648" s="25">
        <v>790</v>
      </c>
      <c r="F648" s="25">
        <v>0</v>
      </c>
      <c r="G648" s="25">
        <v>0</v>
      </c>
      <c r="H648" s="25">
        <v>0</v>
      </c>
      <c r="I648" s="25">
        <v>0</v>
      </c>
    </row>
    <row r="649" spans="1:9" x14ac:dyDescent="0.25">
      <c r="A649" s="42" t="s">
        <v>1355</v>
      </c>
      <c r="B649" s="42" t="s">
        <v>36</v>
      </c>
      <c r="C649" s="24">
        <v>610832</v>
      </c>
      <c r="D649" s="20">
        <v>41141</v>
      </c>
      <c r="E649" s="25">
        <v>481</v>
      </c>
      <c r="F649" s="25">
        <v>0</v>
      </c>
      <c r="G649" s="25">
        <v>0</v>
      </c>
      <c r="H649" s="25">
        <v>0</v>
      </c>
      <c r="I649" s="25">
        <v>0</v>
      </c>
    </row>
    <row r="650" spans="1:9" x14ac:dyDescent="0.25">
      <c r="A650" s="42" t="s">
        <v>1355</v>
      </c>
      <c r="B650" s="42" t="s">
        <v>34</v>
      </c>
      <c r="C650" s="24">
        <v>613447</v>
      </c>
      <c r="D650" s="20">
        <v>41131</v>
      </c>
      <c r="E650" s="25">
        <v>477</v>
      </c>
      <c r="F650" s="25">
        <v>52</v>
      </c>
      <c r="G650" s="25">
        <v>16137</v>
      </c>
      <c r="H650" s="25">
        <v>8</v>
      </c>
      <c r="I650" s="25">
        <v>1377</v>
      </c>
    </row>
    <row r="651" spans="1:9" x14ac:dyDescent="0.25">
      <c r="A651" s="42" t="s">
        <v>1356</v>
      </c>
      <c r="B651" s="42" t="s">
        <v>37</v>
      </c>
      <c r="C651" s="24">
        <v>610208</v>
      </c>
      <c r="D651" s="20">
        <v>41148</v>
      </c>
      <c r="E651" s="25">
        <v>467</v>
      </c>
      <c r="F651" s="25">
        <v>0</v>
      </c>
      <c r="G651" s="25">
        <v>0</v>
      </c>
      <c r="H651" s="25">
        <v>0</v>
      </c>
      <c r="I651" s="25">
        <v>0</v>
      </c>
    </row>
    <row r="652" spans="1:9" x14ac:dyDescent="0.25">
      <c r="A652" s="42" t="s">
        <v>1355</v>
      </c>
      <c r="B652" s="42" t="s">
        <v>35</v>
      </c>
      <c r="C652" s="24">
        <v>611419</v>
      </c>
      <c r="D652" s="20">
        <v>41138</v>
      </c>
      <c r="E652" s="25">
        <v>790</v>
      </c>
      <c r="F652" s="25">
        <v>0</v>
      </c>
      <c r="G652" s="25">
        <v>0</v>
      </c>
      <c r="H652" s="25">
        <v>0</v>
      </c>
      <c r="I652" s="25">
        <v>0</v>
      </c>
    </row>
    <row r="653" spans="1:9" x14ac:dyDescent="0.25">
      <c r="A653" s="42" t="s">
        <v>1356</v>
      </c>
      <c r="B653" s="43" t="s">
        <v>39</v>
      </c>
      <c r="C653" s="24">
        <v>611704</v>
      </c>
      <c r="D653" s="20">
        <v>41143</v>
      </c>
      <c r="E653" s="25">
        <v>481</v>
      </c>
      <c r="F653" s="25">
        <v>0</v>
      </c>
      <c r="G653" s="25">
        <v>0</v>
      </c>
      <c r="H653" s="25">
        <v>0</v>
      </c>
      <c r="I653" s="25">
        <v>0</v>
      </c>
    </row>
    <row r="654" spans="1:9" x14ac:dyDescent="0.25">
      <c r="A654" s="42" t="s">
        <v>1356</v>
      </c>
      <c r="B654" s="43" t="s">
        <v>39</v>
      </c>
      <c r="C654" s="24">
        <v>611704</v>
      </c>
      <c r="D654" s="20">
        <v>41150</v>
      </c>
      <c r="E654" s="25">
        <v>466</v>
      </c>
      <c r="F654" s="25">
        <v>33</v>
      </c>
      <c r="G654" s="25">
        <v>12882</v>
      </c>
      <c r="H654" s="25">
        <v>8</v>
      </c>
      <c r="I654" s="25">
        <v>0</v>
      </c>
    </row>
    <row r="655" spans="1:9" x14ac:dyDescent="0.25">
      <c r="A655" s="42" t="s">
        <v>1356</v>
      </c>
      <c r="B655" s="43" t="s">
        <v>39</v>
      </c>
      <c r="C655" s="24">
        <v>611704</v>
      </c>
      <c r="D655" s="20">
        <v>41136</v>
      </c>
      <c r="E655" s="25">
        <v>85</v>
      </c>
      <c r="F655" s="25">
        <v>0</v>
      </c>
      <c r="G655" s="25">
        <v>0</v>
      </c>
      <c r="H655" s="25">
        <v>0</v>
      </c>
      <c r="I655" s="25">
        <v>0</v>
      </c>
    </row>
    <row r="656" spans="1:9" x14ac:dyDescent="0.25">
      <c r="A656" s="42" t="s">
        <v>1356</v>
      </c>
      <c r="B656" s="43" t="s">
        <v>39</v>
      </c>
      <c r="C656" s="24">
        <v>611704</v>
      </c>
      <c r="D656" s="20">
        <v>41137</v>
      </c>
      <c r="E656" s="25">
        <v>480</v>
      </c>
      <c r="F656" s="25">
        <v>8</v>
      </c>
      <c r="G656" s="25">
        <v>3317</v>
      </c>
      <c r="H656" s="25">
        <v>0</v>
      </c>
      <c r="I656" s="25">
        <v>0</v>
      </c>
    </row>
    <row r="657" spans="1:9" x14ac:dyDescent="0.25">
      <c r="A657" s="42" t="s">
        <v>1355</v>
      </c>
      <c r="B657" s="42" t="s">
        <v>36</v>
      </c>
      <c r="C657" s="24">
        <v>610832</v>
      </c>
      <c r="D657" s="20">
        <v>41124</v>
      </c>
      <c r="E657" s="25">
        <v>478</v>
      </c>
      <c r="F657" s="25">
        <v>11</v>
      </c>
      <c r="G657" s="25">
        <v>2944</v>
      </c>
      <c r="H657" s="25">
        <v>4</v>
      </c>
      <c r="I657" s="25">
        <v>0</v>
      </c>
    </row>
    <row r="658" spans="1:9" x14ac:dyDescent="0.25">
      <c r="A658" s="42" t="s">
        <v>1356</v>
      </c>
      <c r="B658" s="42" t="s">
        <v>37</v>
      </c>
      <c r="C658" s="24">
        <v>610208</v>
      </c>
      <c r="D658" s="20">
        <v>41124</v>
      </c>
      <c r="E658" s="25">
        <v>478</v>
      </c>
      <c r="F658" s="25">
        <v>11</v>
      </c>
      <c r="G658" s="25">
        <v>3076</v>
      </c>
      <c r="H658" s="25">
        <v>3</v>
      </c>
      <c r="I658" s="25">
        <v>0</v>
      </c>
    </row>
    <row r="659" spans="1:9" x14ac:dyDescent="0.25">
      <c r="A659" s="42" t="s">
        <v>1355</v>
      </c>
      <c r="B659" s="42" t="s">
        <v>34</v>
      </c>
      <c r="C659" s="24">
        <v>613447</v>
      </c>
      <c r="D659" s="20">
        <v>41149</v>
      </c>
      <c r="E659" s="25">
        <v>790</v>
      </c>
      <c r="F659" s="25">
        <v>0</v>
      </c>
      <c r="G659" s="25">
        <v>0</v>
      </c>
      <c r="H659" s="25">
        <v>0</v>
      </c>
      <c r="I659" s="25">
        <v>0</v>
      </c>
    </row>
    <row r="660" spans="1:9" x14ac:dyDescent="0.25">
      <c r="A660" s="42" t="s">
        <v>1356</v>
      </c>
      <c r="B660" s="42" t="s">
        <v>38</v>
      </c>
      <c r="C660" s="24">
        <v>610340</v>
      </c>
      <c r="D660" s="20">
        <v>41141</v>
      </c>
      <c r="E660" s="25">
        <v>465</v>
      </c>
      <c r="F660" s="25">
        <v>0</v>
      </c>
      <c r="G660" s="25">
        <v>0</v>
      </c>
      <c r="H660" s="25">
        <v>0</v>
      </c>
      <c r="I660" s="25">
        <v>0</v>
      </c>
    </row>
    <row r="661" spans="1:9" x14ac:dyDescent="0.25">
      <c r="A661" s="42" t="s">
        <v>1356</v>
      </c>
      <c r="B661" s="43" t="s">
        <v>39</v>
      </c>
      <c r="C661" s="24">
        <v>611704</v>
      </c>
      <c r="D661" s="20">
        <v>41142</v>
      </c>
      <c r="E661" s="25">
        <v>466</v>
      </c>
      <c r="F661" s="25">
        <v>20</v>
      </c>
      <c r="G661" s="25">
        <v>7610</v>
      </c>
      <c r="H661" s="25">
        <v>3</v>
      </c>
      <c r="I661" s="25">
        <v>10</v>
      </c>
    </row>
    <row r="662" spans="1:9" x14ac:dyDescent="0.25">
      <c r="A662" s="42" t="s">
        <v>1355</v>
      </c>
      <c r="B662" s="42" t="s">
        <v>34</v>
      </c>
      <c r="C662" s="24">
        <v>613447</v>
      </c>
      <c r="D662" s="20">
        <v>41129</v>
      </c>
      <c r="E662" s="25">
        <v>478</v>
      </c>
      <c r="F662" s="25">
        <v>9</v>
      </c>
      <c r="G662" s="25">
        <v>2331</v>
      </c>
      <c r="H662" s="25">
        <v>30</v>
      </c>
      <c r="I662" s="25">
        <v>65</v>
      </c>
    </row>
    <row r="663" spans="1:9" x14ac:dyDescent="0.25">
      <c r="A663" s="42" t="s">
        <v>1356</v>
      </c>
      <c r="B663" s="42" t="s">
        <v>38</v>
      </c>
      <c r="C663" s="24">
        <v>610340</v>
      </c>
      <c r="D663" s="20">
        <v>41136</v>
      </c>
      <c r="E663" s="25">
        <v>478</v>
      </c>
      <c r="F663" s="25">
        <v>9</v>
      </c>
      <c r="G663" s="25">
        <v>2405</v>
      </c>
      <c r="H663" s="25">
        <v>0</v>
      </c>
      <c r="I663" s="25">
        <v>0</v>
      </c>
    </row>
    <row r="664" spans="1:9" x14ac:dyDescent="0.25">
      <c r="A664" s="42" t="s">
        <v>1355</v>
      </c>
      <c r="B664" s="42" t="s">
        <v>35</v>
      </c>
      <c r="C664" s="24">
        <v>611419</v>
      </c>
      <c r="D664" s="20">
        <v>41145</v>
      </c>
      <c r="E664" s="25">
        <v>467</v>
      </c>
      <c r="F664" s="25">
        <v>0</v>
      </c>
      <c r="G664" s="25">
        <v>0</v>
      </c>
      <c r="H664" s="25">
        <v>0</v>
      </c>
      <c r="I664" s="25">
        <v>0</v>
      </c>
    </row>
    <row r="665" spans="1:9" x14ac:dyDescent="0.25">
      <c r="A665" s="42" t="s">
        <v>1355</v>
      </c>
      <c r="B665" s="42" t="s">
        <v>35</v>
      </c>
      <c r="C665" s="24">
        <v>611419</v>
      </c>
      <c r="D665" s="20">
        <v>41152</v>
      </c>
      <c r="E665" s="25">
        <v>85</v>
      </c>
      <c r="F665" s="25">
        <v>0</v>
      </c>
      <c r="G665" s="25">
        <v>0</v>
      </c>
      <c r="H665" s="25">
        <v>0</v>
      </c>
      <c r="I665" s="25">
        <v>0</v>
      </c>
    </row>
    <row r="666" spans="1:9" x14ac:dyDescent="0.25">
      <c r="A666" s="42" t="s">
        <v>1356</v>
      </c>
      <c r="B666" s="42" t="s">
        <v>38</v>
      </c>
      <c r="C666" s="24">
        <v>610340</v>
      </c>
      <c r="D666" s="20">
        <v>41144</v>
      </c>
      <c r="E666" s="25">
        <v>478</v>
      </c>
      <c r="F666" s="25">
        <v>5</v>
      </c>
      <c r="G666" s="25">
        <v>1142</v>
      </c>
      <c r="H666" s="25">
        <v>0</v>
      </c>
      <c r="I666" s="25">
        <v>0</v>
      </c>
    </row>
    <row r="667" spans="1:9" x14ac:dyDescent="0.25">
      <c r="A667" s="42" t="s">
        <v>1355</v>
      </c>
      <c r="B667" s="42" t="s">
        <v>36</v>
      </c>
      <c r="C667" s="24">
        <v>610832</v>
      </c>
      <c r="D667" s="20">
        <v>41148</v>
      </c>
      <c r="E667" s="25">
        <v>478</v>
      </c>
      <c r="F667" s="25">
        <v>41</v>
      </c>
      <c r="G667" s="25">
        <v>14683</v>
      </c>
      <c r="H667" s="25">
        <v>6</v>
      </c>
      <c r="I667" s="25">
        <v>64</v>
      </c>
    </row>
    <row r="668" spans="1:9" x14ac:dyDescent="0.25">
      <c r="A668" s="42" t="s">
        <v>1355</v>
      </c>
      <c r="B668" s="42" t="s">
        <v>36</v>
      </c>
      <c r="C668" s="24">
        <v>610832</v>
      </c>
      <c r="D668" s="20">
        <v>41145</v>
      </c>
      <c r="E668" s="25">
        <v>790</v>
      </c>
      <c r="F668" s="25">
        <v>0</v>
      </c>
      <c r="G668" s="25">
        <v>0</v>
      </c>
      <c r="H668" s="25">
        <v>0</v>
      </c>
      <c r="I668" s="25">
        <v>0</v>
      </c>
    </row>
    <row r="669" spans="1:9" x14ac:dyDescent="0.25">
      <c r="A669" s="42" t="s">
        <v>1356</v>
      </c>
      <c r="B669" s="42" t="s">
        <v>37</v>
      </c>
      <c r="C669" s="24">
        <v>610208</v>
      </c>
      <c r="D669" s="20">
        <v>41127</v>
      </c>
      <c r="E669" s="25">
        <v>477</v>
      </c>
      <c r="F669" s="25">
        <v>50</v>
      </c>
      <c r="G669" s="25">
        <v>14130</v>
      </c>
      <c r="H669" s="25">
        <v>20</v>
      </c>
      <c r="I669" s="25">
        <v>0</v>
      </c>
    </row>
    <row r="670" spans="1:9" x14ac:dyDescent="0.25">
      <c r="A670" s="42" t="s">
        <v>1355</v>
      </c>
      <c r="B670" s="42" t="s">
        <v>35</v>
      </c>
      <c r="C670" s="24">
        <v>611419</v>
      </c>
      <c r="D670" s="20">
        <v>41151</v>
      </c>
      <c r="E670" s="25">
        <v>480</v>
      </c>
      <c r="F670" s="25">
        <v>9</v>
      </c>
      <c r="G670" s="25">
        <v>1603</v>
      </c>
      <c r="H670" s="25">
        <v>4</v>
      </c>
      <c r="I670" s="25">
        <v>1027</v>
      </c>
    </row>
    <row r="671" spans="1:9" x14ac:dyDescent="0.25">
      <c r="A671" s="42" t="s">
        <v>1356</v>
      </c>
      <c r="B671" s="43" t="s">
        <v>39</v>
      </c>
      <c r="C671" s="24">
        <v>611704</v>
      </c>
      <c r="D671" s="20">
        <v>41141</v>
      </c>
      <c r="E671" s="25">
        <v>482</v>
      </c>
      <c r="F671" s="25">
        <v>14</v>
      </c>
      <c r="G671" s="25">
        <v>4328</v>
      </c>
      <c r="H671" s="25">
        <v>0</v>
      </c>
      <c r="I671" s="25">
        <v>0</v>
      </c>
    </row>
    <row r="672" spans="1:9" x14ac:dyDescent="0.25">
      <c r="A672" s="42" t="s">
        <v>1356</v>
      </c>
      <c r="B672" s="42" t="s">
        <v>37</v>
      </c>
      <c r="C672" s="24">
        <v>610208</v>
      </c>
      <c r="D672" s="20">
        <v>41130</v>
      </c>
      <c r="E672" s="25">
        <v>85</v>
      </c>
      <c r="F672" s="25">
        <v>0</v>
      </c>
      <c r="G672" s="25">
        <v>0</v>
      </c>
      <c r="H672" s="25">
        <v>0</v>
      </c>
      <c r="I672" s="25">
        <v>0</v>
      </c>
    </row>
    <row r="673" spans="1:9" x14ac:dyDescent="0.25">
      <c r="A673" s="42" t="s">
        <v>1356</v>
      </c>
      <c r="B673" s="42" t="s">
        <v>37</v>
      </c>
      <c r="C673" s="24">
        <v>610208</v>
      </c>
      <c r="D673" s="20">
        <v>41142</v>
      </c>
      <c r="E673" s="25">
        <v>482</v>
      </c>
      <c r="F673" s="25">
        <v>8</v>
      </c>
      <c r="G673" s="25">
        <v>2171</v>
      </c>
      <c r="H673" s="25">
        <v>0</v>
      </c>
      <c r="I673" s="25">
        <v>0</v>
      </c>
    </row>
    <row r="674" spans="1:9" x14ac:dyDescent="0.25">
      <c r="A674" s="42" t="s">
        <v>1356</v>
      </c>
      <c r="B674" s="42" t="s">
        <v>37</v>
      </c>
      <c r="C674" s="24">
        <v>610208</v>
      </c>
      <c r="D674" s="20">
        <v>41151</v>
      </c>
      <c r="E674" s="25">
        <v>484</v>
      </c>
      <c r="F674" s="25">
        <v>1</v>
      </c>
      <c r="G674" s="25">
        <v>325</v>
      </c>
      <c r="H674" s="25">
        <v>0</v>
      </c>
      <c r="I674" s="25">
        <v>0</v>
      </c>
    </row>
    <row r="675" spans="1:9" x14ac:dyDescent="0.25">
      <c r="A675" s="42" t="s">
        <v>1356</v>
      </c>
      <c r="B675" s="43" t="s">
        <v>39</v>
      </c>
      <c r="C675" s="24">
        <v>611704</v>
      </c>
      <c r="D675" s="20">
        <v>41130</v>
      </c>
      <c r="E675" s="25">
        <v>790</v>
      </c>
      <c r="F675" s="25">
        <v>0</v>
      </c>
      <c r="G675" s="25">
        <v>0</v>
      </c>
      <c r="H675" s="25">
        <v>0</v>
      </c>
      <c r="I675" s="25">
        <v>0</v>
      </c>
    </row>
    <row r="676" spans="1:9" x14ac:dyDescent="0.25">
      <c r="A676" s="42" t="s">
        <v>1355</v>
      </c>
      <c r="B676" s="42" t="s">
        <v>36</v>
      </c>
      <c r="C676" s="24">
        <v>610832</v>
      </c>
      <c r="D676" s="20">
        <v>41122</v>
      </c>
      <c r="E676" s="25">
        <v>790</v>
      </c>
      <c r="F676" s="25">
        <v>0</v>
      </c>
      <c r="G676" s="25">
        <v>0</v>
      </c>
      <c r="H676" s="25">
        <v>0</v>
      </c>
      <c r="I676" s="25">
        <v>0</v>
      </c>
    </row>
    <row r="677" spans="1:9" x14ac:dyDescent="0.25">
      <c r="A677" s="42" t="s">
        <v>1356</v>
      </c>
      <c r="B677" s="43" t="s">
        <v>39</v>
      </c>
      <c r="C677" s="24">
        <v>611704</v>
      </c>
      <c r="D677" s="20">
        <v>41149</v>
      </c>
      <c r="E677" s="25">
        <v>467</v>
      </c>
      <c r="F677" s="25">
        <v>0</v>
      </c>
      <c r="G677" s="25">
        <v>0</v>
      </c>
      <c r="H677" s="25">
        <v>0</v>
      </c>
      <c r="I677" s="25">
        <v>0</v>
      </c>
    </row>
    <row r="678" spans="1:9" x14ac:dyDescent="0.25">
      <c r="A678" s="42" t="s">
        <v>1355</v>
      </c>
      <c r="B678" s="42" t="s">
        <v>34</v>
      </c>
      <c r="C678" s="24">
        <v>613447</v>
      </c>
      <c r="D678" s="20">
        <v>41148</v>
      </c>
      <c r="E678" s="25">
        <v>467</v>
      </c>
      <c r="F678" s="25">
        <v>0</v>
      </c>
      <c r="G678" s="25">
        <v>0</v>
      </c>
      <c r="H678" s="25">
        <v>0</v>
      </c>
      <c r="I678" s="25">
        <v>0</v>
      </c>
    </row>
    <row r="679" spans="1:9" x14ac:dyDescent="0.25">
      <c r="A679" s="42" t="s">
        <v>1356</v>
      </c>
      <c r="B679" s="42" t="s">
        <v>37</v>
      </c>
      <c r="C679" s="24">
        <v>610208</v>
      </c>
      <c r="D679" s="20">
        <v>41125</v>
      </c>
      <c r="E679" s="25">
        <v>481</v>
      </c>
      <c r="F679" s="25">
        <v>0</v>
      </c>
      <c r="G679" s="25">
        <v>0</v>
      </c>
      <c r="H679" s="25">
        <v>0</v>
      </c>
      <c r="I679" s="25">
        <v>0</v>
      </c>
    </row>
    <row r="680" spans="1:9" x14ac:dyDescent="0.25">
      <c r="A680" s="42" t="s">
        <v>1356</v>
      </c>
      <c r="B680" s="43" t="s">
        <v>39</v>
      </c>
      <c r="C680" s="24">
        <v>611704</v>
      </c>
      <c r="D680" s="20">
        <v>41151</v>
      </c>
      <c r="E680" s="25">
        <v>790</v>
      </c>
      <c r="F680" s="25">
        <v>0</v>
      </c>
      <c r="G680" s="25">
        <v>0</v>
      </c>
      <c r="H680" s="25">
        <v>0</v>
      </c>
      <c r="I680" s="25">
        <v>0</v>
      </c>
    </row>
    <row r="681" spans="1:9" x14ac:dyDescent="0.25">
      <c r="A681" s="42" t="s">
        <v>1356</v>
      </c>
      <c r="B681" s="42" t="s">
        <v>37</v>
      </c>
      <c r="C681" s="24">
        <v>610208</v>
      </c>
      <c r="D681" s="20">
        <v>41136</v>
      </c>
      <c r="E681" s="25">
        <v>466</v>
      </c>
      <c r="F681" s="25">
        <v>15</v>
      </c>
      <c r="G681" s="25">
        <v>4063</v>
      </c>
      <c r="H681" s="25">
        <v>0</v>
      </c>
      <c r="I681" s="25">
        <v>0</v>
      </c>
    </row>
    <row r="682" spans="1:9" x14ac:dyDescent="0.25">
      <c r="A682" s="42" t="s">
        <v>1356</v>
      </c>
      <c r="B682" s="43" t="s">
        <v>39</v>
      </c>
      <c r="C682" s="24">
        <v>611704</v>
      </c>
      <c r="D682" s="20">
        <v>41143</v>
      </c>
      <c r="E682" s="25">
        <v>790</v>
      </c>
      <c r="F682" s="25">
        <v>0</v>
      </c>
      <c r="G682" s="25">
        <v>0</v>
      </c>
      <c r="H682" s="25">
        <v>0</v>
      </c>
      <c r="I682" s="25">
        <v>0</v>
      </c>
    </row>
    <row r="683" spans="1:9" x14ac:dyDescent="0.25">
      <c r="A683" s="42" t="s">
        <v>1355</v>
      </c>
      <c r="B683" s="42" t="s">
        <v>34</v>
      </c>
      <c r="C683" s="24">
        <v>613447</v>
      </c>
      <c r="D683" s="20">
        <v>41127</v>
      </c>
      <c r="E683" s="25">
        <v>477</v>
      </c>
      <c r="F683" s="25">
        <v>32</v>
      </c>
      <c r="G683" s="25">
        <v>11128</v>
      </c>
      <c r="H683" s="25">
        <v>0</v>
      </c>
      <c r="I683" s="25">
        <v>436</v>
      </c>
    </row>
    <row r="684" spans="1:9" x14ac:dyDescent="0.25">
      <c r="A684" s="42" t="s">
        <v>1356</v>
      </c>
      <c r="B684" s="43" t="s">
        <v>39</v>
      </c>
      <c r="C684" s="24">
        <v>611704</v>
      </c>
      <c r="D684" s="20">
        <v>41152</v>
      </c>
      <c r="E684" s="25">
        <v>478</v>
      </c>
      <c r="F684" s="25">
        <v>3</v>
      </c>
      <c r="G684" s="25">
        <v>1107</v>
      </c>
      <c r="H684" s="25">
        <v>0</v>
      </c>
      <c r="I684" s="25">
        <v>40</v>
      </c>
    </row>
    <row r="685" spans="1:9" x14ac:dyDescent="0.25">
      <c r="A685" s="42" t="s">
        <v>1356</v>
      </c>
      <c r="B685" s="43" t="s">
        <v>39</v>
      </c>
      <c r="C685" s="24">
        <v>611704</v>
      </c>
      <c r="D685" s="20">
        <v>41144</v>
      </c>
      <c r="E685" s="25">
        <v>478</v>
      </c>
      <c r="F685" s="25">
        <v>1</v>
      </c>
      <c r="G685" s="25">
        <v>226</v>
      </c>
      <c r="H685" s="25">
        <v>0</v>
      </c>
      <c r="I685" s="25">
        <v>0</v>
      </c>
    </row>
    <row r="686" spans="1:9" x14ac:dyDescent="0.25">
      <c r="A686" s="42" t="s">
        <v>1355</v>
      </c>
      <c r="B686" s="42" t="s">
        <v>34</v>
      </c>
      <c r="C686" s="24">
        <v>613447</v>
      </c>
      <c r="D686" s="20">
        <v>41148</v>
      </c>
      <c r="E686" s="25">
        <v>477</v>
      </c>
      <c r="F686" s="25">
        <v>1</v>
      </c>
      <c r="G686" s="25">
        <v>328</v>
      </c>
      <c r="H686" s="25">
        <v>0</v>
      </c>
      <c r="I686" s="25">
        <v>0</v>
      </c>
    </row>
    <row r="687" spans="1:9" x14ac:dyDescent="0.25">
      <c r="A687" s="42" t="s">
        <v>1356</v>
      </c>
      <c r="B687" s="43" t="s">
        <v>39</v>
      </c>
      <c r="C687" s="24">
        <v>611704</v>
      </c>
      <c r="D687" s="20">
        <v>41149</v>
      </c>
      <c r="E687" s="25">
        <v>481</v>
      </c>
      <c r="F687" s="25">
        <v>2</v>
      </c>
      <c r="G687" s="25">
        <v>566</v>
      </c>
      <c r="H687" s="25">
        <v>12</v>
      </c>
      <c r="I687" s="25">
        <v>0</v>
      </c>
    </row>
    <row r="688" spans="1:9" x14ac:dyDescent="0.25">
      <c r="A688" s="42" t="s">
        <v>1356</v>
      </c>
      <c r="B688" s="42" t="s">
        <v>38</v>
      </c>
      <c r="C688" s="24">
        <v>610340</v>
      </c>
      <c r="D688" s="20">
        <v>41124</v>
      </c>
      <c r="E688" s="25">
        <v>478</v>
      </c>
      <c r="F688" s="25">
        <v>12</v>
      </c>
      <c r="G688" s="25">
        <v>3341</v>
      </c>
      <c r="H688" s="25">
        <v>0</v>
      </c>
      <c r="I688" s="25">
        <v>0</v>
      </c>
    </row>
    <row r="689" spans="1:9" x14ac:dyDescent="0.25">
      <c r="A689" s="42" t="s">
        <v>1356</v>
      </c>
      <c r="B689" s="43" t="s">
        <v>39</v>
      </c>
      <c r="C689" s="24">
        <v>611704</v>
      </c>
      <c r="D689" s="20">
        <v>41149</v>
      </c>
      <c r="E689" s="25">
        <v>85</v>
      </c>
      <c r="F689" s="25">
        <v>0</v>
      </c>
      <c r="G689" s="25">
        <v>0</v>
      </c>
      <c r="H689" s="25">
        <v>0</v>
      </c>
      <c r="I689" s="25">
        <v>0</v>
      </c>
    </row>
    <row r="690" spans="1:9" x14ac:dyDescent="0.25">
      <c r="A690" s="42" t="s">
        <v>1355</v>
      </c>
      <c r="B690" s="42" t="s">
        <v>34</v>
      </c>
      <c r="C690" s="24">
        <v>613447</v>
      </c>
      <c r="D690" s="20">
        <v>41151</v>
      </c>
      <c r="E690" s="25">
        <v>478</v>
      </c>
      <c r="F690" s="25">
        <v>45</v>
      </c>
      <c r="G690" s="25">
        <v>13220</v>
      </c>
      <c r="H690" s="25">
        <v>0</v>
      </c>
      <c r="I690" s="25">
        <v>694</v>
      </c>
    </row>
    <row r="691" spans="1:9" x14ac:dyDescent="0.25">
      <c r="A691" s="42" t="s">
        <v>1356</v>
      </c>
      <c r="B691" s="42" t="s">
        <v>37</v>
      </c>
      <c r="C691" s="24">
        <v>610208</v>
      </c>
      <c r="D691" s="20">
        <v>41143</v>
      </c>
      <c r="E691" s="25">
        <v>790</v>
      </c>
      <c r="F691" s="25">
        <v>0</v>
      </c>
      <c r="G691" s="25">
        <v>0</v>
      </c>
      <c r="H691" s="25">
        <v>0</v>
      </c>
      <c r="I691" s="25">
        <v>0</v>
      </c>
    </row>
    <row r="692" spans="1:9" x14ac:dyDescent="0.25">
      <c r="A692" s="42" t="s">
        <v>1355</v>
      </c>
      <c r="B692" s="42" t="s">
        <v>35</v>
      </c>
      <c r="C692" s="24">
        <v>611419</v>
      </c>
      <c r="D692" s="20">
        <v>41127</v>
      </c>
      <c r="E692" s="25">
        <v>477</v>
      </c>
      <c r="F692" s="25">
        <v>44</v>
      </c>
      <c r="G692" s="25">
        <v>12649</v>
      </c>
      <c r="H692" s="25">
        <v>139</v>
      </c>
      <c r="I692" s="25">
        <v>84</v>
      </c>
    </row>
    <row r="693" spans="1:9" x14ac:dyDescent="0.25">
      <c r="A693" s="42" t="s">
        <v>1355</v>
      </c>
      <c r="B693" s="42" t="s">
        <v>35</v>
      </c>
      <c r="C693" s="24">
        <v>611419</v>
      </c>
      <c r="D693" s="20">
        <v>41150</v>
      </c>
      <c r="E693" s="25">
        <v>465</v>
      </c>
      <c r="F693" s="25">
        <v>0</v>
      </c>
      <c r="G693" s="25">
        <v>0</v>
      </c>
      <c r="H693" s="25">
        <v>0</v>
      </c>
      <c r="I693" s="25">
        <v>0</v>
      </c>
    </row>
    <row r="694" spans="1:9" x14ac:dyDescent="0.25">
      <c r="A694" s="42" t="s">
        <v>1355</v>
      </c>
      <c r="B694" s="42" t="s">
        <v>34</v>
      </c>
      <c r="C694" s="24">
        <v>613447</v>
      </c>
      <c r="D694" s="20">
        <v>41143</v>
      </c>
      <c r="E694" s="25">
        <v>477</v>
      </c>
      <c r="F694" s="25">
        <v>26</v>
      </c>
      <c r="G694" s="25">
        <v>8579</v>
      </c>
      <c r="H694" s="25">
        <v>3</v>
      </c>
      <c r="I694" s="25">
        <v>703</v>
      </c>
    </row>
    <row r="695" spans="1:9" x14ac:dyDescent="0.25">
      <c r="A695" s="42" t="s">
        <v>1356</v>
      </c>
      <c r="B695" s="42" t="s">
        <v>38</v>
      </c>
      <c r="C695" s="24">
        <v>610340</v>
      </c>
      <c r="D695" s="20">
        <v>41122</v>
      </c>
      <c r="E695" s="25">
        <v>478</v>
      </c>
      <c r="F695" s="25">
        <v>13</v>
      </c>
      <c r="G695" s="25">
        <v>3312</v>
      </c>
      <c r="H695" s="25">
        <v>0</v>
      </c>
      <c r="I695" s="25">
        <v>20</v>
      </c>
    </row>
    <row r="696" spans="1:9" x14ac:dyDescent="0.25">
      <c r="A696" s="42" t="s">
        <v>1356</v>
      </c>
      <c r="B696" s="42" t="s">
        <v>38</v>
      </c>
      <c r="C696" s="24">
        <v>610340</v>
      </c>
      <c r="D696" s="20">
        <v>41149</v>
      </c>
      <c r="E696" s="25">
        <v>480</v>
      </c>
      <c r="F696" s="25">
        <v>1</v>
      </c>
      <c r="G696" s="25">
        <v>362</v>
      </c>
      <c r="H696" s="25">
        <v>0</v>
      </c>
      <c r="I696" s="25">
        <v>0</v>
      </c>
    </row>
    <row r="697" spans="1:9" x14ac:dyDescent="0.25">
      <c r="A697" s="42" t="s">
        <v>1355</v>
      </c>
      <c r="B697" s="42" t="s">
        <v>35</v>
      </c>
      <c r="C697" s="24">
        <v>611419</v>
      </c>
      <c r="D697" s="20">
        <v>41146</v>
      </c>
      <c r="E697" s="25">
        <v>85</v>
      </c>
      <c r="F697" s="25">
        <v>0</v>
      </c>
      <c r="G697" s="25">
        <v>0</v>
      </c>
      <c r="H697" s="25">
        <v>0</v>
      </c>
      <c r="I697" s="25">
        <v>0</v>
      </c>
    </row>
    <row r="698" spans="1:9" x14ac:dyDescent="0.25">
      <c r="A698" s="42" t="s">
        <v>1355</v>
      </c>
      <c r="B698" s="42" t="s">
        <v>36</v>
      </c>
      <c r="C698" s="24">
        <v>610832</v>
      </c>
      <c r="D698" s="20">
        <v>41152</v>
      </c>
      <c r="E698" s="25">
        <v>466</v>
      </c>
      <c r="F698" s="25">
        <v>2</v>
      </c>
      <c r="G698" s="25">
        <v>420</v>
      </c>
      <c r="H698" s="25">
        <v>0</v>
      </c>
      <c r="I698" s="25">
        <v>0</v>
      </c>
    </row>
    <row r="699" spans="1:9" x14ac:dyDescent="0.25">
      <c r="A699" s="42" t="s">
        <v>1356</v>
      </c>
      <c r="B699" s="42" t="s">
        <v>37</v>
      </c>
      <c r="C699" s="24">
        <v>610208</v>
      </c>
      <c r="D699" s="20">
        <v>41137</v>
      </c>
      <c r="E699" s="25">
        <v>478</v>
      </c>
      <c r="F699" s="25">
        <v>4</v>
      </c>
      <c r="G699" s="25">
        <v>798</v>
      </c>
      <c r="H699" s="25">
        <v>0</v>
      </c>
      <c r="I699" s="25">
        <v>0</v>
      </c>
    </row>
    <row r="700" spans="1:9" x14ac:dyDescent="0.25">
      <c r="A700" s="42" t="s">
        <v>1356</v>
      </c>
      <c r="B700" s="42" t="s">
        <v>37</v>
      </c>
      <c r="C700" s="24">
        <v>610208</v>
      </c>
      <c r="D700" s="20">
        <v>41135</v>
      </c>
      <c r="E700" s="25">
        <v>477</v>
      </c>
      <c r="F700" s="25">
        <v>21</v>
      </c>
      <c r="G700" s="25">
        <v>6630</v>
      </c>
      <c r="H700" s="25">
        <v>33</v>
      </c>
      <c r="I700" s="25">
        <v>0</v>
      </c>
    </row>
    <row r="701" spans="1:9" x14ac:dyDescent="0.25">
      <c r="A701" s="42" t="s">
        <v>1356</v>
      </c>
      <c r="B701" s="43" t="s">
        <v>39</v>
      </c>
      <c r="C701" s="24">
        <v>611704</v>
      </c>
      <c r="D701" s="20">
        <v>41145</v>
      </c>
      <c r="E701" s="25">
        <v>85</v>
      </c>
      <c r="F701" s="25">
        <v>0</v>
      </c>
      <c r="G701" s="25">
        <v>0</v>
      </c>
      <c r="H701" s="25">
        <v>0</v>
      </c>
      <c r="I701" s="25">
        <v>0</v>
      </c>
    </row>
    <row r="702" spans="1:9" x14ac:dyDescent="0.25">
      <c r="A702" s="42" t="s">
        <v>1355</v>
      </c>
      <c r="B702" s="42" t="s">
        <v>35</v>
      </c>
      <c r="C702" s="24">
        <v>611419</v>
      </c>
      <c r="D702" s="20">
        <v>41135</v>
      </c>
      <c r="E702" s="25">
        <v>465</v>
      </c>
      <c r="F702" s="25">
        <v>0</v>
      </c>
      <c r="G702" s="25">
        <v>0</v>
      </c>
      <c r="H702" s="25">
        <v>0</v>
      </c>
      <c r="I702" s="25">
        <v>0</v>
      </c>
    </row>
    <row r="703" spans="1:9" x14ac:dyDescent="0.25">
      <c r="A703" s="42" t="s">
        <v>1355</v>
      </c>
      <c r="B703" s="42" t="s">
        <v>34</v>
      </c>
      <c r="C703" s="24">
        <v>613447</v>
      </c>
      <c r="D703" s="20">
        <v>41151</v>
      </c>
      <c r="E703" s="25">
        <v>85</v>
      </c>
      <c r="F703" s="25">
        <v>0</v>
      </c>
      <c r="G703" s="25">
        <v>0</v>
      </c>
      <c r="H703" s="25">
        <v>0</v>
      </c>
      <c r="I703" s="25">
        <v>0</v>
      </c>
    </row>
    <row r="704" spans="1:9" x14ac:dyDescent="0.25">
      <c r="A704" s="42" t="s">
        <v>1355</v>
      </c>
      <c r="B704" s="42" t="s">
        <v>36</v>
      </c>
      <c r="C704" s="24">
        <v>610832</v>
      </c>
      <c r="D704" s="20">
        <v>41136</v>
      </c>
      <c r="E704" s="25">
        <v>466</v>
      </c>
      <c r="F704" s="25">
        <v>2</v>
      </c>
      <c r="G704" s="25">
        <v>1566</v>
      </c>
      <c r="H704" s="25">
        <v>0</v>
      </c>
      <c r="I704" s="25">
        <v>3</v>
      </c>
    </row>
    <row r="705" spans="1:9" x14ac:dyDescent="0.25">
      <c r="A705" s="42" t="s">
        <v>1355</v>
      </c>
      <c r="B705" s="42" t="s">
        <v>34</v>
      </c>
      <c r="C705" s="24">
        <v>613447</v>
      </c>
      <c r="D705" s="20">
        <v>41151</v>
      </c>
      <c r="E705" s="25">
        <v>467</v>
      </c>
      <c r="F705" s="25">
        <v>0</v>
      </c>
      <c r="G705" s="25">
        <v>0</v>
      </c>
      <c r="H705" s="25">
        <v>0</v>
      </c>
      <c r="I705" s="25">
        <v>0</v>
      </c>
    </row>
    <row r="706" spans="1:9" x14ac:dyDescent="0.25">
      <c r="A706" s="42" t="s">
        <v>1355</v>
      </c>
      <c r="B706" s="42" t="s">
        <v>34</v>
      </c>
      <c r="C706" s="24">
        <v>613447</v>
      </c>
      <c r="D706" s="20">
        <v>41144</v>
      </c>
      <c r="E706" s="25">
        <v>477</v>
      </c>
      <c r="F706" s="25">
        <v>14</v>
      </c>
      <c r="G706" s="25">
        <v>3239</v>
      </c>
      <c r="H706" s="25">
        <v>0</v>
      </c>
      <c r="I706" s="25">
        <v>121</v>
      </c>
    </row>
    <row r="707" spans="1:9" x14ac:dyDescent="0.25">
      <c r="A707" s="42" t="s">
        <v>1356</v>
      </c>
      <c r="B707" s="43" t="s">
        <v>39</v>
      </c>
      <c r="C707" s="24">
        <v>611704</v>
      </c>
      <c r="D707" s="20">
        <v>41149</v>
      </c>
      <c r="E707" s="25">
        <v>466</v>
      </c>
      <c r="F707" s="25">
        <v>29</v>
      </c>
      <c r="G707" s="25">
        <v>7693</v>
      </c>
      <c r="H707" s="25">
        <v>15</v>
      </c>
      <c r="I707" s="25">
        <v>6</v>
      </c>
    </row>
    <row r="708" spans="1:9" x14ac:dyDescent="0.25">
      <c r="A708" s="42" t="s">
        <v>1356</v>
      </c>
      <c r="B708" s="42" t="s">
        <v>38</v>
      </c>
      <c r="C708" s="24">
        <v>610340</v>
      </c>
      <c r="D708" s="20">
        <v>41137</v>
      </c>
      <c r="E708" s="25">
        <v>482</v>
      </c>
      <c r="F708" s="25">
        <v>4</v>
      </c>
      <c r="G708" s="25">
        <v>618</v>
      </c>
      <c r="H708" s="25">
        <v>0</v>
      </c>
      <c r="I708" s="25">
        <v>0</v>
      </c>
    </row>
    <row r="709" spans="1:9" x14ac:dyDescent="0.25">
      <c r="A709" s="42" t="s">
        <v>1356</v>
      </c>
      <c r="B709" s="42" t="s">
        <v>37</v>
      </c>
      <c r="C709" s="24">
        <v>610208</v>
      </c>
      <c r="D709" s="20">
        <v>41125</v>
      </c>
      <c r="E709" s="25">
        <v>478</v>
      </c>
      <c r="F709" s="25">
        <v>53</v>
      </c>
      <c r="G709" s="25">
        <v>14541</v>
      </c>
      <c r="H709" s="25">
        <v>17</v>
      </c>
      <c r="I709" s="25">
        <v>0</v>
      </c>
    </row>
    <row r="710" spans="1:9" x14ac:dyDescent="0.25">
      <c r="A710" s="42" t="s">
        <v>1355</v>
      </c>
      <c r="B710" s="42" t="s">
        <v>36</v>
      </c>
      <c r="C710" s="24">
        <v>610832</v>
      </c>
      <c r="D710" s="20">
        <v>41150</v>
      </c>
      <c r="E710" s="25">
        <v>478</v>
      </c>
      <c r="F710" s="25">
        <v>49</v>
      </c>
      <c r="G710" s="25">
        <v>15087</v>
      </c>
      <c r="H710" s="25">
        <v>18</v>
      </c>
      <c r="I710" s="25">
        <v>138</v>
      </c>
    </row>
    <row r="711" spans="1:9" x14ac:dyDescent="0.25">
      <c r="A711" s="42" t="s">
        <v>1356</v>
      </c>
      <c r="B711" s="42" t="s">
        <v>38</v>
      </c>
      <c r="C711" s="24">
        <v>610340</v>
      </c>
      <c r="D711" s="20">
        <v>41122</v>
      </c>
      <c r="E711" s="25">
        <v>790</v>
      </c>
      <c r="F711" s="25">
        <v>0</v>
      </c>
      <c r="G711" s="25">
        <v>0</v>
      </c>
      <c r="H711" s="25">
        <v>0</v>
      </c>
      <c r="I711" s="25">
        <v>0</v>
      </c>
    </row>
    <row r="712" spans="1:9" x14ac:dyDescent="0.25">
      <c r="A712" s="42" t="s">
        <v>1355</v>
      </c>
      <c r="B712" s="42" t="s">
        <v>34</v>
      </c>
      <c r="C712" s="24">
        <v>613447</v>
      </c>
      <c r="D712" s="20">
        <v>41142</v>
      </c>
      <c r="E712" s="25">
        <v>480</v>
      </c>
      <c r="F712" s="25">
        <v>6</v>
      </c>
      <c r="G712" s="25">
        <v>1678</v>
      </c>
      <c r="H712" s="25">
        <v>0</v>
      </c>
      <c r="I712" s="25">
        <v>42</v>
      </c>
    </row>
    <row r="713" spans="1:9" x14ac:dyDescent="0.25">
      <c r="A713" s="42" t="s">
        <v>1355</v>
      </c>
      <c r="B713" s="42" t="s">
        <v>36</v>
      </c>
      <c r="C713" s="24">
        <v>610832</v>
      </c>
      <c r="D713" s="20">
        <v>41151</v>
      </c>
      <c r="E713" s="25">
        <v>478</v>
      </c>
      <c r="F713" s="25">
        <v>40</v>
      </c>
      <c r="G713" s="25">
        <v>12426</v>
      </c>
      <c r="H713" s="25">
        <v>9</v>
      </c>
      <c r="I713" s="25">
        <v>41</v>
      </c>
    </row>
    <row r="714" spans="1:9" x14ac:dyDescent="0.25">
      <c r="A714" s="42" t="s">
        <v>1356</v>
      </c>
      <c r="B714" s="42" t="s">
        <v>37</v>
      </c>
      <c r="C714" s="24">
        <v>610208</v>
      </c>
      <c r="D714" s="20">
        <v>41144</v>
      </c>
      <c r="E714" s="25">
        <v>480</v>
      </c>
      <c r="F714" s="25">
        <v>4</v>
      </c>
      <c r="G714" s="25">
        <v>1397</v>
      </c>
      <c r="H714" s="25">
        <v>0</v>
      </c>
      <c r="I714" s="25">
        <v>0</v>
      </c>
    </row>
    <row r="715" spans="1:9" x14ac:dyDescent="0.25">
      <c r="A715" s="42" t="s">
        <v>1356</v>
      </c>
      <c r="B715" s="42" t="s">
        <v>38</v>
      </c>
      <c r="C715" s="24">
        <v>610340</v>
      </c>
      <c r="D715" s="20">
        <v>41135</v>
      </c>
      <c r="E715" s="25">
        <v>466</v>
      </c>
      <c r="F715" s="25">
        <v>1</v>
      </c>
      <c r="G715" s="25">
        <v>74</v>
      </c>
      <c r="H715" s="25">
        <v>0</v>
      </c>
      <c r="I715" s="25">
        <v>0</v>
      </c>
    </row>
    <row r="716" spans="1:9" x14ac:dyDescent="0.25">
      <c r="A716" s="42" t="s">
        <v>1356</v>
      </c>
      <c r="B716" s="42" t="s">
        <v>37</v>
      </c>
      <c r="C716" s="24">
        <v>610208</v>
      </c>
      <c r="D716" s="20">
        <v>41152</v>
      </c>
      <c r="E716" s="25">
        <v>475</v>
      </c>
      <c r="F716" s="25">
        <v>3</v>
      </c>
      <c r="G716" s="25">
        <v>1562</v>
      </c>
      <c r="H716" s="25">
        <v>8</v>
      </c>
      <c r="I716" s="25">
        <v>0</v>
      </c>
    </row>
    <row r="717" spans="1:9" x14ac:dyDescent="0.25">
      <c r="A717" s="42" t="s">
        <v>1356</v>
      </c>
      <c r="B717" s="43" t="s">
        <v>39</v>
      </c>
      <c r="C717" s="24">
        <v>611704</v>
      </c>
      <c r="D717" s="20">
        <v>41144</v>
      </c>
      <c r="E717" s="25">
        <v>482</v>
      </c>
      <c r="F717" s="25">
        <v>9</v>
      </c>
      <c r="G717" s="25">
        <v>2590</v>
      </c>
      <c r="H717" s="25">
        <v>0</v>
      </c>
      <c r="I717" s="25">
        <v>0</v>
      </c>
    </row>
    <row r="718" spans="1:9" x14ac:dyDescent="0.25">
      <c r="A718" s="42" t="s">
        <v>1355</v>
      </c>
      <c r="B718" s="42" t="s">
        <v>34</v>
      </c>
      <c r="C718" s="24">
        <v>613447</v>
      </c>
      <c r="D718" s="20">
        <v>41149</v>
      </c>
      <c r="E718" s="25">
        <v>467</v>
      </c>
      <c r="F718" s="25">
        <v>0</v>
      </c>
      <c r="G718" s="25">
        <v>0</v>
      </c>
      <c r="H718" s="25">
        <v>0</v>
      </c>
      <c r="I718" s="25">
        <v>0</v>
      </c>
    </row>
    <row r="719" spans="1:9" x14ac:dyDescent="0.25">
      <c r="A719" s="42" t="s">
        <v>1356</v>
      </c>
      <c r="B719" s="42" t="s">
        <v>38</v>
      </c>
      <c r="C719" s="24">
        <v>610340</v>
      </c>
      <c r="D719" s="20">
        <v>41151</v>
      </c>
      <c r="E719" s="25">
        <v>481</v>
      </c>
      <c r="F719" s="25">
        <v>0</v>
      </c>
      <c r="G719" s="25">
        <v>0</v>
      </c>
      <c r="H719" s="25">
        <v>0</v>
      </c>
      <c r="I719" s="25">
        <v>0</v>
      </c>
    </row>
    <row r="720" spans="1:9" x14ac:dyDescent="0.25">
      <c r="A720" s="42" t="s">
        <v>1355</v>
      </c>
      <c r="B720" s="42" t="s">
        <v>36</v>
      </c>
      <c r="C720" s="24">
        <v>610832</v>
      </c>
      <c r="D720" s="20">
        <v>41144</v>
      </c>
      <c r="E720" s="25">
        <v>85</v>
      </c>
      <c r="F720" s="25">
        <v>0</v>
      </c>
      <c r="G720" s="25">
        <v>0</v>
      </c>
      <c r="H720" s="25">
        <v>0</v>
      </c>
      <c r="I720" s="25">
        <v>0</v>
      </c>
    </row>
    <row r="721" spans="1:9" x14ac:dyDescent="0.25">
      <c r="A721" s="42" t="s">
        <v>1356</v>
      </c>
      <c r="B721" s="42" t="s">
        <v>37</v>
      </c>
      <c r="C721" s="24">
        <v>610208</v>
      </c>
      <c r="D721" s="20">
        <v>41143</v>
      </c>
      <c r="E721" s="25">
        <v>478</v>
      </c>
      <c r="F721" s="25">
        <v>3</v>
      </c>
      <c r="G721" s="25">
        <v>627</v>
      </c>
      <c r="H721" s="25">
        <v>0</v>
      </c>
      <c r="I721" s="25">
        <v>0</v>
      </c>
    </row>
    <row r="722" spans="1:9" x14ac:dyDescent="0.25">
      <c r="A722" s="42" t="s">
        <v>1356</v>
      </c>
      <c r="B722" s="42" t="s">
        <v>38</v>
      </c>
      <c r="C722" s="24">
        <v>610340</v>
      </c>
      <c r="D722" s="20">
        <v>41145</v>
      </c>
      <c r="E722" s="25">
        <v>478</v>
      </c>
      <c r="F722" s="25">
        <v>2</v>
      </c>
      <c r="G722" s="25">
        <v>433</v>
      </c>
      <c r="H722" s="25">
        <v>0</v>
      </c>
      <c r="I722" s="25">
        <v>0</v>
      </c>
    </row>
    <row r="723" spans="1:9" x14ac:dyDescent="0.25">
      <c r="A723" s="42" t="s">
        <v>1355</v>
      </c>
      <c r="B723" s="42" t="s">
        <v>35</v>
      </c>
      <c r="C723" s="24">
        <v>611419</v>
      </c>
      <c r="D723" s="20">
        <v>41138</v>
      </c>
      <c r="E723" s="25">
        <v>482</v>
      </c>
      <c r="F723" s="25">
        <v>8</v>
      </c>
      <c r="G723" s="25">
        <v>3158</v>
      </c>
      <c r="H723" s="25">
        <v>4</v>
      </c>
      <c r="I723" s="25">
        <v>623</v>
      </c>
    </row>
    <row r="724" spans="1:9" x14ac:dyDescent="0.25">
      <c r="A724" s="42" t="s">
        <v>1356</v>
      </c>
      <c r="B724" s="42" t="s">
        <v>38</v>
      </c>
      <c r="C724" s="24">
        <v>610340</v>
      </c>
      <c r="D724" s="20">
        <v>41138</v>
      </c>
      <c r="E724" s="25">
        <v>85</v>
      </c>
      <c r="F724" s="25">
        <v>0</v>
      </c>
      <c r="G724" s="25">
        <v>0</v>
      </c>
      <c r="H724" s="25">
        <v>0</v>
      </c>
      <c r="I724" s="25">
        <v>0</v>
      </c>
    </row>
    <row r="725" spans="1:9" x14ac:dyDescent="0.25">
      <c r="A725" s="42" t="s">
        <v>1355</v>
      </c>
      <c r="B725" s="42" t="s">
        <v>34</v>
      </c>
      <c r="C725" s="24">
        <v>613447</v>
      </c>
      <c r="D725" s="20">
        <v>41141</v>
      </c>
      <c r="E725" s="25">
        <v>465</v>
      </c>
      <c r="F725" s="25">
        <v>0</v>
      </c>
      <c r="G725" s="25">
        <v>0</v>
      </c>
      <c r="H725" s="25">
        <v>0</v>
      </c>
      <c r="I725" s="25">
        <v>0</v>
      </c>
    </row>
    <row r="726" spans="1:9" x14ac:dyDescent="0.25">
      <c r="A726" s="42" t="s">
        <v>1356</v>
      </c>
      <c r="B726" s="43" t="s">
        <v>39</v>
      </c>
      <c r="C726" s="24">
        <v>611704</v>
      </c>
      <c r="D726" s="20">
        <v>41137</v>
      </c>
      <c r="E726" s="25">
        <v>477</v>
      </c>
      <c r="F726" s="25">
        <v>8</v>
      </c>
      <c r="G726" s="25">
        <v>5215</v>
      </c>
      <c r="H726" s="25">
        <v>0</v>
      </c>
      <c r="I726" s="25">
        <v>0</v>
      </c>
    </row>
    <row r="727" spans="1:9" x14ac:dyDescent="0.25">
      <c r="A727" s="42" t="s">
        <v>1356</v>
      </c>
      <c r="B727" s="42" t="s">
        <v>37</v>
      </c>
      <c r="C727" s="24">
        <v>610208</v>
      </c>
      <c r="D727" s="20">
        <v>41136</v>
      </c>
      <c r="E727" s="25">
        <v>477</v>
      </c>
      <c r="F727" s="25">
        <v>1</v>
      </c>
      <c r="G727" s="25">
        <v>346</v>
      </c>
      <c r="H727" s="25">
        <v>0</v>
      </c>
      <c r="I727" s="25">
        <v>0</v>
      </c>
    </row>
    <row r="728" spans="1:9" x14ac:dyDescent="0.25">
      <c r="A728" s="42" t="s">
        <v>1356</v>
      </c>
      <c r="B728" s="42" t="s">
        <v>37</v>
      </c>
      <c r="C728" s="24">
        <v>610208</v>
      </c>
      <c r="D728" s="20">
        <v>41149</v>
      </c>
      <c r="E728" s="25">
        <v>476</v>
      </c>
      <c r="F728" s="25">
        <v>29</v>
      </c>
      <c r="G728" s="25">
        <v>8420</v>
      </c>
      <c r="H728" s="25">
        <v>0</v>
      </c>
      <c r="I728" s="25">
        <v>0</v>
      </c>
    </row>
    <row r="729" spans="1:9" x14ac:dyDescent="0.25">
      <c r="A729" s="42" t="s">
        <v>1356</v>
      </c>
      <c r="B729" s="42" t="s">
        <v>38</v>
      </c>
      <c r="C729" s="24">
        <v>610340</v>
      </c>
      <c r="D729" s="20">
        <v>41135</v>
      </c>
      <c r="E729" s="25">
        <v>790</v>
      </c>
      <c r="F729" s="25">
        <v>0</v>
      </c>
      <c r="G729" s="25">
        <v>0</v>
      </c>
      <c r="H729" s="25">
        <v>0</v>
      </c>
      <c r="I729" s="25">
        <v>0</v>
      </c>
    </row>
    <row r="730" spans="1:9" x14ac:dyDescent="0.25">
      <c r="A730" s="42" t="s">
        <v>1355</v>
      </c>
      <c r="B730" s="42" t="s">
        <v>34</v>
      </c>
      <c r="C730" s="24">
        <v>613447</v>
      </c>
      <c r="D730" s="20">
        <v>41152</v>
      </c>
      <c r="E730" s="25">
        <v>481</v>
      </c>
      <c r="F730" s="25">
        <v>0</v>
      </c>
      <c r="G730" s="25">
        <v>0</v>
      </c>
      <c r="H730" s="25">
        <v>0</v>
      </c>
      <c r="I730" s="25">
        <v>0</v>
      </c>
    </row>
    <row r="731" spans="1:9" x14ac:dyDescent="0.25">
      <c r="A731" s="42" t="s">
        <v>1355</v>
      </c>
      <c r="B731" s="42" t="s">
        <v>34</v>
      </c>
      <c r="C731" s="24">
        <v>613447</v>
      </c>
      <c r="D731" s="20">
        <v>41135</v>
      </c>
      <c r="E731" s="25">
        <v>85</v>
      </c>
      <c r="F731" s="25">
        <v>0</v>
      </c>
      <c r="G731" s="25">
        <v>0</v>
      </c>
      <c r="H731" s="25">
        <v>0</v>
      </c>
      <c r="I731" s="25">
        <v>0</v>
      </c>
    </row>
    <row r="732" spans="1:9" x14ac:dyDescent="0.25">
      <c r="A732" s="42" t="s">
        <v>1355</v>
      </c>
      <c r="B732" s="42" t="s">
        <v>35</v>
      </c>
      <c r="C732" s="24">
        <v>611419</v>
      </c>
      <c r="D732" s="20">
        <v>41143</v>
      </c>
      <c r="E732" s="25">
        <v>480</v>
      </c>
      <c r="F732" s="25">
        <v>6</v>
      </c>
      <c r="G732" s="25">
        <v>980</v>
      </c>
      <c r="H732" s="25">
        <v>5</v>
      </c>
      <c r="I732" s="25">
        <v>501</v>
      </c>
    </row>
    <row r="733" spans="1:9" x14ac:dyDescent="0.25">
      <c r="A733" s="42" t="s">
        <v>1356</v>
      </c>
      <c r="B733" s="42" t="s">
        <v>37</v>
      </c>
      <c r="C733" s="24">
        <v>610208</v>
      </c>
      <c r="D733" s="20">
        <v>41135</v>
      </c>
      <c r="E733" s="25">
        <v>481</v>
      </c>
      <c r="F733" s="25">
        <v>0</v>
      </c>
      <c r="G733" s="25">
        <v>0</v>
      </c>
      <c r="H733" s="25">
        <v>0</v>
      </c>
      <c r="I733" s="25">
        <v>0</v>
      </c>
    </row>
    <row r="734" spans="1:9" x14ac:dyDescent="0.25">
      <c r="A734" s="42" t="s">
        <v>1355</v>
      </c>
      <c r="B734" s="42" t="s">
        <v>34</v>
      </c>
      <c r="C734" s="24">
        <v>613447</v>
      </c>
      <c r="D734" s="20">
        <v>41135</v>
      </c>
      <c r="E734" s="25">
        <v>790</v>
      </c>
      <c r="F734" s="25">
        <v>0</v>
      </c>
      <c r="G734" s="25">
        <v>0</v>
      </c>
      <c r="H734" s="25">
        <v>0</v>
      </c>
      <c r="I734" s="25">
        <v>0</v>
      </c>
    </row>
    <row r="735" spans="1:9" x14ac:dyDescent="0.25">
      <c r="A735" s="42" t="s">
        <v>1355</v>
      </c>
      <c r="B735" s="42" t="s">
        <v>34</v>
      </c>
      <c r="C735" s="24">
        <v>613447</v>
      </c>
      <c r="D735" s="20">
        <v>41137</v>
      </c>
      <c r="E735" s="25">
        <v>790</v>
      </c>
      <c r="F735" s="25">
        <v>0</v>
      </c>
      <c r="G735" s="25">
        <v>0</v>
      </c>
      <c r="H735" s="25">
        <v>0</v>
      </c>
      <c r="I735" s="25">
        <v>0</v>
      </c>
    </row>
    <row r="736" spans="1:9" x14ac:dyDescent="0.25">
      <c r="A736" s="42" t="s">
        <v>1355</v>
      </c>
      <c r="B736" s="42" t="s">
        <v>35</v>
      </c>
      <c r="C736" s="24">
        <v>611419</v>
      </c>
      <c r="D736" s="20">
        <v>41134</v>
      </c>
      <c r="E736" s="25">
        <v>477</v>
      </c>
      <c r="F736" s="25">
        <v>44</v>
      </c>
      <c r="G736" s="25">
        <v>10669</v>
      </c>
      <c r="H736" s="25">
        <v>33</v>
      </c>
      <c r="I736" s="25">
        <v>150</v>
      </c>
    </row>
    <row r="737" spans="1:9" x14ac:dyDescent="0.25">
      <c r="A737" s="42" t="s">
        <v>1355</v>
      </c>
      <c r="B737" s="42" t="s">
        <v>34</v>
      </c>
      <c r="C737" s="24">
        <v>613447</v>
      </c>
      <c r="D737" s="20">
        <v>41127</v>
      </c>
      <c r="E737" s="25">
        <v>478</v>
      </c>
      <c r="F737" s="25">
        <v>11</v>
      </c>
      <c r="G737" s="25">
        <v>3095</v>
      </c>
      <c r="H737" s="25">
        <v>0</v>
      </c>
      <c r="I737" s="25">
        <v>212</v>
      </c>
    </row>
    <row r="738" spans="1:9" x14ac:dyDescent="0.25">
      <c r="A738" s="42" t="s">
        <v>1355</v>
      </c>
      <c r="B738" s="42" t="s">
        <v>34</v>
      </c>
      <c r="C738" s="24">
        <v>613447</v>
      </c>
      <c r="D738" s="20">
        <v>41140</v>
      </c>
      <c r="E738" s="25">
        <v>467</v>
      </c>
      <c r="F738" s="25">
        <v>0</v>
      </c>
      <c r="G738" s="25">
        <v>0</v>
      </c>
      <c r="H738" s="25">
        <v>0</v>
      </c>
      <c r="I738" s="25">
        <v>0</v>
      </c>
    </row>
    <row r="739" spans="1:9" x14ac:dyDescent="0.25">
      <c r="A739" s="42" t="s">
        <v>1356</v>
      </c>
      <c r="B739" s="43" t="s">
        <v>39</v>
      </c>
      <c r="C739" s="24">
        <v>611704</v>
      </c>
      <c r="D739" s="20">
        <v>41135</v>
      </c>
      <c r="E739" s="25">
        <v>467</v>
      </c>
      <c r="F739" s="25">
        <v>0</v>
      </c>
      <c r="G739" s="25">
        <v>0</v>
      </c>
      <c r="H739" s="25">
        <v>0</v>
      </c>
      <c r="I739" s="25">
        <v>0</v>
      </c>
    </row>
    <row r="740" spans="1:9" x14ac:dyDescent="0.25">
      <c r="A740" s="42" t="s">
        <v>1355</v>
      </c>
      <c r="B740" s="42" t="s">
        <v>35</v>
      </c>
      <c r="C740" s="24">
        <v>611419</v>
      </c>
      <c r="D740" s="20">
        <v>41152</v>
      </c>
      <c r="E740" s="25">
        <v>466</v>
      </c>
      <c r="F740" s="25">
        <v>1</v>
      </c>
      <c r="G740" s="25">
        <v>308</v>
      </c>
      <c r="H740" s="25">
        <v>0</v>
      </c>
      <c r="I740" s="25">
        <v>0</v>
      </c>
    </row>
    <row r="741" spans="1:9" x14ac:dyDescent="0.25">
      <c r="A741" s="42" t="s">
        <v>1356</v>
      </c>
      <c r="B741" s="42" t="s">
        <v>37</v>
      </c>
      <c r="C741" s="24">
        <v>610208</v>
      </c>
      <c r="D741" s="20">
        <v>41138</v>
      </c>
      <c r="E741" s="25">
        <v>85</v>
      </c>
      <c r="F741" s="25">
        <v>0</v>
      </c>
      <c r="G741" s="25">
        <v>0</v>
      </c>
      <c r="H741" s="25">
        <v>0</v>
      </c>
      <c r="I741" s="25">
        <v>0</v>
      </c>
    </row>
    <row r="742" spans="1:9" x14ac:dyDescent="0.25">
      <c r="A742" s="42" t="s">
        <v>1355</v>
      </c>
      <c r="B742" s="42" t="s">
        <v>36</v>
      </c>
      <c r="C742" s="24">
        <v>610832</v>
      </c>
      <c r="D742" s="20">
        <v>41144</v>
      </c>
      <c r="E742" s="25">
        <v>790</v>
      </c>
      <c r="F742" s="25">
        <v>0</v>
      </c>
      <c r="G742" s="25">
        <v>0</v>
      </c>
      <c r="H742" s="25">
        <v>0</v>
      </c>
      <c r="I742" s="25">
        <v>0</v>
      </c>
    </row>
    <row r="743" spans="1:9" x14ac:dyDescent="0.25">
      <c r="A743" s="42" t="s">
        <v>1355</v>
      </c>
      <c r="B743" s="42" t="s">
        <v>36</v>
      </c>
      <c r="C743" s="24">
        <v>610832</v>
      </c>
      <c r="D743" s="20">
        <v>41134</v>
      </c>
      <c r="E743" s="25">
        <v>477</v>
      </c>
      <c r="F743" s="25">
        <v>48</v>
      </c>
      <c r="G743" s="25">
        <v>16700</v>
      </c>
      <c r="H743" s="25">
        <v>6</v>
      </c>
      <c r="I743" s="25">
        <v>19</v>
      </c>
    </row>
    <row r="744" spans="1:9" x14ac:dyDescent="0.25">
      <c r="A744" s="42" t="s">
        <v>1356</v>
      </c>
      <c r="B744" s="42" t="s">
        <v>38</v>
      </c>
      <c r="C744" s="24">
        <v>610340</v>
      </c>
      <c r="D744" s="20">
        <v>41145</v>
      </c>
      <c r="E744" s="25">
        <v>481</v>
      </c>
      <c r="F744" s="25">
        <v>0</v>
      </c>
      <c r="G744" s="25">
        <v>0</v>
      </c>
      <c r="H744" s="25">
        <v>0</v>
      </c>
      <c r="I744" s="25">
        <v>0</v>
      </c>
    </row>
    <row r="745" spans="1:9" x14ac:dyDescent="0.25">
      <c r="A745" s="42" t="s">
        <v>1356</v>
      </c>
      <c r="B745" s="43" t="s">
        <v>39</v>
      </c>
      <c r="C745" s="24">
        <v>611704</v>
      </c>
      <c r="D745" s="20">
        <v>41138</v>
      </c>
      <c r="E745" s="25">
        <v>477</v>
      </c>
      <c r="F745" s="25">
        <v>6</v>
      </c>
      <c r="G745" s="25">
        <v>2736</v>
      </c>
      <c r="H745" s="25">
        <v>0</v>
      </c>
      <c r="I745" s="25">
        <v>0</v>
      </c>
    </row>
    <row r="746" spans="1:9" x14ac:dyDescent="0.25">
      <c r="A746" s="42" t="s">
        <v>1356</v>
      </c>
      <c r="B746" s="42" t="s">
        <v>38</v>
      </c>
      <c r="C746" s="24">
        <v>610340</v>
      </c>
      <c r="D746" s="20">
        <v>41150</v>
      </c>
      <c r="E746" s="25">
        <v>481</v>
      </c>
      <c r="F746" s="25">
        <v>0</v>
      </c>
      <c r="G746" s="25">
        <v>0</v>
      </c>
      <c r="H746" s="25">
        <v>0</v>
      </c>
      <c r="I746" s="25">
        <v>0</v>
      </c>
    </row>
    <row r="747" spans="1:9" x14ac:dyDescent="0.25">
      <c r="A747" s="42" t="s">
        <v>1355</v>
      </c>
      <c r="B747" s="42" t="s">
        <v>36</v>
      </c>
      <c r="C747" s="24">
        <v>610832</v>
      </c>
      <c r="D747" s="20">
        <v>41146</v>
      </c>
      <c r="E747" s="25">
        <v>477</v>
      </c>
      <c r="F747" s="25">
        <v>25</v>
      </c>
      <c r="G747" s="25">
        <v>7604</v>
      </c>
      <c r="H747" s="25">
        <v>2</v>
      </c>
      <c r="I747" s="25">
        <v>0</v>
      </c>
    </row>
    <row r="748" spans="1:9" x14ac:dyDescent="0.25">
      <c r="A748" s="42" t="s">
        <v>1356</v>
      </c>
      <c r="B748" s="42" t="s">
        <v>37</v>
      </c>
      <c r="C748" s="24">
        <v>610208</v>
      </c>
      <c r="D748" s="20">
        <v>41148</v>
      </c>
      <c r="E748" s="25">
        <v>481</v>
      </c>
      <c r="F748" s="25">
        <v>1</v>
      </c>
      <c r="G748" s="25">
        <v>255</v>
      </c>
      <c r="H748" s="25">
        <v>0</v>
      </c>
      <c r="I748" s="25">
        <v>0</v>
      </c>
    </row>
    <row r="749" spans="1:9" x14ac:dyDescent="0.25">
      <c r="A749" s="42" t="s">
        <v>1355</v>
      </c>
      <c r="B749" s="42" t="s">
        <v>36</v>
      </c>
      <c r="C749" s="24">
        <v>610832</v>
      </c>
      <c r="D749" s="20">
        <v>41142</v>
      </c>
      <c r="E749" s="25">
        <v>467</v>
      </c>
      <c r="F749" s="25">
        <v>0</v>
      </c>
      <c r="G749" s="25">
        <v>0</v>
      </c>
      <c r="H749" s="25">
        <v>0</v>
      </c>
      <c r="I749" s="25">
        <v>0</v>
      </c>
    </row>
    <row r="750" spans="1:9" x14ac:dyDescent="0.25">
      <c r="A750" s="42" t="s">
        <v>1356</v>
      </c>
      <c r="B750" s="43" t="s">
        <v>39</v>
      </c>
      <c r="C750" s="24">
        <v>611704</v>
      </c>
      <c r="D750" s="20">
        <v>41149</v>
      </c>
      <c r="E750" s="25">
        <v>478</v>
      </c>
      <c r="F750" s="25">
        <v>17</v>
      </c>
      <c r="G750" s="25">
        <v>4045</v>
      </c>
      <c r="H750" s="25">
        <v>4</v>
      </c>
      <c r="I750" s="25">
        <v>0</v>
      </c>
    </row>
    <row r="751" spans="1:9" x14ac:dyDescent="0.25">
      <c r="A751" s="42" t="s">
        <v>1356</v>
      </c>
      <c r="B751" s="43" t="s">
        <v>39</v>
      </c>
      <c r="C751" s="24">
        <v>611704</v>
      </c>
      <c r="D751" s="20">
        <v>41134</v>
      </c>
      <c r="E751" s="25">
        <v>481</v>
      </c>
      <c r="F751" s="25">
        <v>0</v>
      </c>
      <c r="G751" s="25">
        <v>0</v>
      </c>
      <c r="H751" s="25">
        <v>0</v>
      </c>
      <c r="I751" s="25">
        <v>0</v>
      </c>
    </row>
    <row r="752" spans="1:9" x14ac:dyDescent="0.25">
      <c r="A752" s="42" t="s">
        <v>1356</v>
      </c>
      <c r="B752" s="42" t="s">
        <v>38</v>
      </c>
      <c r="C752" s="24">
        <v>610340</v>
      </c>
      <c r="D752" s="20">
        <v>41143</v>
      </c>
      <c r="E752" s="25">
        <v>465</v>
      </c>
      <c r="F752" s="25">
        <v>1</v>
      </c>
      <c r="G752" s="25">
        <v>718</v>
      </c>
      <c r="H752" s="25">
        <v>0</v>
      </c>
      <c r="I752" s="25">
        <v>0</v>
      </c>
    </row>
    <row r="753" spans="1:9" x14ac:dyDescent="0.25">
      <c r="A753" s="42" t="s">
        <v>1355</v>
      </c>
      <c r="B753" s="42" t="s">
        <v>35</v>
      </c>
      <c r="C753" s="24">
        <v>611419</v>
      </c>
      <c r="D753" s="20">
        <v>41146</v>
      </c>
      <c r="E753" s="25">
        <v>478</v>
      </c>
      <c r="F753" s="25">
        <v>10</v>
      </c>
      <c r="G753" s="25">
        <v>4132</v>
      </c>
      <c r="H753" s="25">
        <v>13</v>
      </c>
      <c r="I753" s="25">
        <v>75</v>
      </c>
    </row>
    <row r="754" spans="1:9" x14ac:dyDescent="0.25">
      <c r="A754" s="42" t="s">
        <v>1355</v>
      </c>
      <c r="B754" s="42" t="s">
        <v>34</v>
      </c>
      <c r="C754" s="24">
        <v>613447</v>
      </c>
      <c r="D754" s="20">
        <v>41131</v>
      </c>
      <c r="E754" s="25">
        <v>790</v>
      </c>
      <c r="F754" s="25">
        <v>0</v>
      </c>
      <c r="G754" s="25">
        <v>0</v>
      </c>
      <c r="H754" s="25">
        <v>0</v>
      </c>
      <c r="I754" s="25">
        <v>0</v>
      </c>
    </row>
    <row r="755" spans="1:9" x14ac:dyDescent="0.25">
      <c r="A755" s="42" t="s">
        <v>1355</v>
      </c>
      <c r="B755" s="42" t="s">
        <v>34</v>
      </c>
      <c r="C755" s="24">
        <v>613447</v>
      </c>
      <c r="D755" s="20">
        <v>41145</v>
      </c>
      <c r="E755" s="25">
        <v>85</v>
      </c>
      <c r="F755" s="25">
        <v>0</v>
      </c>
      <c r="G755" s="25">
        <v>0</v>
      </c>
      <c r="H755" s="25">
        <v>0</v>
      </c>
      <c r="I755" s="25">
        <v>0</v>
      </c>
    </row>
    <row r="756" spans="1:9" x14ac:dyDescent="0.25">
      <c r="A756" s="42" t="s">
        <v>1356</v>
      </c>
      <c r="B756" s="43" t="s">
        <v>39</v>
      </c>
      <c r="C756" s="24">
        <v>611704</v>
      </c>
      <c r="D756" s="20">
        <v>41152</v>
      </c>
      <c r="E756" s="25">
        <v>482</v>
      </c>
      <c r="F756" s="25">
        <v>15</v>
      </c>
      <c r="G756" s="25">
        <v>4026</v>
      </c>
      <c r="H756" s="25">
        <v>2</v>
      </c>
      <c r="I756" s="25">
        <v>0</v>
      </c>
    </row>
    <row r="757" spans="1:9" x14ac:dyDescent="0.25">
      <c r="A757" s="42" t="s">
        <v>1356</v>
      </c>
      <c r="B757" s="42" t="s">
        <v>37</v>
      </c>
      <c r="C757" s="24">
        <v>610208</v>
      </c>
      <c r="D757" s="20">
        <v>41139</v>
      </c>
      <c r="E757" s="25">
        <v>480</v>
      </c>
      <c r="F757" s="25">
        <v>11</v>
      </c>
      <c r="G757" s="25">
        <v>2133</v>
      </c>
      <c r="H757" s="25">
        <v>0</v>
      </c>
      <c r="I757" s="25">
        <v>0</v>
      </c>
    </row>
    <row r="758" spans="1:9" x14ac:dyDescent="0.25">
      <c r="A758" s="42" t="s">
        <v>1355</v>
      </c>
      <c r="B758" s="42" t="s">
        <v>34</v>
      </c>
      <c r="C758" s="24">
        <v>613447</v>
      </c>
      <c r="D758" s="20">
        <v>41124</v>
      </c>
      <c r="E758" s="25">
        <v>478</v>
      </c>
      <c r="F758" s="25">
        <v>8</v>
      </c>
      <c r="G758" s="25">
        <v>1755</v>
      </c>
      <c r="H758" s="25">
        <v>0</v>
      </c>
      <c r="I758" s="25">
        <v>81</v>
      </c>
    </row>
    <row r="759" spans="1:9" x14ac:dyDescent="0.25">
      <c r="A759" s="42" t="s">
        <v>1355</v>
      </c>
      <c r="B759" s="42" t="s">
        <v>34</v>
      </c>
      <c r="C759" s="24">
        <v>613447</v>
      </c>
      <c r="D759" s="20">
        <v>41149</v>
      </c>
      <c r="E759" s="25">
        <v>482</v>
      </c>
      <c r="F759" s="25">
        <v>16</v>
      </c>
      <c r="G759" s="25">
        <v>5682</v>
      </c>
      <c r="H759" s="25">
        <v>0</v>
      </c>
      <c r="I759" s="25">
        <v>118</v>
      </c>
    </row>
    <row r="760" spans="1:9" x14ac:dyDescent="0.25">
      <c r="A760" s="42" t="s">
        <v>1356</v>
      </c>
      <c r="B760" s="43" t="s">
        <v>39</v>
      </c>
      <c r="C760" s="24">
        <v>611704</v>
      </c>
      <c r="D760" s="20">
        <v>41137</v>
      </c>
      <c r="E760" s="25">
        <v>482</v>
      </c>
      <c r="F760" s="25">
        <v>11</v>
      </c>
      <c r="G760" s="25">
        <v>3869</v>
      </c>
      <c r="H760" s="25">
        <v>0</v>
      </c>
      <c r="I760" s="25">
        <v>0</v>
      </c>
    </row>
    <row r="761" spans="1:9" x14ac:dyDescent="0.25">
      <c r="A761" s="42" t="s">
        <v>1355</v>
      </c>
      <c r="B761" s="42" t="s">
        <v>36</v>
      </c>
      <c r="C761" s="24">
        <v>610832</v>
      </c>
      <c r="D761" s="20">
        <v>41143</v>
      </c>
      <c r="E761" s="25">
        <v>465</v>
      </c>
      <c r="F761" s="25">
        <v>0</v>
      </c>
      <c r="G761" s="25">
        <v>0</v>
      </c>
      <c r="H761" s="25">
        <v>0</v>
      </c>
      <c r="I761" s="25">
        <v>0</v>
      </c>
    </row>
    <row r="762" spans="1:9" x14ac:dyDescent="0.25">
      <c r="A762" s="42" t="s">
        <v>1355</v>
      </c>
      <c r="B762" s="42" t="s">
        <v>36</v>
      </c>
      <c r="C762" s="24">
        <v>610832</v>
      </c>
      <c r="D762" s="20">
        <v>41130</v>
      </c>
      <c r="E762" s="25">
        <v>481</v>
      </c>
      <c r="F762" s="25">
        <v>0</v>
      </c>
      <c r="G762" s="25">
        <v>0</v>
      </c>
      <c r="H762" s="25">
        <v>0</v>
      </c>
      <c r="I762" s="25">
        <v>0</v>
      </c>
    </row>
    <row r="763" spans="1:9" x14ac:dyDescent="0.25">
      <c r="A763" s="42" t="s">
        <v>1355</v>
      </c>
      <c r="B763" s="42" t="s">
        <v>36</v>
      </c>
      <c r="C763" s="24">
        <v>610832</v>
      </c>
      <c r="D763" s="20">
        <v>41139</v>
      </c>
      <c r="E763" s="25">
        <v>465</v>
      </c>
      <c r="F763" s="25">
        <v>0</v>
      </c>
      <c r="G763" s="25">
        <v>0</v>
      </c>
      <c r="H763" s="25">
        <v>0</v>
      </c>
      <c r="I763" s="25">
        <v>0</v>
      </c>
    </row>
    <row r="764" spans="1:9" x14ac:dyDescent="0.25">
      <c r="A764" s="42" t="s">
        <v>1356</v>
      </c>
      <c r="B764" s="42" t="s">
        <v>38</v>
      </c>
      <c r="C764" s="24">
        <v>610340</v>
      </c>
      <c r="D764" s="20">
        <v>41127</v>
      </c>
      <c r="E764" s="25">
        <v>85</v>
      </c>
      <c r="F764" s="25">
        <v>0</v>
      </c>
      <c r="G764" s="25">
        <v>0</v>
      </c>
      <c r="H764" s="25">
        <v>0</v>
      </c>
      <c r="I764" s="25">
        <v>0</v>
      </c>
    </row>
    <row r="765" spans="1:9" x14ac:dyDescent="0.25">
      <c r="A765" s="42" t="s">
        <v>1355</v>
      </c>
      <c r="B765" s="42" t="s">
        <v>36</v>
      </c>
      <c r="C765" s="24">
        <v>610832</v>
      </c>
      <c r="D765" s="20">
        <v>41148</v>
      </c>
      <c r="E765" s="25">
        <v>480</v>
      </c>
      <c r="F765" s="25">
        <v>1</v>
      </c>
      <c r="G765" s="25">
        <v>477</v>
      </c>
      <c r="H765" s="25">
        <v>0</v>
      </c>
      <c r="I765" s="25">
        <v>0</v>
      </c>
    </row>
    <row r="766" spans="1:9" x14ac:dyDescent="0.25">
      <c r="A766" s="42" t="s">
        <v>1356</v>
      </c>
      <c r="B766" s="43" t="s">
        <v>39</v>
      </c>
      <c r="C766" s="24">
        <v>611704</v>
      </c>
      <c r="D766" s="20">
        <v>41130</v>
      </c>
      <c r="E766" s="25">
        <v>477</v>
      </c>
      <c r="F766" s="25">
        <v>52</v>
      </c>
      <c r="G766" s="25">
        <v>14626</v>
      </c>
      <c r="H766" s="25">
        <v>3</v>
      </c>
      <c r="I766" s="25">
        <v>51</v>
      </c>
    </row>
    <row r="767" spans="1:9" x14ac:dyDescent="0.25">
      <c r="A767" s="42" t="s">
        <v>1356</v>
      </c>
      <c r="B767" s="42" t="s">
        <v>37</v>
      </c>
      <c r="C767" s="24">
        <v>610208</v>
      </c>
      <c r="D767" s="20">
        <v>41138</v>
      </c>
      <c r="E767" s="25">
        <v>465</v>
      </c>
      <c r="F767" s="25">
        <v>0</v>
      </c>
      <c r="G767" s="25">
        <v>0</v>
      </c>
      <c r="H767" s="25">
        <v>0</v>
      </c>
      <c r="I767" s="25">
        <v>0</v>
      </c>
    </row>
    <row r="768" spans="1:9" x14ac:dyDescent="0.25">
      <c r="A768" s="42" t="s">
        <v>1356</v>
      </c>
      <c r="B768" s="42" t="s">
        <v>38</v>
      </c>
      <c r="C768" s="24">
        <v>610340</v>
      </c>
      <c r="D768" s="20">
        <v>41136</v>
      </c>
      <c r="E768" s="25">
        <v>481</v>
      </c>
      <c r="F768" s="25">
        <v>5</v>
      </c>
      <c r="G768" s="25">
        <v>1748</v>
      </c>
      <c r="H768" s="25">
        <v>0</v>
      </c>
      <c r="I768" s="25">
        <v>0</v>
      </c>
    </row>
    <row r="769" spans="1:9" x14ac:dyDescent="0.25">
      <c r="A769" s="42" t="s">
        <v>1356</v>
      </c>
      <c r="B769" s="43" t="s">
        <v>39</v>
      </c>
      <c r="C769" s="24">
        <v>611704</v>
      </c>
      <c r="D769" s="20">
        <v>41152</v>
      </c>
      <c r="E769" s="25">
        <v>480</v>
      </c>
      <c r="F769" s="25">
        <v>7</v>
      </c>
      <c r="G769" s="25">
        <v>2083</v>
      </c>
      <c r="H769" s="25">
        <v>0</v>
      </c>
      <c r="I769" s="25">
        <v>0</v>
      </c>
    </row>
    <row r="770" spans="1:9" x14ac:dyDescent="0.25">
      <c r="A770" s="42" t="s">
        <v>1355</v>
      </c>
      <c r="B770" s="42" t="s">
        <v>34</v>
      </c>
      <c r="C770" s="24">
        <v>613447</v>
      </c>
      <c r="D770" s="20">
        <v>41140</v>
      </c>
      <c r="E770" s="25">
        <v>465</v>
      </c>
      <c r="F770" s="25">
        <v>0</v>
      </c>
      <c r="G770" s="25">
        <v>0</v>
      </c>
      <c r="H770" s="25">
        <v>0</v>
      </c>
      <c r="I770" s="25">
        <v>0</v>
      </c>
    </row>
    <row r="771" spans="1:9" x14ac:dyDescent="0.25">
      <c r="A771" s="42" t="s">
        <v>1356</v>
      </c>
      <c r="B771" s="42" t="s">
        <v>38</v>
      </c>
      <c r="C771" s="24">
        <v>610340</v>
      </c>
      <c r="D771" s="20">
        <v>41138</v>
      </c>
      <c r="E771" s="25">
        <v>466</v>
      </c>
      <c r="F771" s="25">
        <v>30</v>
      </c>
      <c r="G771" s="25">
        <v>8022</v>
      </c>
      <c r="H771" s="25">
        <v>16</v>
      </c>
      <c r="I771" s="25">
        <v>0</v>
      </c>
    </row>
    <row r="772" spans="1:9" x14ac:dyDescent="0.25">
      <c r="A772" s="42" t="s">
        <v>1356</v>
      </c>
      <c r="B772" s="42" t="s">
        <v>37</v>
      </c>
      <c r="C772" s="24">
        <v>610208</v>
      </c>
      <c r="D772" s="20">
        <v>41139</v>
      </c>
      <c r="E772" s="25">
        <v>790</v>
      </c>
      <c r="F772" s="25">
        <v>0</v>
      </c>
      <c r="G772" s="25">
        <v>0</v>
      </c>
      <c r="H772" s="25">
        <v>0</v>
      </c>
      <c r="I772" s="25">
        <v>0</v>
      </c>
    </row>
    <row r="773" spans="1:9" x14ac:dyDescent="0.25">
      <c r="A773" s="42" t="s">
        <v>1356</v>
      </c>
      <c r="B773" s="42" t="s">
        <v>37</v>
      </c>
      <c r="C773" s="24">
        <v>610208</v>
      </c>
      <c r="D773" s="20">
        <v>41129</v>
      </c>
      <c r="E773" s="25">
        <v>477</v>
      </c>
      <c r="F773" s="25">
        <v>43</v>
      </c>
      <c r="G773" s="25">
        <v>14404</v>
      </c>
      <c r="H773" s="25">
        <v>6</v>
      </c>
      <c r="I773" s="25">
        <v>0</v>
      </c>
    </row>
    <row r="774" spans="1:9" x14ac:dyDescent="0.25">
      <c r="A774" s="42" t="s">
        <v>1356</v>
      </c>
      <c r="B774" s="42" t="s">
        <v>37</v>
      </c>
      <c r="C774" s="24">
        <v>610208</v>
      </c>
      <c r="D774" s="20">
        <v>41141</v>
      </c>
      <c r="E774" s="25">
        <v>85</v>
      </c>
      <c r="F774" s="25">
        <v>0</v>
      </c>
      <c r="G774" s="25">
        <v>0</v>
      </c>
      <c r="H774" s="25">
        <v>0</v>
      </c>
      <c r="I774" s="25">
        <v>0</v>
      </c>
    </row>
    <row r="775" spans="1:9" x14ac:dyDescent="0.25">
      <c r="A775" s="42" t="s">
        <v>1355</v>
      </c>
      <c r="B775" s="42" t="s">
        <v>35</v>
      </c>
      <c r="C775" s="24">
        <v>611419</v>
      </c>
      <c r="D775" s="20">
        <v>41145</v>
      </c>
      <c r="E775" s="25">
        <v>477</v>
      </c>
      <c r="F775" s="25">
        <v>7</v>
      </c>
      <c r="G775" s="25">
        <v>1335</v>
      </c>
      <c r="H775" s="25">
        <v>4</v>
      </c>
      <c r="I775" s="25">
        <v>56</v>
      </c>
    </row>
    <row r="776" spans="1:9" x14ac:dyDescent="0.25">
      <c r="A776" s="42" t="s">
        <v>1356</v>
      </c>
      <c r="B776" s="42" t="s">
        <v>38</v>
      </c>
      <c r="C776" s="24">
        <v>610340</v>
      </c>
      <c r="D776" s="20">
        <v>41141</v>
      </c>
      <c r="E776" s="25">
        <v>478</v>
      </c>
      <c r="F776" s="25">
        <v>2</v>
      </c>
      <c r="G776" s="25">
        <v>348</v>
      </c>
      <c r="H776" s="25">
        <v>5</v>
      </c>
      <c r="I776" s="25">
        <v>0</v>
      </c>
    </row>
    <row r="777" spans="1:9" x14ac:dyDescent="0.25">
      <c r="A777" s="42" t="s">
        <v>1355</v>
      </c>
      <c r="B777" s="42" t="s">
        <v>35</v>
      </c>
      <c r="C777" s="24">
        <v>611419</v>
      </c>
      <c r="D777" s="20">
        <v>41150</v>
      </c>
      <c r="E777" s="25">
        <v>480</v>
      </c>
      <c r="F777" s="25">
        <v>7</v>
      </c>
      <c r="G777" s="25">
        <v>1668</v>
      </c>
      <c r="H777" s="25">
        <v>7</v>
      </c>
      <c r="I777" s="25">
        <v>892</v>
      </c>
    </row>
    <row r="778" spans="1:9" x14ac:dyDescent="0.25">
      <c r="A778" s="42" t="s">
        <v>1355</v>
      </c>
      <c r="B778" s="42" t="s">
        <v>35</v>
      </c>
      <c r="C778" s="24">
        <v>611419</v>
      </c>
      <c r="D778" s="20">
        <v>41152</v>
      </c>
      <c r="E778" s="25">
        <v>482</v>
      </c>
      <c r="F778" s="25">
        <v>18</v>
      </c>
      <c r="G778" s="25">
        <v>3212</v>
      </c>
      <c r="H778" s="25">
        <v>11</v>
      </c>
      <c r="I778" s="25">
        <v>0</v>
      </c>
    </row>
    <row r="779" spans="1:9" x14ac:dyDescent="0.25">
      <c r="A779" s="42" t="s">
        <v>1355</v>
      </c>
      <c r="B779" s="42" t="s">
        <v>34</v>
      </c>
      <c r="C779" s="24">
        <v>613447</v>
      </c>
      <c r="D779" s="20">
        <v>41146</v>
      </c>
      <c r="E779" s="25">
        <v>790</v>
      </c>
      <c r="F779" s="25">
        <v>0</v>
      </c>
      <c r="G779" s="25">
        <v>0</v>
      </c>
      <c r="H779" s="25">
        <v>0</v>
      </c>
      <c r="I779" s="25">
        <v>0</v>
      </c>
    </row>
    <row r="780" spans="1:9" x14ac:dyDescent="0.25">
      <c r="A780" s="42" t="s">
        <v>1355</v>
      </c>
      <c r="B780" s="42" t="s">
        <v>36</v>
      </c>
      <c r="C780" s="24">
        <v>610832</v>
      </c>
      <c r="D780" s="20">
        <v>41129</v>
      </c>
      <c r="E780" s="25">
        <v>481</v>
      </c>
      <c r="F780" s="25">
        <v>8</v>
      </c>
      <c r="G780" s="25">
        <v>2989</v>
      </c>
      <c r="H780" s="25">
        <v>4</v>
      </c>
      <c r="I780" s="25">
        <v>3</v>
      </c>
    </row>
    <row r="781" spans="1:9" x14ac:dyDescent="0.25">
      <c r="A781" s="42" t="s">
        <v>1355</v>
      </c>
      <c r="B781" s="42" t="s">
        <v>36</v>
      </c>
      <c r="C781" s="24">
        <v>610832</v>
      </c>
      <c r="D781" s="20">
        <v>41148</v>
      </c>
      <c r="E781" s="25">
        <v>466</v>
      </c>
      <c r="F781" s="25">
        <v>6</v>
      </c>
      <c r="G781" s="25">
        <v>1437</v>
      </c>
      <c r="H781" s="25">
        <v>3</v>
      </c>
      <c r="I781" s="25">
        <v>0</v>
      </c>
    </row>
    <row r="782" spans="1:9" x14ac:dyDescent="0.25">
      <c r="A782" s="42" t="s">
        <v>1356</v>
      </c>
      <c r="B782" s="42" t="s">
        <v>37</v>
      </c>
      <c r="C782" s="24">
        <v>610208</v>
      </c>
      <c r="D782" s="20">
        <v>41138</v>
      </c>
      <c r="E782" s="25">
        <v>478</v>
      </c>
      <c r="F782" s="25">
        <v>1</v>
      </c>
      <c r="G782" s="25">
        <v>195</v>
      </c>
      <c r="H782" s="25">
        <v>0</v>
      </c>
      <c r="I782" s="25">
        <v>0</v>
      </c>
    </row>
    <row r="783" spans="1:9" x14ac:dyDescent="0.25">
      <c r="A783" s="42" t="s">
        <v>1356</v>
      </c>
      <c r="B783" s="43" t="s">
        <v>39</v>
      </c>
      <c r="C783" s="24">
        <v>611704</v>
      </c>
      <c r="D783" s="20">
        <v>41144</v>
      </c>
      <c r="E783" s="25">
        <v>466</v>
      </c>
      <c r="F783" s="25">
        <v>32</v>
      </c>
      <c r="G783" s="25">
        <v>10349</v>
      </c>
      <c r="H783" s="25">
        <v>0</v>
      </c>
      <c r="I783" s="25">
        <v>0</v>
      </c>
    </row>
    <row r="784" spans="1:9" x14ac:dyDescent="0.25">
      <c r="A784" s="42" t="s">
        <v>1355</v>
      </c>
      <c r="B784" s="42" t="s">
        <v>36</v>
      </c>
      <c r="C784" s="24">
        <v>610832</v>
      </c>
      <c r="D784" s="20">
        <v>41127</v>
      </c>
      <c r="E784" s="25">
        <v>478</v>
      </c>
      <c r="F784" s="25">
        <v>7</v>
      </c>
      <c r="G784" s="25">
        <v>2509</v>
      </c>
      <c r="H784" s="25">
        <v>0</v>
      </c>
      <c r="I784" s="25">
        <v>0</v>
      </c>
    </row>
    <row r="785" spans="1:9" x14ac:dyDescent="0.25">
      <c r="A785" s="42" t="s">
        <v>1356</v>
      </c>
      <c r="B785" s="43" t="s">
        <v>39</v>
      </c>
      <c r="C785" s="24">
        <v>611704</v>
      </c>
      <c r="D785" s="20">
        <v>41124</v>
      </c>
      <c r="E785" s="25">
        <v>790</v>
      </c>
      <c r="F785" s="25">
        <v>0</v>
      </c>
      <c r="G785" s="25">
        <v>0</v>
      </c>
      <c r="H785" s="25">
        <v>0</v>
      </c>
      <c r="I785" s="25">
        <v>0</v>
      </c>
    </row>
    <row r="786" spans="1:9" x14ac:dyDescent="0.25">
      <c r="A786" s="42" t="s">
        <v>1355</v>
      </c>
      <c r="B786" s="42" t="s">
        <v>36</v>
      </c>
      <c r="C786" s="24">
        <v>610832</v>
      </c>
      <c r="D786" s="20">
        <v>41137</v>
      </c>
      <c r="E786" s="25">
        <v>481</v>
      </c>
      <c r="F786" s="25">
        <v>0</v>
      </c>
      <c r="G786" s="25">
        <v>0</v>
      </c>
      <c r="H786" s="25">
        <v>0</v>
      </c>
      <c r="I786" s="25">
        <v>0</v>
      </c>
    </row>
    <row r="787" spans="1:9" x14ac:dyDescent="0.25">
      <c r="A787" s="42" t="s">
        <v>1355</v>
      </c>
      <c r="B787" s="42" t="s">
        <v>35</v>
      </c>
      <c r="C787" s="24">
        <v>611419</v>
      </c>
      <c r="D787" s="20">
        <v>41141</v>
      </c>
      <c r="E787" s="25">
        <v>85</v>
      </c>
      <c r="F787" s="25">
        <v>0</v>
      </c>
      <c r="G787" s="25">
        <v>0</v>
      </c>
      <c r="H787" s="25">
        <v>0</v>
      </c>
      <c r="I787" s="25">
        <v>0</v>
      </c>
    </row>
    <row r="788" spans="1:9" x14ac:dyDescent="0.25">
      <c r="A788" s="42" t="s">
        <v>1356</v>
      </c>
      <c r="B788" s="42" t="s">
        <v>37</v>
      </c>
      <c r="C788" s="24">
        <v>610208</v>
      </c>
      <c r="D788" s="20">
        <v>41151</v>
      </c>
      <c r="E788" s="25">
        <v>791</v>
      </c>
      <c r="F788" s="25">
        <v>0</v>
      </c>
      <c r="G788" s="25">
        <v>0</v>
      </c>
      <c r="H788" s="25">
        <v>0</v>
      </c>
      <c r="I788" s="25">
        <v>0</v>
      </c>
    </row>
    <row r="789" spans="1:9" x14ac:dyDescent="0.25">
      <c r="A789" s="42" t="s">
        <v>1356</v>
      </c>
      <c r="B789" s="43" t="s">
        <v>39</v>
      </c>
      <c r="C789" s="24">
        <v>611704</v>
      </c>
      <c r="D789" s="20">
        <v>41144</v>
      </c>
      <c r="E789" s="25">
        <v>467</v>
      </c>
      <c r="F789" s="25">
        <v>0</v>
      </c>
      <c r="G789" s="25">
        <v>0</v>
      </c>
      <c r="H789" s="25">
        <v>0</v>
      </c>
      <c r="I789" s="25">
        <v>0</v>
      </c>
    </row>
    <row r="790" spans="1:9" x14ac:dyDescent="0.25">
      <c r="A790" s="42" t="s">
        <v>1355</v>
      </c>
      <c r="B790" s="42" t="s">
        <v>36</v>
      </c>
      <c r="C790" s="24">
        <v>610832</v>
      </c>
      <c r="D790" s="20">
        <v>41151</v>
      </c>
      <c r="E790" s="25">
        <v>480</v>
      </c>
      <c r="F790" s="25">
        <v>5</v>
      </c>
      <c r="G790" s="25">
        <v>1863</v>
      </c>
      <c r="H790" s="25">
        <v>0</v>
      </c>
      <c r="I790" s="25">
        <v>27</v>
      </c>
    </row>
    <row r="791" spans="1:9" x14ac:dyDescent="0.25">
      <c r="A791" s="42" t="s">
        <v>1355</v>
      </c>
      <c r="B791" s="42" t="s">
        <v>34</v>
      </c>
      <c r="C791" s="24">
        <v>613447</v>
      </c>
      <c r="D791" s="20">
        <v>41137</v>
      </c>
      <c r="E791" s="25">
        <v>482</v>
      </c>
      <c r="F791" s="25">
        <v>8</v>
      </c>
      <c r="G791" s="25">
        <v>1870</v>
      </c>
      <c r="H791" s="25">
        <v>3</v>
      </c>
      <c r="I791" s="25">
        <v>122</v>
      </c>
    </row>
    <row r="792" spans="1:9" x14ac:dyDescent="0.25">
      <c r="A792" s="42" t="s">
        <v>1356</v>
      </c>
      <c r="B792" s="42" t="s">
        <v>38</v>
      </c>
      <c r="C792" s="24">
        <v>610340</v>
      </c>
      <c r="D792" s="20">
        <v>41131</v>
      </c>
      <c r="E792" s="25">
        <v>478</v>
      </c>
      <c r="F792" s="25">
        <v>14</v>
      </c>
      <c r="G792" s="25">
        <v>4910</v>
      </c>
      <c r="H792" s="25">
        <v>0</v>
      </c>
      <c r="I792" s="25">
        <v>0</v>
      </c>
    </row>
    <row r="793" spans="1:9" x14ac:dyDescent="0.25">
      <c r="A793" s="42" t="s">
        <v>1355</v>
      </c>
      <c r="B793" s="42" t="s">
        <v>34</v>
      </c>
      <c r="C793" s="24">
        <v>613447</v>
      </c>
      <c r="D793" s="20">
        <v>41132</v>
      </c>
      <c r="E793" s="25">
        <v>477</v>
      </c>
      <c r="F793" s="25">
        <v>61</v>
      </c>
      <c r="G793" s="25">
        <v>17879</v>
      </c>
      <c r="H793" s="25">
        <v>11</v>
      </c>
      <c r="I793" s="25">
        <v>103</v>
      </c>
    </row>
    <row r="794" spans="1:9" x14ac:dyDescent="0.25">
      <c r="A794" s="42" t="s">
        <v>1355</v>
      </c>
      <c r="B794" s="42" t="s">
        <v>34</v>
      </c>
      <c r="C794" s="24">
        <v>613447</v>
      </c>
      <c r="D794" s="20">
        <v>41145</v>
      </c>
      <c r="E794" s="25">
        <v>790</v>
      </c>
      <c r="F794" s="25">
        <v>0</v>
      </c>
      <c r="G794" s="25">
        <v>0</v>
      </c>
      <c r="H794" s="25">
        <v>0</v>
      </c>
      <c r="I794" s="25">
        <v>0</v>
      </c>
    </row>
    <row r="795" spans="1:9" x14ac:dyDescent="0.25">
      <c r="A795" s="42" t="s">
        <v>1355</v>
      </c>
      <c r="B795" s="42" t="s">
        <v>35</v>
      </c>
      <c r="C795" s="24">
        <v>611419</v>
      </c>
      <c r="D795" s="20">
        <v>41150</v>
      </c>
      <c r="E795" s="25">
        <v>85</v>
      </c>
      <c r="F795" s="25">
        <v>0</v>
      </c>
      <c r="G795" s="25">
        <v>0</v>
      </c>
      <c r="H795" s="25">
        <v>0</v>
      </c>
      <c r="I795" s="25">
        <v>0</v>
      </c>
    </row>
    <row r="796" spans="1:9" x14ac:dyDescent="0.25">
      <c r="A796" s="42" t="s">
        <v>1355</v>
      </c>
      <c r="B796" s="42" t="s">
        <v>36</v>
      </c>
      <c r="C796" s="24">
        <v>610832</v>
      </c>
      <c r="D796" s="20">
        <v>41141</v>
      </c>
      <c r="E796" s="25">
        <v>790</v>
      </c>
      <c r="F796" s="25">
        <v>0</v>
      </c>
      <c r="G796" s="25">
        <v>0</v>
      </c>
      <c r="H796" s="25">
        <v>0</v>
      </c>
      <c r="I796" s="25">
        <v>0</v>
      </c>
    </row>
    <row r="797" spans="1:9" x14ac:dyDescent="0.25">
      <c r="A797" s="42" t="s">
        <v>1355</v>
      </c>
      <c r="B797" s="42" t="s">
        <v>36</v>
      </c>
      <c r="C797" s="24">
        <v>610832</v>
      </c>
      <c r="D797" s="20">
        <v>41138</v>
      </c>
      <c r="E797" s="25">
        <v>477</v>
      </c>
      <c r="F797" s="25">
        <v>9</v>
      </c>
      <c r="G797" s="25">
        <v>2698</v>
      </c>
      <c r="H797" s="25">
        <v>0</v>
      </c>
      <c r="I797" s="25">
        <v>16</v>
      </c>
    </row>
    <row r="798" spans="1:9" x14ac:dyDescent="0.25">
      <c r="A798" s="42" t="s">
        <v>1355</v>
      </c>
      <c r="B798" s="42" t="s">
        <v>35</v>
      </c>
      <c r="C798" s="24">
        <v>611419</v>
      </c>
      <c r="D798" s="20">
        <v>41142</v>
      </c>
      <c r="E798" s="25">
        <v>790</v>
      </c>
      <c r="F798" s="25">
        <v>0</v>
      </c>
      <c r="G798" s="25">
        <v>0</v>
      </c>
      <c r="H798" s="25">
        <v>0</v>
      </c>
      <c r="I798" s="25">
        <v>0</v>
      </c>
    </row>
    <row r="799" spans="1:9" x14ac:dyDescent="0.25">
      <c r="A799" s="42" t="s">
        <v>1355</v>
      </c>
      <c r="B799" s="42" t="s">
        <v>34</v>
      </c>
      <c r="C799" s="24">
        <v>613447</v>
      </c>
      <c r="D799" s="20">
        <v>41122</v>
      </c>
      <c r="E799" s="25">
        <v>790</v>
      </c>
      <c r="F799" s="25">
        <v>0</v>
      </c>
      <c r="G799" s="25">
        <v>0</v>
      </c>
      <c r="H799" s="25">
        <v>0</v>
      </c>
      <c r="I799" s="25">
        <v>0</v>
      </c>
    </row>
    <row r="800" spans="1:9" x14ac:dyDescent="0.25">
      <c r="A800" s="42" t="s">
        <v>1355</v>
      </c>
      <c r="B800" s="42" t="s">
        <v>36</v>
      </c>
      <c r="C800" s="24">
        <v>610832</v>
      </c>
      <c r="D800" s="20">
        <v>41150</v>
      </c>
      <c r="E800" s="25">
        <v>467</v>
      </c>
      <c r="F800" s="25">
        <v>0</v>
      </c>
      <c r="G800" s="25">
        <v>0</v>
      </c>
      <c r="H800" s="25">
        <v>0</v>
      </c>
      <c r="I800" s="25">
        <v>0</v>
      </c>
    </row>
    <row r="801" spans="1:9" x14ac:dyDescent="0.25">
      <c r="A801" s="42" t="s">
        <v>1356</v>
      </c>
      <c r="B801" s="43" t="s">
        <v>39</v>
      </c>
      <c r="C801" s="24">
        <v>611704</v>
      </c>
      <c r="D801" s="20">
        <v>41145</v>
      </c>
      <c r="E801" s="25">
        <v>467</v>
      </c>
      <c r="F801" s="25">
        <v>0</v>
      </c>
      <c r="G801" s="25">
        <v>0</v>
      </c>
      <c r="H801" s="25">
        <v>0</v>
      </c>
      <c r="I801" s="25">
        <v>0</v>
      </c>
    </row>
    <row r="802" spans="1:9" x14ac:dyDescent="0.25">
      <c r="A802" s="42" t="s">
        <v>1355</v>
      </c>
      <c r="B802" s="42" t="s">
        <v>34</v>
      </c>
      <c r="C802" s="24">
        <v>613447</v>
      </c>
      <c r="D802" s="20">
        <v>41140</v>
      </c>
      <c r="E802" s="25">
        <v>466</v>
      </c>
      <c r="F802" s="25">
        <v>10</v>
      </c>
      <c r="G802" s="25">
        <v>4078</v>
      </c>
      <c r="H802" s="25">
        <v>0</v>
      </c>
      <c r="I802" s="25">
        <v>0</v>
      </c>
    </row>
    <row r="803" spans="1:9" x14ac:dyDescent="0.25">
      <c r="A803" s="42" t="s">
        <v>1356</v>
      </c>
      <c r="B803" s="42" t="s">
        <v>38</v>
      </c>
      <c r="C803" s="24">
        <v>610340</v>
      </c>
      <c r="D803" s="20">
        <v>41152</v>
      </c>
      <c r="E803" s="25">
        <v>478</v>
      </c>
      <c r="F803" s="25">
        <v>31</v>
      </c>
      <c r="G803" s="25">
        <v>6958</v>
      </c>
      <c r="H803" s="25">
        <v>84</v>
      </c>
      <c r="I803" s="25">
        <v>0</v>
      </c>
    </row>
    <row r="804" spans="1:9" x14ac:dyDescent="0.25">
      <c r="A804" s="42" t="s">
        <v>1355</v>
      </c>
      <c r="B804" s="42" t="s">
        <v>34</v>
      </c>
      <c r="C804" s="24">
        <v>613447</v>
      </c>
      <c r="D804" s="20">
        <v>41140</v>
      </c>
      <c r="E804" s="25">
        <v>478</v>
      </c>
      <c r="F804" s="25">
        <v>2</v>
      </c>
      <c r="G804" s="25">
        <v>814</v>
      </c>
      <c r="H804" s="25">
        <v>0</v>
      </c>
      <c r="I804" s="25">
        <v>137</v>
      </c>
    </row>
    <row r="805" spans="1:9" x14ac:dyDescent="0.25">
      <c r="A805" s="42" t="s">
        <v>1355</v>
      </c>
      <c r="B805" s="42" t="s">
        <v>34</v>
      </c>
      <c r="C805" s="24">
        <v>613447</v>
      </c>
      <c r="D805" s="20">
        <v>41123</v>
      </c>
      <c r="E805" s="25">
        <v>478</v>
      </c>
      <c r="F805" s="25">
        <v>7</v>
      </c>
      <c r="G805" s="25">
        <v>2442</v>
      </c>
      <c r="H805" s="25">
        <v>0</v>
      </c>
      <c r="I805" s="25">
        <v>38</v>
      </c>
    </row>
    <row r="806" spans="1:9" x14ac:dyDescent="0.25">
      <c r="A806" s="42" t="s">
        <v>1355</v>
      </c>
      <c r="B806" s="42" t="s">
        <v>35</v>
      </c>
      <c r="C806" s="24">
        <v>611419</v>
      </c>
      <c r="D806" s="20">
        <v>41141</v>
      </c>
      <c r="E806" s="25">
        <v>790</v>
      </c>
      <c r="F806" s="25">
        <v>0</v>
      </c>
      <c r="G806" s="25">
        <v>0</v>
      </c>
      <c r="H806" s="25">
        <v>0</v>
      </c>
      <c r="I806" s="25">
        <v>0</v>
      </c>
    </row>
    <row r="807" spans="1:9" x14ac:dyDescent="0.25">
      <c r="A807" s="42" t="s">
        <v>1355</v>
      </c>
      <c r="B807" s="42" t="s">
        <v>35</v>
      </c>
      <c r="C807" s="24">
        <v>611419</v>
      </c>
      <c r="D807" s="20">
        <v>41145</v>
      </c>
      <c r="E807" s="25">
        <v>790</v>
      </c>
      <c r="F807" s="25">
        <v>0</v>
      </c>
      <c r="G807" s="25">
        <v>0</v>
      </c>
      <c r="H807" s="25">
        <v>0</v>
      </c>
      <c r="I807" s="25">
        <v>0</v>
      </c>
    </row>
    <row r="808" spans="1:9" x14ac:dyDescent="0.25">
      <c r="A808" s="42" t="s">
        <v>1356</v>
      </c>
      <c r="B808" s="42" t="s">
        <v>38</v>
      </c>
      <c r="C808" s="24">
        <v>610340</v>
      </c>
      <c r="D808" s="20">
        <v>41142</v>
      </c>
      <c r="E808" s="25">
        <v>85</v>
      </c>
      <c r="F808" s="25">
        <v>0</v>
      </c>
      <c r="G808" s="25">
        <v>0</v>
      </c>
      <c r="H808" s="25">
        <v>0</v>
      </c>
      <c r="I808" s="25">
        <v>0</v>
      </c>
    </row>
    <row r="809" spans="1:9" x14ac:dyDescent="0.25">
      <c r="A809" s="42" t="s">
        <v>1356</v>
      </c>
      <c r="B809" s="43" t="s">
        <v>39</v>
      </c>
      <c r="C809" s="24">
        <v>611704</v>
      </c>
      <c r="D809" s="20">
        <v>41135</v>
      </c>
      <c r="E809" s="25">
        <v>481</v>
      </c>
      <c r="F809" s="25">
        <v>0</v>
      </c>
      <c r="G809" s="25">
        <v>0</v>
      </c>
      <c r="H809" s="25">
        <v>0</v>
      </c>
      <c r="I809" s="25">
        <v>0</v>
      </c>
    </row>
    <row r="810" spans="1:9" x14ac:dyDescent="0.25">
      <c r="A810" s="42" t="s">
        <v>1356</v>
      </c>
      <c r="B810" s="43" t="s">
        <v>39</v>
      </c>
      <c r="C810" s="24">
        <v>611704</v>
      </c>
      <c r="D810" s="20">
        <v>41138</v>
      </c>
      <c r="E810" s="25">
        <v>790</v>
      </c>
      <c r="F810" s="25">
        <v>0</v>
      </c>
      <c r="G810" s="25">
        <v>0</v>
      </c>
      <c r="H810" s="25">
        <v>0</v>
      </c>
      <c r="I810" s="25">
        <v>0</v>
      </c>
    </row>
    <row r="811" spans="1:9" x14ac:dyDescent="0.25">
      <c r="A811" s="42" t="s">
        <v>1355</v>
      </c>
      <c r="B811" s="42" t="s">
        <v>36</v>
      </c>
      <c r="C811" s="24">
        <v>610832</v>
      </c>
      <c r="D811" s="20">
        <v>41135</v>
      </c>
      <c r="E811" s="25">
        <v>478</v>
      </c>
      <c r="F811" s="25">
        <v>29</v>
      </c>
      <c r="G811" s="25">
        <v>10923</v>
      </c>
      <c r="H811" s="25">
        <v>2</v>
      </c>
      <c r="I811" s="25">
        <v>8</v>
      </c>
    </row>
    <row r="812" spans="1:9" x14ac:dyDescent="0.25">
      <c r="A812" s="42" t="s">
        <v>1355</v>
      </c>
      <c r="B812" s="42" t="s">
        <v>35</v>
      </c>
      <c r="C812" s="24">
        <v>611419</v>
      </c>
      <c r="D812" s="20">
        <v>41124</v>
      </c>
      <c r="E812" s="25">
        <v>478</v>
      </c>
      <c r="F812" s="25">
        <v>1</v>
      </c>
      <c r="G812" s="25">
        <v>120</v>
      </c>
      <c r="H812" s="25">
        <v>0</v>
      </c>
      <c r="I812" s="25">
        <v>0</v>
      </c>
    </row>
    <row r="813" spans="1:9" x14ac:dyDescent="0.25">
      <c r="A813" s="42" t="s">
        <v>1355</v>
      </c>
      <c r="B813" s="42" t="s">
        <v>34</v>
      </c>
      <c r="C813" s="24">
        <v>613447</v>
      </c>
      <c r="D813" s="20">
        <v>41150</v>
      </c>
      <c r="E813" s="25">
        <v>467</v>
      </c>
      <c r="F813" s="25">
        <v>0</v>
      </c>
      <c r="G813" s="25">
        <v>0</v>
      </c>
      <c r="H813" s="25">
        <v>0</v>
      </c>
      <c r="I813" s="25">
        <v>0</v>
      </c>
    </row>
    <row r="814" spans="1:9" x14ac:dyDescent="0.25">
      <c r="A814" s="42" t="s">
        <v>1355</v>
      </c>
      <c r="B814" s="42" t="s">
        <v>36</v>
      </c>
      <c r="C814" s="24">
        <v>610832</v>
      </c>
      <c r="D814" s="20">
        <v>41151</v>
      </c>
      <c r="E814" s="25">
        <v>465</v>
      </c>
      <c r="F814" s="25">
        <v>0</v>
      </c>
      <c r="G814" s="25">
        <v>0</v>
      </c>
      <c r="H814" s="25">
        <v>0</v>
      </c>
      <c r="I814" s="25">
        <v>0</v>
      </c>
    </row>
    <row r="815" spans="1:9" x14ac:dyDescent="0.25">
      <c r="A815" s="42" t="s">
        <v>1356</v>
      </c>
      <c r="B815" s="42" t="s">
        <v>37</v>
      </c>
      <c r="C815" s="24">
        <v>610208</v>
      </c>
      <c r="D815" s="20">
        <v>41133</v>
      </c>
      <c r="E815" s="25">
        <v>466</v>
      </c>
      <c r="F815" s="25">
        <v>1</v>
      </c>
      <c r="G815" s="25">
        <v>351</v>
      </c>
      <c r="H815" s="25">
        <v>0</v>
      </c>
      <c r="I815" s="25">
        <v>0</v>
      </c>
    </row>
    <row r="816" spans="1:9" x14ac:dyDescent="0.25">
      <c r="A816" s="42" t="s">
        <v>1356</v>
      </c>
      <c r="B816" s="42" t="s">
        <v>37</v>
      </c>
      <c r="C816" s="24">
        <v>610208</v>
      </c>
      <c r="D816" s="20">
        <v>41136</v>
      </c>
      <c r="E816" s="25">
        <v>790</v>
      </c>
      <c r="F816" s="25">
        <v>0</v>
      </c>
      <c r="G816" s="25">
        <v>0</v>
      </c>
      <c r="H816" s="25">
        <v>0</v>
      </c>
      <c r="I816" s="25">
        <v>0</v>
      </c>
    </row>
    <row r="817" spans="1:9" x14ac:dyDescent="0.25">
      <c r="A817" s="42" t="s">
        <v>1355</v>
      </c>
      <c r="B817" s="42" t="s">
        <v>34</v>
      </c>
      <c r="C817" s="24">
        <v>613447</v>
      </c>
      <c r="D817" s="20">
        <v>41152</v>
      </c>
      <c r="E817" s="25">
        <v>467</v>
      </c>
      <c r="F817" s="25">
        <v>0</v>
      </c>
      <c r="G817" s="25">
        <v>0</v>
      </c>
      <c r="H817" s="25">
        <v>0</v>
      </c>
      <c r="I817" s="25">
        <v>0</v>
      </c>
    </row>
    <row r="818" spans="1:9" x14ac:dyDescent="0.25">
      <c r="A818" s="42" t="s">
        <v>1355</v>
      </c>
      <c r="B818" s="42" t="s">
        <v>36</v>
      </c>
      <c r="C818" s="24">
        <v>610832</v>
      </c>
      <c r="D818" s="20">
        <v>41141</v>
      </c>
      <c r="E818" s="25">
        <v>465</v>
      </c>
      <c r="F818" s="25">
        <v>0</v>
      </c>
      <c r="G818" s="25">
        <v>0</v>
      </c>
      <c r="H818" s="25">
        <v>0</v>
      </c>
      <c r="I818" s="25">
        <v>0</v>
      </c>
    </row>
    <row r="819" spans="1:9" x14ac:dyDescent="0.25">
      <c r="A819" s="42" t="s">
        <v>1356</v>
      </c>
      <c r="B819" s="42" t="s">
        <v>38</v>
      </c>
      <c r="C819" s="24">
        <v>610340</v>
      </c>
      <c r="D819" s="20">
        <v>41152</v>
      </c>
      <c r="E819" s="25">
        <v>85</v>
      </c>
      <c r="F819" s="25">
        <v>0</v>
      </c>
      <c r="G819" s="25">
        <v>0</v>
      </c>
      <c r="H819" s="25">
        <v>0</v>
      </c>
      <c r="I819" s="25">
        <v>0</v>
      </c>
    </row>
    <row r="820" spans="1:9" x14ac:dyDescent="0.25">
      <c r="A820" s="42" t="s">
        <v>1356</v>
      </c>
      <c r="B820" s="43" t="s">
        <v>39</v>
      </c>
      <c r="C820" s="24">
        <v>611704</v>
      </c>
      <c r="D820" s="20">
        <v>41129</v>
      </c>
      <c r="E820" s="25">
        <v>477</v>
      </c>
      <c r="F820" s="25">
        <v>51</v>
      </c>
      <c r="G820" s="25">
        <v>16196</v>
      </c>
      <c r="H820" s="25">
        <v>25</v>
      </c>
      <c r="I820" s="25">
        <v>20</v>
      </c>
    </row>
    <row r="821" spans="1:9" x14ac:dyDescent="0.25">
      <c r="A821" s="42" t="s">
        <v>1356</v>
      </c>
      <c r="B821" s="42" t="s">
        <v>38</v>
      </c>
      <c r="C821" s="24">
        <v>610340</v>
      </c>
      <c r="D821" s="20">
        <v>41136</v>
      </c>
      <c r="E821" s="25">
        <v>85</v>
      </c>
      <c r="F821" s="25">
        <v>0</v>
      </c>
      <c r="G821" s="25">
        <v>0</v>
      </c>
      <c r="H821" s="25">
        <v>0</v>
      </c>
      <c r="I821" s="25">
        <v>0</v>
      </c>
    </row>
    <row r="822" spans="1:9" x14ac:dyDescent="0.25">
      <c r="A822" s="42" t="s">
        <v>1356</v>
      </c>
      <c r="B822" s="42" t="s">
        <v>37</v>
      </c>
      <c r="C822" s="24">
        <v>610208</v>
      </c>
      <c r="D822" s="20">
        <v>41145</v>
      </c>
      <c r="E822" s="25">
        <v>477</v>
      </c>
      <c r="F822" s="25">
        <v>24</v>
      </c>
      <c r="G822" s="25">
        <v>7022</v>
      </c>
      <c r="H822" s="25">
        <v>1</v>
      </c>
      <c r="I822" s="25">
        <v>0</v>
      </c>
    </row>
    <row r="823" spans="1:9" x14ac:dyDescent="0.25">
      <c r="A823" s="42" t="s">
        <v>1355</v>
      </c>
      <c r="B823" s="42" t="s">
        <v>35</v>
      </c>
      <c r="C823" s="24">
        <v>611419</v>
      </c>
      <c r="D823" s="20">
        <v>41145</v>
      </c>
      <c r="E823" s="25">
        <v>478</v>
      </c>
      <c r="F823" s="25">
        <v>0</v>
      </c>
      <c r="G823" s="25">
        <v>0</v>
      </c>
      <c r="H823" s="25">
        <v>0</v>
      </c>
      <c r="I823" s="25">
        <v>0</v>
      </c>
    </row>
    <row r="824" spans="1:9" x14ac:dyDescent="0.25">
      <c r="A824" s="42" t="s">
        <v>1356</v>
      </c>
      <c r="B824" s="43" t="s">
        <v>39</v>
      </c>
      <c r="C824" s="24">
        <v>611704</v>
      </c>
      <c r="D824" s="20">
        <v>41145</v>
      </c>
      <c r="E824" s="25">
        <v>477</v>
      </c>
      <c r="F824" s="25">
        <v>5</v>
      </c>
      <c r="G824" s="25">
        <v>1409</v>
      </c>
      <c r="H824" s="25">
        <v>22</v>
      </c>
      <c r="I824" s="25">
        <v>0</v>
      </c>
    </row>
    <row r="825" spans="1:9" x14ac:dyDescent="0.25">
      <c r="A825" s="42" t="s">
        <v>1355</v>
      </c>
      <c r="B825" s="42" t="s">
        <v>36</v>
      </c>
      <c r="C825" s="24">
        <v>610832</v>
      </c>
      <c r="D825" s="20">
        <v>41138</v>
      </c>
      <c r="E825" s="25">
        <v>465</v>
      </c>
      <c r="F825" s="25">
        <v>0</v>
      </c>
      <c r="G825" s="25">
        <v>0</v>
      </c>
      <c r="H825" s="25">
        <v>0</v>
      </c>
      <c r="I825" s="25">
        <v>0</v>
      </c>
    </row>
    <row r="826" spans="1:9" x14ac:dyDescent="0.25">
      <c r="A826" s="42" t="s">
        <v>1355</v>
      </c>
      <c r="B826" s="42" t="s">
        <v>35</v>
      </c>
      <c r="C826" s="24">
        <v>611419</v>
      </c>
      <c r="D826" s="20">
        <v>41142</v>
      </c>
      <c r="E826" s="25">
        <v>481</v>
      </c>
      <c r="F826" s="25">
        <v>0</v>
      </c>
      <c r="G826" s="25">
        <v>0</v>
      </c>
      <c r="H826" s="25">
        <v>0</v>
      </c>
      <c r="I826" s="25">
        <v>0</v>
      </c>
    </row>
    <row r="827" spans="1:9" x14ac:dyDescent="0.25">
      <c r="A827" s="42" t="s">
        <v>1356</v>
      </c>
      <c r="B827" s="42" t="s">
        <v>37</v>
      </c>
      <c r="C827" s="24">
        <v>610208</v>
      </c>
      <c r="D827" s="20">
        <v>41149</v>
      </c>
      <c r="E827" s="25">
        <v>85</v>
      </c>
      <c r="F827" s="25">
        <v>0</v>
      </c>
      <c r="G827" s="25">
        <v>0</v>
      </c>
      <c r="H827" s="25">
        <v>0</v>
      </c>
      <c r="I827" s="25">
        <v>0</v>
      </c>
    </row>
    <row r="828" spans="1:9" x14ac:dyDescent="0.25">
      <c r="A828" s="42" t="s">
        <v>1355</v>
      </c>
      <c r="B828" s="42" t="s">
        <v>36</v>
      </c>
      <c r="C828" s="24">
        <v>610832</v>
      </c>
      <c r="D828" s="20">
        <v>41142</v>
      </c>
      <c r="E828" s="25">
        <v>477</v>
      </c>
      <c r="F828" s="25">
        <v>13</v>
      </c>
      <c r="G828" s="25">
        <v>4526</v>
      </c>
      <c r="H828" s="25">
        <v>0</v>
      </c>
      <c r="I828" s="25">
        <v>14</v>
      </c>
    </row>
    <row r="829" spans="1:9" x14ac:dyDescent="0.25">
      <c r="A829" s="42" t="s">
        <v>1355</v>
      </c>
      <c r="B829" s="42" t="s">
        <v>34</v>
      </c>
      <c r="C829" s="24">
        <v>613447</v>
      </c>
      <c r="D829" s="20">
        <v>41143</v>
      </c>
      <c r="E829" s="25">
        <v>466</v>
      </c>
      <c r="F829" s="25">
        <v>13</v>
      </c>
      <c r="G829" s="25">
        <v>2890</v>
      </c>
      <c r="H829" s="25">
        <v>0</v>
      </c>
      <c r="I829" s="25">
        <v>59</v>
      </c>
    </row>
    <row r="830" spans="1:9" x14ac:dyDescent="0.25">
      <c r="A830" s="42" t="s">
        <v>1355</v>
      </c>
      <c r="B830" s="42" t="s">
        <v>35</v>
      </c>
      <c r="C830" s="24">
        <v>611419</v>
      </c>
      <c r="D830" s="20">
        <v>41140</v>
      </c>
      <c r="E830" s="25">
        <v>85</v>
      </c>
      <c r="F830" s="25">
        <v>1</v>
      </c>
      <c r="G830" s="25">
        <v>164</v>
      </c>
      <c r="H830" s="25">
        <v>0</v>
      </c>
      <c r="I830" s="25">
        <v>0</v>
      </c>
    </row>
    <row r="831" spans="1:9" x14ac:dyDescent="0.25">
      <c r="A831" s="42" t="s">
        <v>1355</v>
      </c>
      <c r="B831" s="42" t="s">
        <v>34</v>
      </c>
      <c r="C831" s="24">
        <v>613447</v>
      </c>
      <c r="D831" s="20">
        <v>41136</v>
      </c>
      <c r="E831" s="25">
        <v>482</v>
      </c>
      <c r="F831" s="25">
        <v>32</v>
      </c>
      <c r="G831" s="25">
        <v>12320</v>
      </c>
      <c r="H831" s="25">
        <v>0</v>
      </c>
      <c r="I831" s="25">
        <v>481</v>
      </c>
    </row>
    <row r="832" spans="1:9" x14ac:dyDescent="0.25">
      <c r="A832" s="42" t="s">
        <v>1355</v>
      </c>
      <c r="B832" s="42" t="s">
        <v>36</v>
      </c>
      <c r="C832" s="24">
        <v>610832</v>
      </c>
      <c r="D832" s="20">
        <v>41134</v>
      </c>
      <c r="E832" s="25">
        <v>478</v>
      </c>
      <c r="F832" s="25">
        <v>7</v>
      </c>
      <c r="G832" s="25">
        <v>2479</v>
      </c>
      <c r="H832" s="25">
        <v>1</v>
      </c>
      <c r="I832" s="25">
        <v>10</v>
      </c>
    </row>
    <row r="833" spans="1:9" x14ac:dyDescent="0.25">
      <c r="A833" s="42" t="s">
        <v>1355</v>
      </c>
      <c r="B833" s="42" t="s">
        <v>36</v>
      </c>
      <c r="C833" s="24">
        <v>610832</v>
      </c>
      <c r="D833" s="20">
        <v>41141</v>
      </c>
      <c r="E833" s="25">
        <v>478</v>
      </c>
      <c r="F833" s="25">
        <v>2</v>
      </c>
      <c r="G833" s="25">
        <v>224</v>
      </c>
      <c r="H833" s="25">
        <v>0</v>
      </c>
      <c r="I833" s="25">
        <v>0</v>
      </c>
    </row>
    <row r="834" spans="1:9" x14ac:dyDescent="0.25">
      <c r="A834" s="42" t="s">
        <v>1355</v>
      </c>
      <c r="B834" s="42" t="s">
        <v>34</v>
      </c>
      <c r="C834" s="24">
        <v>613447</v>
      </c>
      <c r="D834" s="20">
        <v>41144</v>
      </c>
      <c r="E834" s="25">
        <v>478</v>
      </c>
      <c r="F834" s="25">
        <v>4</v>
      </c>
      <c r="G834" s="25">
        <v>1276</v>
      </c>
      <c r="H834" s="25">
        <v>0</v>
      </c>
      <c r="I834" s="25">
        <v>24</v>
      </c>
    </row>
    <row r="835" spans="1:9" x14ac:dyDescent="0.25">
      <c r="A835" s="42" t="s">
        <v>1356</v>
      </c>
      <c r="B835" s="43" t="s">
        <v>39</v>
      </c>
      <c r="C835" s="24">
        <v>611704</v>
      </c>
      <c r="D835" s="20">
        <v>41134</v>
      </c>
      <c r="E835" s="25">
        <v>477</v>
      </c>
      <c r="F835" s="25">
        <v>41</v>
      </c>
      <c r="G835" s="25">
        <v>14088</v>
      </c>
      <c r="H835" s="25">
        <v>3</v>
      </c>
      <c r="I835" s="25">
        <v>0</v>
      </c>
    </row>
    <row r="836" spans="1:9" x14ac:dyDescent="0.25">
      <c r="A836" s="42" t="s">
        <v>1355</v>
      </c>
      <c r="B836" s="42" t="s">
        <v>36</v>
      </c>
      <c r="C836" s="24">
        <v>610832</v>
      </c>
      <c r="D836" s="20">
        <v>41148</v>
      </c>
      <c r="E836" s="25">
        <v>481</v>
      </c>
      <c r="F836" s="25">
        <v>0</v>
      </c>
      <c r="G836" s="25">
        <v>0</v>
      </c>
      <c r="H836" s="25">
        <v>0</v>
      </c>
      <c r="I836" s="25">
        <v>0</v>
      </c>
    </row>
    <row r="837" spans="1:9" x14ac:dyDescent="0.25">
      <c r="A837" s="42" t="s">
        <v>1355</v>
      </c>
      <c r="B837" s="42" t="s">
        <v>35</v>
      </c>
      <c r="C837" s="24">
        <v>611419</v>
      </c>
      <c r="D837" s="20">
        <v>41123</v>
      </c>
      <c r="E837" s="25">
        <v>477</v>
      </c>
      <c r="F837" s="25">
        <v>20</v>
      </c>
      <c r="G837" s="25">
        <v>5828</v>
      </c>
      <c r="H837" s="25">
        <v>8</v>
      </c>
      <c r="I837" s="25">
        <v>0</v>
      </c>
    </row>
    <row r="838" spans="1:9" x14ac:dyDescent="0.25">
      <c r="A838" s="42" t="s">
        <v>1356</v>
      </c>
      <c r="B838" s="43" t="s">
        <v>39</v>
      </c>
      <c r="C838" s="24">
        <v>611704</v>
      </c>
      <c r="D838" s="20">
        <v>41134</v>
      </c>
      <c r="E838" s="25">
        <v>85</v>
      </c>
      <c r="F838" s="25">
        <v>0</v>
      </c>
      <c r="G838" s="25">
        <v>0</v>
      </c>
      <c r="H838" s="25">
        <v>0</v>
      </c>
      <c r="I838" s="25">
        <v>0</v>
      </c>
    </row>
    <row r="839" spans="1:9" x14ac:dyDescent="0.25">
      <c r="A839" s="42" t="s">
        <v>1355</v>
      </c>
      <c r="B839" s="42" t="s">
        <v>36</v>
      </c>
      <c r="C839" s="24">
        <v>610832</v>
      </c>
      <c r="D839" s="20">
        <v>41138</v>
      </c>
      <c r="E839" s="25">
        <v>478</v>
      </c>
      <c r="F839" s="25">
        <v>5</v>
      </c>
      <c r="G839" s="25">
        <v>1326</v>
      </c>
      <c r="H839" s="25">
        <v>0</v>
      </c>
      <c r="I839" s="25">
        <v>0</v>
      </c>
    </row>
    <row r="840" spans="1:9" x14ac:dyDescent="0.25">
      <c r="A840" s="42" t="s">
        <v>1355</v>
      </c>
      <c r="B840" s="42" t="s">
        <v>34</v>
      </c>
      <c r="C840" s="24">
        <v>613447</v>
      </c>
      <c r="D840" s="20">
        <v>41149</v>
      </c>
      <c r="E840" s="25">
        <v>480</v>
      </c>
      <c r="F840" s="25">
        <v>2</v>
      </c>
      <c r="G840" s="25">
        <v>300</v>
      </c>
      <c r="H840" s="25">
        <v>0</v>
      </c>
      <c r="I840" s="25">
        <v>0</v>
      </c>
    </row>
    <row r="841" spans="1:9" x14ac:dyDescent="0.25">
      <c r="A841" s="42" t="s">
        <v>1356</v>
      </c>
      <c r="B841" s="42" t="s">
        <v>38</v>
      </c>
      <c r="C841" s="24">
        <v>610340</v>
      </c>
      <c r="D841" s="20">
        <v>41139</v>
      </c>
      <c r="E841" s="25">
        <v>467</v>
      </c>
      <c r="F841" s="25">
        <v>0</v>
      </c>
      <c r="G841" s="25">
        <v>0</v>
      </c>
      <c r="H841" s="25">
        <v>0</v>
      </c>
      <c r="I841" s="25">
        <v>0</v>
      </c>
    </row>
    <row r="842" spans="1:9" x14ac:dyDescent="0.25">
      <c r="A842" s="42" t="s">
        <v>1356</v>
      </c>
      <c r="B842" s="42" t="s">
        <v>38</v>
      </c>
      <c r="C842" s="24">
        <v>610340</v>
      </c>
      <c r="D842" s="20">
        <v>41142</v>
      </c>
      <c r="E842" s="25">
        <v>467</v>
      </c>
      <c r="F842" s="25">
        <v>0</v>
      </c>
      <c r="G842" s="25">
        <v>0</v>
      </c>
      <c r="H842" s="25">
        <v>0</v>
      </c>
      <c r="I842" s="25">
        <v>0</v>
      </c>
    </row>
    <row r="843" spans="1:9" x14ac:dyDescent="0.25">
      <c r="A843" s="42" t="s">
        <v>1356</v>
      </c>
      <c r="B843" s="42" t="s">
        <v>37</v>
      </c>
      <c r="C843" s="24">
        <v>610208</v>
      </c>
      <c r="D843" s="20">
        <v>41142</v>
      </c>
      <c r="E843" s="25">
        <v>465</v>
      </c>
      <c r="F843" s="25">
        <v>0</v>
      </c>
      <c r="G843" s="25">
        <v>0</v>
      </c>
      <c r="H843" s="25">
        <v>0</v>
      </c>
      <c r="I843" s="25">
        <v>0</v>
      </c>
    </row>
    <row r="844" spans="1:9" x14ac:dyDescent="0.25">
      <c r="A844" s="42" t="s">
        <v>1355</v>
      </c>
      <c r="B844" s="42" t="s">
        <v>35</v>
      </c>
      <c r="C844" s="24">
        <v>611419</v>
      </c>
      <c r="D844" s="20">
        <v>41138</v>
      </c>
      <c r="E844" s="25">
        <v>477</v>
      </c>
      <c r="F844" s="25">
        <v>10</v>
      </c>
      <c r="G844" s="25">
        <v>2702</v>
      </c>
      <c r="H844" s="25">
        <v>14</v>
      </c>
      <c r="I844" s="25">
        <v>155</v>
      </c>
    </row>
    <row r="845" spans="1:9" x14ac:dyDescent="0.25">
      <c r="A845" s="42" t="s">
        <v>1356</v>
      </c>
      <c r="B845" s="43" t="s">
        <v>39</v>
      </c>
      <c r="C845" s="24">
        <v>611704</v>
      </c>
      <c r="D845" s="20">
        <v>41139</v>
      </c>
      <c r="E845" s="25">
        <v>482</v>
      </c>
      <c r="F845" s="25">
        <v>15</v>
      </c>
      <c r="G845" s="25">
        <v>6003</v>
      </c>
      <c r="H845" s="25">
        <v>4</v>
      </c>
      <c r="I845" s="25">
        <v>85</v>
      </c>
    </row>
    <row r="846" spans="1:9" x14ac:dyDescent="0.25">
      <c r="A846" s="42" t="s">
        <v>1355</v>
      </c>
      <c r="B846" s="42" t="s">
        <v>34</v>
      </c>
      <c r="C846" s="24">
        <v>613447</v>
      </c>
      <c r="D846" s="20">
        <v>41134</v>
      </c>
      <c r="E846" s="25">
        <v>85</v>
      </c>
      <c r="F846" s="25">
        <v>0</v>
      </c>
      <c r="G846" s="25">
        <v>0</v>
      </c>
      <c r="H846" s="25">
        <v>0</v>
      </c>
      <c r="I846" s="25">
        <v>0</v>
      </c>
    </row>
    <row r="847" spans="1:9" x14ac:dyDescent="0.25">
      <c r="A847" s="42" t="s">
        <v>1355</v>
      </c>
      <c r="B847" s="42" t="s">
        <v>34</v>
      </c>
      <c r="C847" s="24">
        <v>613447</v>
      </c>
      <c r="D847" s="20">
        <v>41136</v>
      </c>
      <c r="E847" s="25">
        <v>480</v>
      </c>
      <c r="F847" s="25">
        <v>13</v>
      </c>
      <c r="G847" s="25">
        <v>3823</v>
      </c>
      <c r="H847" s="25">
        <v>0</v>
      </c>
      <c r="I847" s="25">
        <v>64</v>
      </c>
    </row>
    <row r="848" spans="1:9" x14ac:dyDescent="0.25">
      <c r="A848" s="42" t="s">
        <v>1355</v>
      </c>
      <c r="B848" s="42" t="s">
        <v>34</v>
      </c>
      <c r="C848" s="24">
        <v>613447</v>
      </c>
      <c r="D848" s="20">
        <v>41131</v>
      </c>
      <c r="E848" s="25">
        <v>85</v>
      </c>
      <c r="F848" s="25">
        <v>0</v>
      </c>
      <c r="G848" s="25">
        <v>0</v>
      </c>
      <c r="H848" s="25">
        <v>0</v>
      </c>
      <c r="I848" s="25">
        <v>0</v>
      </c>
    </row>
    <row r="849" spans="1:9" x14ac:dyDescent="0.25">
      <c r="A849" s="42" t="s">
        <v>1355</v>
      </c>
      <c r="B849" s="42" t="s">
        <v>36</v>
      </c>
      <c r="C849" s="24">
        <v>610832</v>
      </c>
      <c r="D849" s="20">
        <v>41136</v>
      </c>
      <c r="E849" s="25">
        <v>480</v>
      </c>
      <c r="F849" s="25">
        <v>11</v>
      </c>
      <c r="G849" s="25">
        <v>4670</v>
      </c>
      <c r="H849" s="25">
        <v>0</v>
      </c>
      <c r="I849" s="25">
        <v>0</v>
      </c>
    </row>
    <row r="850" spans="1:9" x14ac:dyDescent="0.25">
      <c r="A850" s="42" t="s">
        <v>1356</v>
      </c>
      <c r="B850" s="42" t="s">
        <v>38</v>
      </c>
      <c r="C850" s="24">
        <v>610340</v>
      </c>
      <c r="D850" s="20">
        <v>41141</v>
      </c>
      <c r="E850" s="25">
        <v>85</v>
      </c>
      <c r="F850" s="25">
        <v>0</v>
      </c>
      <c r="G850" s="25">
        <v>0</v>
      </c>
      <c r="H850" s="25">
        <v>0</v>
      </c>
      <c r="I850" s="25">
        <v>0</v>
      </c>
    </row>
    <row r="851" spans="1:9" x14ac:dyDescent="0.25">
      <c r="A851" s="42" t="s">
        <v>1355</v>
      </c>
      <c r="B851" s="42" t="s">
        <v>34</v>
      </c>
      <c r="C851" s="24">
        <v>613447</v>
      </c>
      <c r="D851" s="20">
        <v>41136</v>
      </c>
      <c r="E851" s="25">
        <v>790</v>
      </c>
      <c r="F851" s="25">
        <v>0</v>
      </c>
      <c r="G851" s="25">
        <v>0</v>
      </c>
      <c r="H851" s="25">
        <v>0</v>
      </c>
      <c r="I851" s="25">
        <v>0</v>
      </c>
    </row>
    <row r="852" spans="1:9" x14ac:dyDescent="0.25">
      <c r="A852" s="42" t="s">
        <v>1356</v>
      </c>
      <c r="B852" s="42" t="s">
        <v>38</v>
      </c>
      <c r="C852" s="24">
        <v>610340</v>
      </c>
      <c r="D852" s="20">
        <v>41145</v>
      </c>
      <c r="E852" s="25">
        <v>477</v>
      </c>
      <c r="F852" s="25">
        <v>9</v>
      </c>
      <c r="G852" s="25">
        <v>1861</v>
      </c>
      <c r="H852" s="25">
        <v>0</v>
      </c>
      <c r="I852" s="25">
        <v>0</v>
      </c>
    </row>
    <row r="853" spans="1:9" x14ac:dyDescent="0.25">
      <c r="A853" s="42" t="s">
        <v>1356</v>
      </c>
      <c r="B853" s="43" t="s">
        <v>39</v>
      </c>
      <c r="C853" s="24">
        <v>611704</v>
      </c>
      <c r="D853" s="20">
        <v>41151</v>
      </c>
      <c r="E853" s="25">
        <v>478</v>
      </c>
      <c r="F853" s="25">
        <v>1</v>
      </c>
      <c r="G853" s="25">
        <v>56</v>
      </c>
      <c r="H853" s="25">
        <v>0</v>
      </c>
      <c r="I853" s="25">
        <v>0</v>
      </c>
    </row>
    <row r="854" spans="1:9" x14ac:dyDescent="0.25">
      <c r="A854" s="42" t="s">
        <v>1355</v>
      </c>
      <c r="B854" s="42" t="s">
        <v>36</v>
      </c>
      <c r="C854" s="24">
        <v>610832</v>
      </c>
      <c r="D854" s="20">
        <v>41137</v>
      </c>
      <c r="E854" s="25">
        <v>466</v>
      </c>
      <c r="F854" s="25">
        <v>32</v>
      </c>
      <c r="G854" s="25">
        <v>13473</v>
      </c>
      <c r="H854" s="25">
        <v>2</v>
      </c>
      <c r="I854" s="25">
        <v>6</v>
      </c>
    </row>
    <row r="855" spans="1:9" x14ac:dyDescent="0.25">
      <c r="A855" s="42" t="s">
        <v>1356</v>
      </c>
      <c r="B855" s="42" t="s">
        <v>37</v>
      </c>
      <c r="C855" s="24">
        <v>610208</v>
      </c>
      <c r="D855" s="20">
        <v>41136</v>
      </c>
      <c r="E855" s="25">
        <v>467</v>
      </c>
      <c r="F855" s="25">
        <v>0</v>
      </c>
      <c r="G855" s="25">
        <v>0</v>
      </c>
      <c r="H855" s="25">
        <v>0</v>
      </c>
      <c r="I855" s="25">
        <v>0</v>
      </c>
    </row>
    <row r="856" spans="1:9" x14ac:dyDescent="0.25">
      <c r="A856" s="42" t="s">
        <v>1355</v>
      </c>
      <c r="B856" s="42" t="s">
        <v>36</v>
      </c>
      <c r="C856" s="24">
        <v>610832</v>
      </c>
      <c r="D856" s="20">
        <v>41149</v>
      </c>
      <c r="E856" s="25">
        <v>477</v>
      </c>
      <c r="F856" s="25">
        <v>8</v>
      </c>
      <c r="G856" s="25">
        <v>1807</v>
      </c>
      <c r="H856" s="25">
        <v>1</v>
      </c>
      <c r="I856" s="25">
        <v>9</v>
      </c>
    </row>
    <row r="857" spans="1:9" x14ac:dyDescent="0.25">
      <c r="A857" s="42" t="s">
        <v>1355</v>
      </c>
      <c r="B857" s="42" t="s">
        <v>34</v>
      </c>
      <c r="C857" s="24">
        <v>613447</v>
      </c>
      <c r="D857" s="20">
        <v>41148</v>
      </c>
      <c r="E857" s="25">
        <v>790</v>
      </c>
      <c r="F857" s="25">
        <v>0</v>
      </c>
      <c r="G857" s="25">
        <v>0</v>
      </c>
      <c r="H857" s="25">
        <v>0</v>
      </c>
      <c r="I857" s="25">
        <v>0</v>
      </c>
    </row>
    <row r="858" spans="1:9" x14ac:dyDescent="0.25">
      <c r="A858" s="42" t="s">
        <v>1356</v>
      </c>
      <c r="B858" s="42" t="s">
        <v>38</v>
      </c>
      <c r="C858" s="24">
        <v>610340</v>
      </c>
      <c r="D858" s="20">
        <v>41144</v>
      </c>
      <c r="E858" s="25">
        <v>790</v>
      </c>
      <c r="F858" s="25">
        <v>0</v>
      </c>
      <c r="G858" s="25">
        <v>0</v>
      </c>
      <c r="H858" s="25">
        <v>0</v>
      </c>
      <c r="I858" s="25">
        <v>0</v>
      </c>
    </row>
    <row r="859" spans="1:9" x14ac:dyDescent="0.25">
      <c r="A859" s="42" t="s">
        <v>1356</v>
      </c>
      <c r="B859" s="43" t="s">
        <v>39</v>
      </c>
      <c r="C859" s="24">
        <v>611704</v>
      </c>
      <c r="D859" s="20">
        <v>41127</v>
      </c>
      <c r="E859" s="25">
        <v>481</v>
      </c>
      <c r="F859" s="25">
        <v>0</v>
      </c>
      <c r="G859" s="25">
        <v>0</v>
      </c>
      <c r="H859" s="25">
        <v>0</v>
      </c>
      <c r="I859" s="25">
        <v>0</v>
      </c>
    </row>
    <row r="860" spans="1:9" x14ac:dyDescent="0.25">
      <c r="A860" s="42" t="s">
        <v>1355</v>
      </c>
      <c r="B860" s="42" t="s">
        <v>34</v>
      </c>
      <c r="C860" s="24">
        <v>613447</v>
      </c>
      <c r="D860" s="20">
        <v>41127</v>
      </c>
      <c r="E860" s="25">
        <v>481</v>
      </c>
      <c r="F860" s="25">
        <v>20</v>
      </c>
      <c r="G860" s="25">
        <v>4649</v>
      </c>
      <c r="H860" s="25">
        <v>0</v>
      </c>
      <c r="I860" s="25">
        <v>238</v>
      </c>
    </row>
    <row r="861" spans="1:9" x14ac:dyDescent="0.25">
      <c r="A861" s="42" t="s">
        <v>1356</v>
      </c>
      <c r="B861" s="42" t="s">
        <v>38</v>
      </c>
      <c r="C861" s="24">
        <v>610340</v>
      </c>
      <c r="D861" s="20">
        <v>41144</v>
      </c>
      <c r="E861" s="25">
        <v>477</v>
      </c>
      <c r="F861" s="25">
        <v>29</v>
      </c>
      <c r="G861" s="25">
        <v>7731</v>
      </c>
      <c r="H861" s="25">
        <v>5</v>
      </c>
      <c r="I861" s="25">
        <v>27</v>
      </c>
    </row>
    <row r="862" spans="1:9" x14ac:dyDescent="0.25">
      <c r="A862" s="42" t="s">
        <v>1355</v>
      </c>
      <c r="B862" s="42" t="s">
        <v>35</v>
      </c>
      <c r="C862" s="24">
        <v>611419</v>
      </c>
      <c r="D862" s="20">
        <v>41152</v>
      </c>
      <c r="E862" s="25">
        <v>480</v>
      </c>
      <c r="F862" s="25">
        <v>7</v>
      </c>
      <c r="G862" s="25">
        <v>1001</v>
      </c>
      <c r="H862" s="25">
        <v>2</v>
      </c>
      <c r="I862" s="25">
        <v>0</v>
      </c>
    </row>
    <row r="863" spans="1:9" x14ac:dyDescent="0.25">
      <c r="A863" s="42" t="s">
        <v>1356</v>
      </c>
      <c r="B863" s="42" t="s">
        <v>37</v>
      </c>
      <c r="C863" s="24">
        <v>610208</v>
      </c>
      <c r="D863" s="20">
        <v>41125</v>
      </c>
      <c r="E863" s="25">
        <v>85</v>
      </c>
      <c r="F863" s="25">
        <v>0</v>
      </c>
      <c r="G863" s="25">
        <v>0</v>
      </c>
      <c r="H863" s="25">
        <v>0</v>
      </c>
      <c r="I863" s="25">
        <v>0</v>
      </c>
    </row>
    <row r="864" spans="1:9" x14ac:dyDescent="0.25">
      <c r="A864" s="42" t="s">
        <v>1355</v>
      </c>
      <c r="B864" s="42" t="s">
        <v>35</v>
      </c>
      <c r="C864" s="24">
        <v>611419</v>
      </c>
      <c r="D864" s="20">
        <v>41145</v>
      </c>
      <c r="E864" s="25">
        <v>481</v>
      </c>
      <c r="F864" s="25">
        <v>0</v>
      </c>
      <c r="G864" s="25">
        <v>0</v>
      </c>
      <c r="H864" s="25">
        <v>0</v>
      </c>
      <c r="I864" s="25">
        <v>0</v>
      </c>
    </row>
    <row r="865" spans="1:9" x14ac:dyDescent="0.25">
      <c r="A865" s="42" t="s">
        <v>1356</v>
      </c>
      <c r="B865" s="42" t="s">
        <v>38</v>
      </c>
      <c r="C865" s="24">
        <v>610340</v>
      </c>
      <c r="D865" s="20">
        <v>41132</v>
      </c>
      <c r="E865" s="25">
        <v>481</v>
      </c>
      <c r="F865" s="25">
        <v>0</v>
      </c>
      <c r="G865" s="25">
        <v>0</v>
      </c>
      <c r="H865" s="25">
        <v>0</v>
      </c>
      <c r="I865" s="25">
        <v>0</v>
      </c>
    </row>
    <row r="866" spans="1:9" x14ac:dyDescent="0.25">
      <c r="A866" s="42" t="s">
        <v>1355</v>
      </c>
      <c r="B866" s="42" t="s">
        <v>36</v>
      </c>
      <c r="C866" s="24">
        <v>610832</v>
      </c>
      <c r="D866" s="20">
        <v>41152</v>
      </c>
      <c r="E866" s="25">
        <v>482</v>
      </c>
      <c r="F866" s="25">
        <v>5</v>
      </c>
      <c r="G866" s="25">
        <v>1097</v>
      </c>
      <c r="H866" s="25">
        <v>0</v>
      </c>
      <c r="I866" s="25">
        <v>0</v>
      </c>
    </row>
    <row r="867" spans="1:9" x14ac:dyDescent="0.25">
      <c r="A867" s="42" t="s">
        <v>1356</v>
      </c>
      <c r="B867" s="42" t="s">
        <v>37</v>
      </c>
      <c r="C867" s="24">
        <v>610208</v>
      </c>
      <c r="D867" s="20">
        <v>41146</v>
      </c>
      <c r="E867" s="25">
        <v>791</v>
      </c>
      <c r="F867" s="25">
        <v>0</v>
      </c>
      <c r="G867" s="25">
        <v>0</v>
      </c>
      <c r="H867" s="25">
        <v>0</v>
      </c>
      <c r="I867" s="25">
        <v>0</v>
      </c>
    </row>
    <row r="868" spans="1:9" x14ac:dyDescent="0.25">
      <c r="A868" s="42" t="s">
        <v>1355</v>
      </c>
      <c r="B868" s="42" t="s">
        <v>36</v>
      </c>
      <c r="C868" s="24">
        <v>610832</v>
      </c>
      <c r="D868" s="20">
        <v>41123</v>
      </c>
      <c r="E868" s="25">
        <v>481</v>
      </c>
      <c r="F868" s="25">
        <v>0</v>
      </c>
      <c r="G868" s="25">
        <v>0</v>
      </c>
      <c r="H868" s="25">
        <v>0</v>
      </c>
      <c r="I868" s="25">
        <v>0</v>
      </c>
    </row>
    <row r="869" spans="1:9" x14ac:dyDescent="0.25">
      <c r="A869" s="42" t="s">
        <v>1355</v>
      </c>
      <c r="B869" s="42" t="s">
        <v>35</v>
      </c>
      <c r="C869" s="24">
        <v>611419</v>
      </c>
      <c r="D869" s="20">
        <v>41129</v>
      </c>
      <c r="E869" s="25">
        <v>790</v>
      </c>
      <c r="F869" s="25">
        <v>0</v>
      </c>
      <c r="G869" s="25">
        <v>0</v>
      </c>
      <c r="H869" s="25">
        <v>0</v>
      </c>
      <c r="I869" s="25">
        <v>0</v>
      </c>
    </row>
    <row r="870" spans="1:9" x14ac:dyDescent="0.25">
      <c r="A870" s="42" t="s">
        <v>1356</v>
      </c>
      <c r="B870" s="42" t="s">
        <v>37</v>
      </c>
      <c r="C870" s="24">
        <v>610208</v>
      </c>
      <c r="D870" s="20">
        <v>41145</v>
      </c>
      <c r="E870" s="25">
        <v>478</v>
      </c>
      <c r="F870" s="25">
        <v>1</v>
      </c>
      <c r="G870" s="25">
        <v>187</v>
      </c>
      <c r="H870" s="25">
        <v>0</v>
      </c>
      <c r="I870" s="25">
        <v>0</v>
      </c>
    </row>
    <row r="871" spans="1:9" x14ac:dyDescent="0.25">
      <c r="A871" s="42" t="s">
        <v>1355</v>
      </c>
      <c r="B871" s="42" t="s">
        <v>35</v>
      </c>
      <c r="C871" s="24">
        <v>611419</v>
      </c>
      <c r="D871" s="20">
        <v>41130</v>
      </c>
      <c r="E871" s="25">
        <v>465</v>
      </c>
      <c r="F871" s="25">
        <v>0</v>
      </c>
      <c r="G871" s="25">
        <v>0</v>
      </c>
      <c r="H871" s="25">
        <v>0</v>
      </c>
      <c r="I871" s="25">
        <v>0</v>
      </c>
    </row>
    <row r="872" spans="1:9" x14ac:dyDescent="0.25">
      <c r="A872" s="42" t="s">
        <v>1356</v>
      </c>
      <c r="B872" s="42" t="s">
        <v>37</v>
      </c>
      <c r="C872" s="24">
        <v>610208</v>
      </c>
      <c r="D872" s="20">
        <v>41137</v>
      </c>
      <c r="E872" s="25">
        <v>480</v>
      </c>
      <c r="F872" s="25">
        <v>1</v>
      </c>
      <c r="G872" s="25">
        <v>211</v>
      </c>
      <c r="H872" s="25">
        <v>0</v>
      </c>
      <c r="I872" s="25">
        <v>0</v>
      </c>
    </row>
    <row r="873" spans="1:9" x14ac:dyDescent="0.25">
      <c r="A873" s="42" t="s">
        <v>1356</v>
      </c>
      <c r="B873" s="43" t="s">
        <v>39</v>
      </c>
      <c r="C873" s="24">
        <v>611704</v>
      </c>
      <c r="D873" s="20">
        <v>41148</v>
      </c>
      <c r="E873" s="25">
        <v>477</v>
      </c>
      <c r="F873" s="25">
        <v>0</v>
      </c>
      <c r="G873" s="25">
        <v>0</v>
      </c>
      <c r="H873" s="25">
        <v>0</v>
      </c>
      <c r="I873" s="25">
        <v>0</v>
      </c>
    </row>
    <row r="874" spans="1:9" x14ac:dyDescent="0.25">
      <c r="A874" s="42" t="s">
        <v>1355</v>
      </c>
      <c r="B874" s="42" t="s">
        <v>36</v>
      </c>
      <c r="C874" s="24">
        <v>610832</v>
      </c>
      <c r="D874" s="20">
        <v>41141</v>
      </c>
      <c r="E874" s="25">
        <v>85</v>
      </c>
      <c r="F874" s="25">
        <v>0</v>
      </c>
      <c r="G874" s="25">
        <v>0</v>
      </c>
      <c r="H874" s="25">
        <v>0</v>
      </c>
      <c r="I874" s="25">
        <v>0</v>
      </c>
    </row>
    <row r="875" spans="1:9" x14ac:dyDescent="0.25">
      <c r="A875" s="42" t="s">
        <v>1356</v>
      </c>
      <c r="B875" s="43" t="s">
        <v>39</v>
      </c>
      <c r="C875" s="24">
        <v>611704</v>
      </c>
      <c r="D875" s="20">
        <v>41124</v>
      </c>
      <c r="E875" s="25">
        <v>478</v>
      </c>
      <c r="F875" s="25">
        <v>4</v>
      </c>
      <c r="G875" s="25">
        <v>1123</v>
      </c>
      <c r="H875" s="25">
        <v>3</v>
      </c>
      <c r="I875" s="25">
        <v>0</v>
      </c>
    </row>
    <row r="876" spans="1:9" x14ac:dyDescent="0.25">
      <c r="A876" s="42" t="s">
        <v>1356</v>
      </c>
      <c r="B876" s="42" t="s">
        <v>38</v>
      </c>
      <c r="C876" s="24">
        <v>610340</v>
      </c>
      <c r="D876" s="20">
        <v>41141</v>
      </c>
      <c r="E876" s="25">
        <v>481</v>
      </c>
      <c r="F876" s="25">
        <v>0</v>
      </c>
      <c r="G876" s="25">
        <v>0</v>
      </c>
      <c r="H876" s="25">
        <v>0</v>
      </c>
      <c r="I876" s="25">
        <v>0</v>
      </c>
    </row>
    <row r="877" spans="1:9" x14ac:dyDescent="0.25">
      <c r="A877" s="42" t="s">
        <v>1355</v>
      </c>
      <c r="B877" s="42" t="s">
        <v>36</v>
      </c>
      <c r="C877" s="24">
        <v>610832</v>
      </c>
      <c r="D877" s="20">
        <v>41135</v>
      </c>
      <c r="E877" s="25">
        <v>477</v>
      </c>
      <c r="F877" s="25">
        <v>20</v>
      </c>
      <c r="G877" s="25">
        <v>7850</v>
      </c>
      <c r="H877" s="25">
        <v>2</v>
      </c>
      <c r="I877" s="25">
        <v>7</v>
      </c>
    </row>
    <row r="878" spans="1:9" x14ac:dyDescent="0.25">
      <c r="A878" s="42" t="s">
        <v>1356</v>
      </c>
      <c r="B878" s="43" t="s">
        <v>39</v>
      </c>
      <c r="C878" s="24">
        <v>611704</v>
      </c>
      <c r="D878" s="20">
        <v>41145</v>
      </c>
      <c r="E878" s="25">
        <v>480</v>
      </c>
      <c r="F878" s="25">
        <v>6</v>
      </c>
      <c r="G878" s="25">
        <v>1496</v>
      </c>
      <c r="H878" s="25">
        <v>0</v>
      </c>
      <c r="I878" s="25">
        <v>0</v>
      </c>
    </row>
    <row r="879" spans="1:9" x14ac:dyDescent="0.25">
      <c r="A879" s="42" t="s">
        <v>1356</v>
      </c>
      <c r="B879" s="42" t="s">
        <v>37</v>
      </c>
      <c r="C879" s="24">
        <v>610208</v>
      </c>
      <c r="D879" s="20">
        <v>41143</v>
      </c>
      <c r="E879" s="25">
        <v>477</v>
      </c>
      <c r="F879" s="25">
        <v>24</v>
      </c>
      <c r="G879" s="25">
        <v>6255</v>
      </c>
      <c r="H879" s="25">
        <v>8</v>
      </c>
      <c r="I879" s="25">
        <v>0</v>
      </c>
    </row>
    <row r="880" spans="1:9" x14ac:dyDescent="0.25">
      <c r="A880" s="42" t="s">
        <v>1355</v>
      </c>
      <c r="B880" s="42" t="s">
        <v>34</v>
      </c>
      <c r="C880" s="24">
        <v>613447</v>
      </c>
      <c r="D880" s="20">
        <v>41134</v>
      </c>
      <c r="E880" s="25">
        <v>477</v>
      </c>
      <c r="F880" s="25">
        <v>48</v>
      </c>
      <c r="G880" s="25">
        <v>13956</v>
      </c>
      <c r="H880" s="25">
        <v>3</v>
      </c>
      <c r="I880" s="25">
        <v>838</v>
      </c>
    </row>
    <row r="881" spans="1:9" x14ac:dyDescent="0.25">
      <c r="A881" s="42" t="s">
        <v>1356</v>
      </c>
      <c r="B881" s="42" t="s">
        <v>37</v>
      </c>
      <c r="C881" s="24">
        <v>610208</v>
      </c>
      <c r="D881" s="20">
        <v>41142</v>
      </c>
      <c r="E881" s="25">
        <v>481</v>
      </c>
      <c r="F881" s="25">
        <v>0</v>
      </c>
      <c r="G881" s="25">
        <v>0</v>
      </c>
      <c r="H881" s="25">
        <v>0</v>
      </c>
      <c r="I881" s="25">
        <v>0</v>
      </c>
    </row>
    <row r="882" spans="1:9" x14ac:dyDescent="0.25">
      <c r="A882" s="42" t="s">
        <v>1356</v>
      </c>
      <c r="B882" s="42" t="s">
        <v>38</v>
      </c>
      <c r="C882" s="24">
        <v>610340</v>
      </c>
      <c r="D882" s="20">
        <v>41144</v>
      </c>
      <c r="E882" s="25">
        <v>481</v>
      </c>
      <c r="F882" s="25">
        <v>0</v>
      </c>
      <c r="G882" s="25">
        <v>0</v>
      </c>
      <c r="H882" s="25">
        <v>0</v>
      </c>
      <c r="I882" s="25">
        <v>0</v>
      </c>
    </row>
    <row r="883" spans="1:9" x14ac:dyDescent="0.25">
      <c r="A883" s="42" t="s">
        <v>1355</v>
      </c>
      <c r="B883" s="42" t="s">
        <v>36</v>
      </c>
      <c r="C883" s="24">
        <v>610832</v>
      </c>
      <c r="D883" s="20">
        <v>41139</v>
      </c>
      <c r="E883" s="25">
        <v>467</v>
      </c>
      <c r="F883" s="25">
        <v>0</v>
      </c>
      <c r="G883" s="25">
        <v>0</v>
      </c>
      <c r="H883" s="25">
        <v>0</v>
      </c>
      <c r="I883" s="25">
        <v>0</v>
      </c>
    </row>
    <row r="884" spans="1:9" x14ac:dyDescent="0.25">
      <c r="A884" s="42" t="s">
        <v>1355</v>
      </c>
      <c r="B884" s="42" t="s">
        <v>34</v>
      </c>
      <c r="C884" s="24">
        <v>613447</v>
      </c>
      <c r="D884" s="20">
        <v>41135</v>
      </c>
      <c r="E884" s="25">
        <v>477</v>
      </c>
      <c r="F884" s="25">
        <v>26</v>
      </c>
      <c r="G884" s="25">
        <v>5326</v>
      </c>
      <c r="H884" s="25">
        <v>1</v>
      </c>
      <c r="I884" s="25">
        <v>82</v>
      </c>
    </row>
    <row r="885" spans="1:9" x14ac:dyDescent="0.25">
      <c r="A885" s="42" t="s">
        <v>1355</v>
      </c>
      <c r="B885" s="42" t="s">
        <v>34</v>
      </c>
      <c r="C885" s="24">
        <v>613447</v>
      </c>
      <c r="D885" s="20">
        <v>41146</v>
      </c>
      <c r="E885" s="25">
        <v>478</v>
      </c>
      <c r="F885" s="25">
        <v>9</v>
      </c>
      <c r="G885" s="25">
        <v>2612</v>
      </c>
      <c r="H885" s="25">
        <v>0</v>
      </c>
      <c r="I885" s="25">
        <v>0</v>
      </c>
    </row>
    <row r="886" spans="1:9" x14ac:dyDescent="0.25">
      <c r="A886" s="42" t="s">
        <v>1356</v>
      </c>
      <c r="B886" s="42" t="s">
        <v>37</v>
      </c>
      <c r="C886" s="24">
        <v>610208</v>
      </c>
      <c r="D886" s="20">
        <v>41124</v>
      </c>
      <c r="E886" s="25">
        <v>85</v>
      </c>
      <c r="F886" s="25">
        <v>0</v>
      </c>
      <c r="G886" s="25">
        <v>0</v>
      </c>
      <c r="H886" s="25">
        <v>0</v>
      </c>
      <c r="I886" s="25">
        <v>0</v>
      </c>
    </row>
    <row r="887" spans="1:9" x14ac:dyDescent="0.25">
      <c r="A887" s="42" t="s">
        <v>1355</v>
      </c>
      <c r="B887" s="42" t="s">
        <v>34</v>
      </c>
      <c r="C887" s="24">
        <v>613447</v>
      </c>
      <c r="D887" s="20">
        <v>41136</v>
      </c>
      <c r="E887" s="25">
        <v>85</v>
      </c>
      <c r="F887" s="25">
        <v>0</v>
      </c>
      <c r="G887" s="25">
        <v>0</v>
      </c>
      <c r="H887" s="25">
        <v>0</v>
      </c>
      <c r="I887" s="25">
        <v>0</v>
      </c>
    </row>
    <row r="888" spans="1:9" x14ac:dyDescent="0.25">
      <c r="A888" s="42" t="s">
        <v>1356</v>
      </c>
      <c r="B888" s="42" t="s">
        <v>37</v>
      </c>
      <c r="C888" s="24">
        <v>610208</v>
      </c>
      <c r="D888" s="20">
        <v>41149</v>
      </c>
      <c r="E888" s="25">
        <v>791</v>
      </c>
      <c r="F888" s="25">
        <v>0</v>
      </c>
      <c r="G888" s="25">
        <v>0</v>
      </c>
      <c r="H888" s="25">
        <v>0</v>
      </c>
      <c r="I888" s="25">
        <v>0</v>
      </c>
    </row>
    <row r="889" spans="1:9" x14ac:dyDescent="0.25">
      <c r="A889" s="42" t="s">
        <v>1355</v>
      </c>
      <c r="B889" s="42" t="s">
        <v>36</v>
      </c>
      <c r="C889" s="24">
        <v>610832</v>
      </c>
      <c r="D889" s="20">
        <v>41133</v>
      </c>
      <c r="E889" s="25">
        <v>478</v>
      </c>
      <c r="F889" s="25">
        <v>17</v>
      </c>
      <c r="G889" s="25">
        <v>4502</v>
      </c>
      <c r="H889" s="25">
        <v>3</v>
      </c>
      <c r="I889" s="25">
        <v>0</v>
      </c>
    </row>
    <row r="890" spans="1:9" x14ac:dyDescent="0.25">
      <c r="A890" s="42" t="s">
        <v>1355</v>
      </c>
      <c r="B890" s="42" t="s">
        <v>35</v>
      </c>
      <c r="C890" s="24">
        <v>611419</v>
      </c>
      <c r="D890" s="20">
        <v>41137</v>
      </c>
      <c r="E890" s="25">
        <v>467</v>
      </c>
      <c r="F890" s="25">
        <v>0</v>
      </c>
      <c r="G890" s="25">
        <v>0</v>
      </c>
      <c r="H890" s="25">
        <v>0</v>
      </c>
      <c r="I890" s="25">
        <v>0</v>
      </c>
    </row>
    <row r="891" spans="1:9" x14ac:dyDescent="0.25">
      <c r="A891" s="42" t="s">
        <v>1355</v>
      </c>
      <c r="B891" s="42" t="s">
        <v>34</v>
      </c>
      <c r="C891" s="24">
        <v>613447</v>
      </c>
      <c r="D891" s="20">
        <v>41143</v>
      </c>
      <c r="E891" s="25">
        <v>790</v>
      </c>
      <c r="F891" s="25">
        <v>0</v>
      </c>
      <c r="G891" s="25">
        <v>0</v>
      </c>
      <c r="H891" s="25">
        <v>0</v>
      </c>
      <c r="I891" s="25">
        <v>0</v>
      </c>
    </row>
    <row r="892" spans="1:9" x14ac:dyDescent="0.25">
      <c r="A892" s="42" t="s">
        <v>1355</v>
      </c>
      <c r="B892" s="42" t="s">
        <v>35</v>
      </c>
      <c r="C892" s="24">
        <v>611419</v>
      </c>
      <c r="D892" s="20">
        <v>41134</v>
      </c>
      <c r="E892" s="25">
        <v>465</v>
      </c>
      <c r="F892" s="25">
        <v>0</v>
      </c>
      <c r="G892" s="25">
        <v>0</v>
      </c>
      <c r="H892" s="25">
        <v>0</v>
      </c>
      <c r="I892" s="25">
        <v>0</v>
      </c>
    </row>
    <row r="893" spans="1:9" x14ac:dyDescent="0.25">
      <c r="A893" s="42" t="s">
        <v>1356</v>
      </c>
      <c r="B893" s="42" t="s">
        <v>37</v>
      </c>
      <c r="C893" s="24">
        <v>610208</v>
      </c>
      <c r="D893" s="20">
        <v>41145</v>
      </c>
      <c r="E893" s="25">
        <v>465</v>
      </c>
      <c r="F893" s="25">
        <v>0</v>
      </c>
      <c r="G893" s="25">
        <v>0</v>
      </c>
      <c r="H893" s="25">
        <v>0</v>
      </c>
      <c r="I893" s="25">
        <v>0</v>
      </c>
    </row>
    <row r="894" spans="1:9" x14ac:dyDescent="0.25">
      <c r="A894" s="42" t="s">
        <v>1356</v>
      </c>
      <c r="B894" s="42" t="s">
        <v>37</v>
      </c>
      <c r="C894" s="24">
        <v>610208</v>
      </c>
      <c r="D894" s="20">
        <v>41146</v>
      </c>
      <c r="E894" s="25">
        <v>474</v>
      </c>
      <c r="F894" s="25">
        <v>15</v>
      </c>
      <c r="G894" s="25">
        <v>3858</v>
      </c>
      <c r="H894" s="25">
        <v>0</v>
      </c>
      <c r="I894" s="25">
        <v>0</v>
      </c>
    </row>
    <row r="895" spans="1:9" x14ac:dyDescent="0.25">
      <c r="A895" s="42" t="s">
        <v>1356</v>
      </c>
      <c r="B895" s="42" t="s">
        <v>37</v>
      </c>
      <c r="C895" s="24">
        <v>610208</v>
      </c>
      <c r="D895" s="20">
        <v>41134</v>
      </c>
      <c r="E895" s="25">
        <v>478</v>
      </c>
      <c r="F895" s="25">
        <v>9</v>
      </c>
      <c r="G895" s="25">
        <v>2912</v>
      </c>
      <c r="H895" s="25">
        <v>5</v>
      </c>
      <c r="I895" s="25">
        <v>0</v>
      </c>
    </row>
    <row r="896" spans="1:9" x14ac:dyDescent="0.25">
      <c r="A896" s="42" t="s">
        <v>1356</v>
      </c>
      <c r="B896" s="42" t="s">
        <v>38</v>
      </c>
      <c r="C896" s="24">
        <v>610340</v>
      </c>
      <c r="D896" s="20">
        <v>41137</v>
      </c>
      <c r="E896" s="25">
        <v>790</v>
      </c>
      <c r="F896" s="25">
        <v>0</v>
      </c>
      <c r="G896" s="25">
        <v>0</v>
      </c>
      <c r="H896" s="25">
        <v>0</v>
      </c>
      <c r="I896" s="25">
        <v>0</v>
      </c>
    </row>
    <row r="897" spans="1:9" x14ac:dyDescent="0.25">
      <c r="A897" s="42" t="s">
        <v>1355</v>
      </c>
      <c r="B897" s="42" t="s">
        <v>35</v>
      </c>
      <c r="C897" s="24">
        <v>611419</v>
      </c>
      <c r="D897" s="20">
        <v>41132</v>
      </c>
      <c r="E897" s="25">
        <v>478</v>
      </c>
      <c r="F897" s="25">
        <v>14</v>
      </c>
      <c r="G897" s="25">
        <v>2309</v>
      </c>
      <c r="H897" s="25">
        <v>27</v>
      </c>
      <c r="I897" s="25">
        <v>16</v>
      </c>
    </row>
    <row r="898" spans="1:9" x14ac:dyDescent="0.25">
      <c r="A898" s="42" t="s">
        <v>1356</v>
      </c>
      <c r="B898" s="42" t="s">
        <v>37</v>
      </c>
      <c r="C898" s="24">
        <v>610208</v>
      </c>
      <c r="D898" s="20">
        <v>41139</v>
      </c>
      <c r="E898" s="25">
        <v>465</v>
      </c>
      <c r="F898" s="25">
        <v>0</v>
      </c>
      <c r="G898" s="25">
        <v>0</v>
      </c>
      <c r="H898" s="25">
        <v>0</v>
      </c>
      <c r="I898" s="25">
        <v>0</v>
      </c>
    </row>
    <row r="899" spans="1:9" x14ac:dyDescent="0.25">
      <c r="A899" s="42" t="s">
        <v>1355</v>
      </c>
      <c r="B899" s="42" t="s">
        <v>36</v>
      </c>
      <c r="C899" s="24">
        <v>610832</v>
      </c>
      <c r="D899" s="20">
        <v>41145</v>
      </c>
      <c r="E899" s="25">
        <v>482</v>
      </c>
      <c r="F899" s="25">
        <v>10</v>
      </c>
      <c r="G899" s="25">
        <v>3138</v>
      </c>
      <c r="H899" s="25">
        <v>2</v>
      </c>
      <c r="I899" s="25">
        <v>6</v>
      </c>
    </row>
    <row r="900" spans="1:9" x14ac:dyDescent="0.25">
      <c r="A900" s="42" t="s">
        <v>1355</v>
      </c>
      <c r="B900" s="42" t="s">
        <v>34</v>
      </c>
      <c r="C900" s="24">
        <v>613447</v>
      </c>
      <c r="D900" s="20">
        <v>41141</v>
      </c>
      <c r="E900" s="25">
        <v>481</v>
      </c>
      <c r="F900" s="25">
        <v>0</v>
      </c>
      <c r="G900" s="25">
        <v>0</v>
      </c>
      <c r="H900" s="25">
        <v>0</v>
      </c>
      <c r="I900" s="25">
        <v>0</v>
      </c>
    </row>
    <row r="901" spans="1:9" x14ac:dyDescent="0.25">
      <c r="A901" s="42" t="s">
        <v>1356</v>
      </c>
      <c r="B901" s="42" t="s">
        <v>37</v>
      </c>
      <c r="C901" s="24">
        <v>610208</v>
      </c>
      <c r="D901" s="20">
        <v>41149</v>
      </c>
      <c r="E901" s="25">
        <v>484</v>
      </c>
      <c r="F901" s="25">
        <v>0</v>
      </c>
      <c r="G901" s="25">
        <v>0</v>
      </c>
      <c r="H901" s="25">
        <v>0</v>
      </c>
      <c r="I901" s="25">
        <v>0</v>
      </c>
    </row>
    <row r="902" spans="1:9" x14ac:dyDescent="0.25">
      <c r="A902" s="42" t="s">
        <v>1355</v>
      </c>
      <c r="B902" s="42" t="s">
        <v>36</v>
      </c>
      <c r="C902" s="24">
        <v>610832</v>
      </c>
      <c r="D902" s="20">
        <v>41136</v>
      </c>
      <c r="E902" s="25">
        <v>790</v>
      </c>
      <c r="F902" s="25">
        <v>0</v>
      </c>
      <c r="G902" s="25">
        <v>0</v>
      </c>
      <c r="H902" s="25">
        <v>0</v>
      </c>
      <c r="I902" s="25">
        <v>0</v>
      </c>
    </row>
    <row r="903" spans="1:9" x14ac:dyDescent="0.25">
      <c r="A903" s="42" t="s">
        <v>1356</v>
      </c>
      <c r="B903" s="43" t="s">
        <v>39</v>
      </c>
      <c r="C903" s="24">
        <v>611704</v>
      </c>
      <c r="D903" s="20">
        <v>41133</v>
      </c>
      <c r="E903" s="25">
        <v>478</v>
      </c>
      <c r="F903" s="25">
        <v>10</v>
      </c>
      <c r="G903" s="25">
        <v>2365</v>
      </c>
      <c r="H903" s="25">
        <v>0</v>
      </c>
      <c r="I903" s="25">
        <v>10</v>
      </c>
    </row>
    <row r="904" spans="1:9" x14ac:dyDescent="0.25">
      <c r="A904" s="42" t="s">
        <v>1356</v>
      </c>
      <c r="B904" s="42" t="s">
        <v>38</v>
      </c>
      <c r="C904" s="24">
        <v>610340</v>
      </c>
      <c r="D904" s="20">
        <v>41137</v>
      </c>
      <c r="E904" s="25">
        <v>85</v>
      </c>
      <c r="F904" s="25">
        <v>0</v>
      </c>
      <c r="G904" s="25">
        <v>0</v>
      </c>
      <c r="H904" s="25">
        <v>0</v>
      </c>
      <c r="I904" s="25">
        <v>0</v>
      </c>
    </row>
    <row r="905" spans="1:9" x14ac:dyDescent="0.25">
      <c r="A905" s="42" t="s">
        <v>1356</v>
      </c>
      <c r="B905" s="42" t="s">
        <v>38</v>
      </c>
      <c r="C905" s="24">
        <v>610340</v>
      </c>
      <c r="D905" s="20">
        <v>41137</v>
      </c>
      <c r="E905" s="25">
        <v>480</v>
      </c>
      <c r="F905" s="25">
        <v>3</v>
      </c>
      <c r="G905" s="25">
        <v>849</v>
      </c>
      <c r="H905" s="25">
        <v>0</v>
      </c>
      <c r="I905" s="25">
        <v>0</v>
      </c>
    </row>
    <row r="906" spans="1:9" x14ac:dyDescent="0.25">
      <c r="A906" s="42" t="s">
        <v>1356</v>
      </c>
      <c r="B906" s="43" t="s">
        <v>39</v>
      </c>
      <c r="C906" s="24">
        <v>611704</v>
      </c>
      <c r="D906" s="20">
        <v>41139</v>
      </c>
      <c r="E906" s="25">
        <v>465</v>
      </c>
      <c r="F906" s="25">
        <v>0</v>
      </c>
      <c r="G906" s="25">
        <v>0</v>
      </c>
      <c r="H906" s="25">
        <v>0</v>
      </c>
      <c r="I906" s="25">
        <v>0</v>
      </c>
    </row>
    <row r="907" spans="1:9" x14ac:dyDescent="0.25">
      <c r="A907" s="42" t="s">
        <v>1355</v>
      </c>
      <c r="B907" s="42" t="s">
        <v>34</v>
      </c>
      <c r="C907" s="24">
        <v>613447</v>
      </c>
      <c r="D907" s="20">
        <v>41122</v>
      </c>
      <c r="E907" s="25">
        <v>477</v>
      </c>
      <c r="F907" s="25">
        <v>49</v>
      </c>
      <c r="G907" s="25">
        <v>16090</v>
      </c>
      <c r="H907" s="25">
        <v>14</v>
      </c>
      <c r="I907" s="25">
        <v>520</v>
      </c>
    </row>
    <row r="908" spans="1:9" x14ac:dyDescent="0.25">
      <c r="A908" s="42" t="s">
        <v>1356</v>
      </c>
      <c r="B908" s="43" t="s">
        <v>39</v>
      </c>
      <c r="C908" s="24">
        <v>611704</v>
      </c>
      <c r="D908" s="20">
        <v>41145</v>
      </c>
      <c r="E908" s="25">
        <v>466</v>
      </c>
      <c r="F908" s="25">
        <v>30</v>
      </c>
      <c r="G908" s="25">
        <v>9075</v>
      </c>
      <c r="H908" s="25">
        <v>21</v>
      </c>
      <c r="I908" s="25">
        <v>5</v>
      </c>
    </row>
    <row r="909" spans="1:9" x14ac:dyDescent="0.25">
      <c r="A909" s="42" t="s">
        <v>1356</v>
      </c>
      <c r="B909" s="43" t="s">
        <v>39</v>
      </c>
      <c r="C909" s="24">
        <v>611704</v>
      </c>
      <c r="D909" s="20">
        <v>41143</v>
      </c>
      <c r="E909" s="25">
        <v>85</v>
      </c>
      <c r="F909" s="25">
        <v>0</v>
      </c>
      <c r="G909" s="25">
        <v>0</v>
      </c>
      <c r="H909" s="25">
        <v>0</v>
      </c>
      <c r="I909" s="25">
        <v>0</v>
      </c>
    </row>
    <row r="910" spans="1:9" x14ac:dyDescent="0.25">
      <c r="A910" s="42" t="s">
        <v>1355</v>
      </c>
      <c r="B910" s="42" t="s">
        <v>34</v>
      </c>
      <c r="C910" s="24">
        <v>613447</v>
      </c>
      <c r="D910" s="20">
        <v>41142</v>
      </c>
      <c r="E910" s="25">
        <v>466</v>
      </c>
      <c r="F910" s="25">
        <v>21</v>
      </c>
      <c r="G910" s="25">
        <v>6714</v>
      </c>
      <c r="H910" s="25">
        <v>0</v>
      </c>
      <c r="I910" s="25">
        <v>275</v>
      </c>
    </row>
    <row r="911" spans="1:9" x14ac:dyDescent="0.25">
      <c r="A911" s="42" t="s">
        <v>1355</v>
      </c>
      <c r="B911" s="42" t="s">
        <v>35</v>
      </c>
      <c r="C911" s="24">
        <v>611419</v>
      </c>
      <c r="D911" s="20">
        <v>41127</v>
      </c>
      <c r="E911" s="25">
        <v>465</v>
      </c>
      <c r="F911" s="25">
        <v>0</v>
      </c>
      <c r="G911" s="25">
        <v>0</v>
      </c>
      <c r="H911" s="25">
        <v>0</v>
      </c>
      <c r="I911" s="25">
        <v>0</v>
      </c>
    </row>
    <row r="912" spans="1:9" x14ac:dyDescent="0.25">
      <c r="A912" s="42" t="s">
        <v>1356</v>
      </c>
      <c r="B912" s="42" t="s">
        <v>37</v>
      </c>
      <c r="C912" s="24">
        <v>610208</v>
      </c>
      <c r="D912" s="20">
        <v>41150</v>
      </c>
      <c r="E912" s="25">
        <v>473</v>
      </c>
      <c r="F912" s="25">
        <v>14</v>
      </c>
      <c r="G912" s="25">
        <v>3746</v>
      </c>
      <c r="H912" s="25">
        <v>4</v>
      </c>
      <c r="I912" s="25">
        <v>0</v>
      </c>
    </row>
    <row r="913" spans="1:9" x14ac:dyDescent="0.25">
      <c r="A913" s="42" t="s">
        <v>1356</v>
      </c>
      <c r="B913" s="42" t="s">
        <v>38</v>
      </c>
      <c r="C913" s="24">
        <v>610340</v>
      </c>
      <c r="D913" s="20">
        <v>41142</v>
      </c>
      <c r="E913" s="25">
        <v>477</v>
      </c>
      <c r="F913" s="25">
        <v>23</v>
      </c>
      <c r="G913" s="25">
        <v>4632</v>
      </c>
      <c r="H913" s="25">
        <v>6</v>
      </c>
      <c r="I913" s="25">
        <v>5</v>
      </c>
    </row>
    <row r="914" spans="1:9" x14ac:dyDescent="0.25">
      <c r="A914" s="42" t="s">
        <v>1356</v>
      </c>
      <c r="B914" s="43" t="s">
        <v>39</v>
      </c>
      <c r="C914" s="24">
        <v>611704</v>
      </c>
      <c r="D914" s="20">
        <v>41142</v>
      </c>
      <c r="E914" s="25">
        <v>481</v>
      </c>
      <c r="F914" s="25">
        <v>0</v>
      </c>
      <c r="G914" s="25">
        <v>0</v>
      </c>
      <c r="H914" s="25">
        <v>0</v>
      </c>
      <c r="I914" s="25">
        <v>0</v>
      </c>
    </row>
    <row r="915" spans="1:9" x14ac:dyDescent="0.25">
      <c r="A915" s="42" t="s">
        <v>1356</v>
      </c>
      <c r="B915" s="42" t="s">
        <v>37</v>
      </c>
      <c r="C915" s="24">
        <v>610208</v>
      </c>
      <c r="D915" s="20">
        <v>41136</v>
      </c>
      <c r="E915" s="25">
        <v>85</v>
      </c>
      <c r="F915" s="25">
        <v>0</v>
      </c>
      <c r="G915" s="25">
        <v>0</v>
      </c>
      <c r="H915" s="25">
        <v>0</v>
      </c>
      <c r="I915" s="25">
        <v>0</v>
      </c>
    </row>
    <row r="916" spans="1:9" x14ac:dyDescent="0.25">
      <c r="A916" s="42" t="s">
        <v>1356</v>
      </c>
      <c r="B916" s="43" t="s">
        <v>39</v>
      </c>
      <c r="C916" s="24">
        <v>611704</v>
      </c>
      <c r="D916" s="20">
        <v>41151</v>
      </c>
      <c r="E916" s="25">
        <v>480</v>
      </c>
      <c r="F916" s="25">
        <v>5</v>
      </c>
      <c r="G916" s="25">
        <v>1504</v>
      </c>
      <c r="H916" s="25">
        <v>9</v>
      </c>
      <c r="I916" s="25">
        <v>42</v>
      </c>
    </row>
    <row r="917" spans="1:9" x14ac:dyDescent="0.25">
      <c r="A917" s="42" t="s">
        <v>1356</v>
      </c>
      <c r="B917" s="42" t="s">
        <v>38</v>
      </c>
      <c r="C917" s="24">
        <v>610340</v>
      </c>
      <c r="D917" s="20">
        <v>41148</v>
      </c>
      <c r="E917" s="25">
        <v>480</v>
      </c>
      <c r="F917" s="25">
        <v>0</v>
      </c>
      <c r="G917" s="25">
        <v>0</v>
      </c>
      <c r="H917" s="25">
        <v>0</v>
      </c>
      <c r="I917" s="25">
        <v>0</v>
      </c>
    </row>
    <row r="918" spans="1:9" x14ac:dyDescent="0.25">
      <c r="A918" s="42" t="s">
        <v>1355</v>
      </c>
      <c r="B918" s="42" t="s">
        <v>34</v>
      </c>
      <c r="C918" s="24">
        <v>613447</v>
      </c>
      <c r="D918" s="20">
        <v>41129</v>
      </c>
      <c r="E918" s="25">
        <v>481</v>
      </c>
      <c r="F918" s="25">
        <v>12</v>
      </c>
      <c r="G918" s="25">
        <v>4306</v>
      </c>
      <c r="H918" s="25">
        <v>2</v>
      </c>
      <c r="I918" s="25">
        <v>260</v>
      </c>
    </row>
    <row r="919" spans="1:9" x14ac:dyDescent="0.25">
      <c r="A919" s="42" t="s">
        <v>1356</v>
      </c>
      <c r="B919" s="42" t="s">
        <v>38</v>
      </c>
      <c r="C919" s="24">
        <v>610340</v>
      </c>
      <c r="D919" s="20">
        <v>41130</v>
      </c>
      <c r="E919" s="25">
        <v>790</v>
      </c>
      <c r="F919" s="25">
        <v>0</v>
      </c>
      <c r="G919" s="25">
        <v>0</v>
      </c>
      <c r="H919" s="25">
        <v>0</v>
      </c>
      <c r="I919" s="25">
        <v>0</v>
      </c>
    </row>
    <row r="920" spans="1:9" x14ac:dyDescent="0.25">
      <c r="A920" s="42" t="s">
        <v>1355</v>
      </c>
      <c r="B920" s="42" t="s">
        <v>36</v>
      </c>
      <c r="C920" s="24">
        <v>610832</v>
      </c>
      <c r="D920" s="20">
        <v>41143</v>
      </c>
      <c r="E920" s="25">
        <v>480</v>
      </c>
      <c r="F920" s="25">
        <v>6</v>
      </c>
      <c r="G920" s="25">
        <v>1810</v>
      </c>
      <c r="H920" s="25">
        <v>0</v>
      </c>
      <c r="I920" s="25">
        <v>0</v>
      </c>
    </row>
    <row r="921" spans="1:9" x14ac:dyDescent="0.25">
      <c r="A921" s="42" t="s">
        <v>1355</v>
      </c>
      <c r="B921" s="42" t="s">
        <v>34</v>
      </c>
      <c r="C921" s="24">
        <v>613447</v>
      </c>
      <c r="D921" s="20">
        <v>41152</v>
      </c>
      <c r="E921" s="25">
        <v>478</v>
      </c>
      <c r="F921" s="25">
        <v>33</v>
      </c>
      <c r="G921" s="25">
        <v>10075</v>
      </c>
      <c r="H921" s="25">
        <v>2</v>
      </c>
      <c r="I921" s="25">
        <v>209</v>
      </c>
    </row>
    <row r="922" spans="1:9" x14ac:dyDescent="0.25">
      <c r="A922" s="42" t="s">
        <v>1356</v>
      </c>
      <c r="B922" s="42" t="s">
        <v>37</v>
      </c>
      <c r="C922" s="24">
        <v>610208</v>
      </c>
      <c r="D922" s="20">
        <v>41150</v>
      </c>
      <c r="E922" s="25">
        <v>791</v>
      </c>
      <c r="F922" s="25">
        <v>0</v>
      </c>
      <c r="G922" s="25">
        <v>0</v>
      </c>
      <c r="H922" s="25">
        <v>0</v>
      </c>
      <c r="I922" s="25">
        <v>0</v>
      </c>
    </row>
    <row r="923" spans="1:9" x14ac:dyDescent="0.25">
      <c r="A923" s="42" t="s">
        <v>1355</v>
      </c>
      <c r="B923" s="42" t="s">
        <v>36</v>
      </c>
      <c r="C923" s="24">
        <v>610832</v>
      </c>
      <c r="D923" s="20">
        <v>41122</v>
      </c>
      <c r="E923" s="25">
        <v>481</v>
      </c>
      <c r="F923" s="25">
        <v>0</v>
      </c>
      <c r="G923" s="25">
        <v>0</v>
      </c>
      <c r="H923" s="25">
        <v>0</v>
      </c>
      <c r="I923" s="25">
        <v>0</v>
      </c>
    </row>
    <row r="924" spans="1:9" x14ac:dyDescent="0.25">
      <c r="A924" s="42" t="s">
        <v>1356</v>
      </c>
      <c r="B924" s="43" t="s">
        <v>39</v>
      </c>
      <c r="C924" s="24">
        <v>611704</v>
      </c>
      <c r="D924" s="20">
        <v>41144</v>
      </c>
      <c r="E924" s="25">
        <v>481</v>
      </c>
      <c r="F924" s="25">
        <v>0</v>
      </c>
      <c r="G924" s="25">
        <v>0</v>
      </c>
      <c r="H924" s="25">
        <v>0</v>
      </c>
      <c r="I924" s="25">
        <v>0</v>
      </c>
    </row>
    <row r="925" spans="1:9" x14ac:dyDescent="0.25">
      <c r="A925" s="42" t="s">
        <v>1356</v>
      </c>
      <c r="B925" s="42" t="s">
        <v>38</v>
      </c>
      <c r="C925" s="24">
        <v>610340</v>
      </c>
      <c r="D925" s="20">
        <v>41136</v>
      </c>
      <c r="E925" s="25">
        <v>482</v>
      </c>
      <c r="F925" s="25">
        <v>32</v>
      </c>
      <c r="G925" s="25">
        <v>9071</v>
      </c>
      <c r="H925" s="25">
        <v>0</v>
      </c>
      <c r="I925" s="25">
        <v>0</v>
      </c>
    </row>
    <row r="926" spans="1:9" x14ac:dyDescent="0.25">
      <c r="A926" s="42" t="s">
        <v>1355</v>
      </c>
      <c r="B926" s="42" t="s">
        <v>34</v>
      </c>
      <c r="C926" s="24">
        <v>613447</v>
      </c>
      <c r="D926" s="20">
        <v>41138</v>
      </c>
      <c r="E926" s="25">
        <v>465</v>
      </c>
      <c r="F926" s="25">
        <v>0</v>
      </c>
      <c r="G926" s="25">
        <v>0</v>
      </c>
      <c r="H926" s="25">
        <v>0</v>
      </c>
      <c r="I926" s="25">
        <v>0</v>
      </c>
    </row>
    <row r="927" spans="1:9" x14ac:dyDescent="0.25">
      <c r="A927" s="42" t="s">
        <v>1356</v>
      </c>
      <c r="B927" s="43" t="s">
        <v>39</v>
      </c>
      <c r="C927" s="24">
        <v>611704</v>
      </c>
      <c r="D927" s="20">
        <v>41148</v>
      </c>
      <c r="E927" s="25">
        <v>466</v>
      </c>
      <c r="F927" s="25">
        <v>18</v>
      </c>
      <c r="G927" s="25">
        <v>5169</v>
      </c>
      <c r="H927" s="25">
        <v>3</v>
      </c>
      <c r="I927" s="25">
        <v>0</v>
      </c>
    </row>
    <row r="928" spans="1:9" x14ac:dyDescent="0.25">
      <c r="A928" s="42" t="s">
        <v>1355</v>
      </c>
      <c r="B928" s="42" t="s">
        <v>35</v>
      </c>
      <c r="C928" s="24">
        <v>611419</v>
      </c>
      <c r="D928" s="20">
        <v>41135</v>
      </c>
      <c r="E928" s="25">
        <v>478</v>
      </c>
      <c r="F928" s="25">
        <v>8</v>
      </c>
      <c r="G928" s="25">
        <v>1713</v>
      </c>
      <c r="H928" s="25">
        <v>25</v>
      </c>
      <c r="I928" s="25">
        <v>254</v>
      </c>
    </row>
    <row r="929" spans="1:9" x14ac:dyDescent="0.25">
      <c r="A929" s="42" t="s">
        <v>1356</v>
      </c>
      <c r="B929" s="42" t="s">
        <v>37</v>
      </c>
      <c r="C929" s="24">
        <v>610208</v>
      </c>
      <c r="D929" s="20">
        <v>41124</v>
      </c>
      <c r="E929" s="25">
        <v>481</v>
      </c>
      <c r="F929" s="25">
        <v>28</v>
      </c>
      <c r="G929" s="25">
        <v>7755</v>
      </c>
      <c r="H929" s="25">
        <v>2</v>
      </c>
      <c r="I929" s="25">
        <v>0</v>
      </c>
    </row>
    <row r="930" spans="1:9" x14ac:dyDescent="0.25">
      <c r="A930" s="42" t="s">
        <v>1355</v>
      </c>
      <c r="B930" s="42" t="s">
        <v>35</v>
      </c>
      <c r="C930" s="24">
        <v>611419</v>
      </c>
      <c r="D930" s="20">
        <v>41123</v>
      </c>
      <c r="E930" s="25">
        <v>465</v>
      </c>
      <c r="F930" s="25">
        <v>5</v>
      </c>
      <c r="G930" s="25">
        <v>894</v>
      </c>
      <c r="H930" s="25">
        <v>0</v>
      </c>
      <c r="I930" s="25">
        <v>0</v>
      </c>
    </row>
    <row r="931" spans="1:9" x14ac:dyDescent="0.25">
      <c r="A931" s="42" t="s">
        <v>1356</v>
      </c>
      <c r="B931" s="42" t="s">
        <v>38</v>
      </c>
      <c r="C931" s="24">
        <v>610340</v>
      </c>
      <c r="D931" s="20">
        <v>41135</v>
      </c>
      <c r="E931" s="25">
        <v>478</v>
      </c>
      <c r="F931" s="25">
        <v>34</v>
      </c>
      <c r="G931" s="25">
        <v>9567</v>
      </c>
      <c r="H931" s="25">
        <v>8</v>
      </c>
      <c r="I931" s="25">
        <v>0</v>
      </c>
    </row>
    <row r="932" spans="1:9" x14ac:dyDescent="0.25">
      <c r="A932" s="42" t="s">
        <v>1356</v>
      </c>
      <c r="B932" s="42" t="s">
        <v>37</v>
      </c>
      <c r="C932" s="24">
        <v>610208</v>
      </c>
      <c r="D932" s="20">
        <v>41144</v>
      </c>
      <c r="E932" s="25">
        <v>465</v>
      </c>
      <c r="F932" s="25">
        <v>0</v>
      </c>
      <c r="G932" s="25">
        <v>0</v>
      </c>
      <c r="H932" s="25">
        <v>0</v>
      </c>
      <c r="I932" s="25">
        <v>0</v>
      </c>
    </row>
    <row r="933" spans="1:9" x14ac:dyDescent="0.25">
      <c r="A933" s="42" t="s">
        <v>1355</v>
      </c>
      <c r="B933" s="42" t="s">
        <v>36</v>
      </c>
      <c r="C933" s="24">
        <v>610832</v>
      </c>
      <c r="D933" s="20">
        <v>41150</v>
      </c>
      <c r="E933" s="25">
        <v>85</v>
      </c>
      <c r="F933" s="25">
        <v>0</v>
      </c>
      <c r="G933" s="25">
        <v>0</v>
      </c>
      <c r="H933" s="25">
        <v>0</v>
      </c>
      <c r="I933" s="25">
        <v>0</v>
      </c>
    </row>
    <row r="934" spans="1:9" x14ac:dyDescent="0.25">
      <c r="A934" s="42" t="s">
        <v>1356</v>
      </c>
      <c r="B934" s="42" t="s">
        <v>38</v>
      </c>
      <c r="C934" s="24">
        <v>610340</v>
      </c>
      <c r="D934" s="20">
        <v>41123</v>
      </c>
      <c r="E934" s="25">
        <v>478</v>
      </c>
      <c r="F934" s="25">
        <v>11</v>
      </c>
      <c r="G934" s="25">
        <v>3898</v>
      </c>
      <c r="H934" s="25">
        <v>0</v>
      </c>
      <c r="I934" s="25">
        <v>0</v>
      </c>
    </row>
    <row r="935" spans="1:9" x14ac:dyDescent="0.25">
      <c r="A935" s="42" t="s">
        <v>1355</v>
      </c>
      <c r="B935" s="42" t="s">
        <v>36</v>
      </c>
      <c r="C935" s="24">
        <v>610832</v>
      </c>
      <c r="D935" s="20">
        <v>41141</v>
      </c>
      <c r="E935" s="25">
        <v>477</v>
      </c>
      <c r="F935" s="25">
        <v>20</v>
      </c>
      <c r="G935" s="25">
        <v>6557</v>
      </c>
      <c r="H935" s="25">
        <v>0</v>
      </c>
      <c r="I935" s="25">
        <v>15</v>
      </c>
    </row>
    <row r="936" spans="1:9" x14ac:dyDescent="0.25">
      <c r="A936" s="42" t="s">
        <v>1356</v>
      </c>
      <c r="B936" s="43" t="s">
        <v>39</v>
      </c>
      <c r="C936" s="24">
        <v>611704</v>
      </c>
      <c r="D936" s="20">
        <v>41133</v>
      </c>
      <c r="E936" s="25">
        <v>85</v>
      </c>
      <c r="F936" s="25">
        <v>0</v>
      </c>
      <c r="G936" s="25">
        <v>0</v>
      </c>
      <c r="H936" s="25">
        <v>0</v>
      </c>
      <c r="I936" s="25">
        <v>0</v>
      </c>
    </row>
    <row r="937" spans="1:9" x14ac:dyDescent="0.25">
      <c r="A937" s="42" t="s">
        <v>1356</v>
      </c>
      <c r="B937" s="43" t="s">
        <v>39</v>
      </c>
      <c r="C937" s="24">
        <v>611704</v>
      </c>
      <c r="D937" s="20">
        <v>41145</v>
      </c>
      <c r="E937" s="25">
        <v>790</v>
      </c>
      <c r="F937" s="25">
        <v>0</v>
      </c>
      <c r="G937" s="25">
        <v>0</v>
      </c>
      <c r="H937" s="25">
        <v>0</v>
      </c>
      <c r="I937" s="25">
        <v>0</v>
      </c>
    </row>
    <row r="938" spans="1:9" x14ac:dyDescent="0.25">
      <c r="A938" s="42" t="s">
        <v>1356</v>
      </c>
      <c r="B938" s="43" t="s">
        <v>39</v>
      </c>
      <c r="C938" s="24">
        <v>611704</v>
      </c>
      <c r="D938" s="20">
        <v>41142</v>
      </c>
      <c r="E938" s="25">
        <v>478</v>
      </c>
      <c r="F938" s="25">
        <v>2</v>
      </c>
      <c r="G938" s="25">
        <v>996</v>
      </c>
      <c r="H938" s="25">
        <v>0</v>
      </c>
      <c r="I938" s="25">
        <v>0</v>
      </c>
    </row>
    <row r="939" spans="1:9" x14ac:dyDescent="0.25">
      <c r="A939" s="42" t="s">
        <v>1355</v>
      </c>
      <c r="B939" s="42" t="s">
        <v>34</v>
      </c>
      <c r="C939" s="24">
        <v>613447</v>
      </c>
      <c r="D939" s="20">
        <v>41142</v>
      </c>
      <c r="E939" s="25">
        <v>465</v>
      </c>
      <c r="F939" s="25">
        <v>0</v>
      </c>
      <c r="G939" s="25">
        <v>0</v>
      </c>
      <c r="H939" s="25">
        <v>0</v>
      </c>
      <c r="I939" s="25">
        <v>0</v>
      </c>
    </row>
    <row r="940" spans="1:9" x14ac:dyDescent="0.25">
      <c r="A940" s="42" t="s">
        <v>1356</v>
      </c>
      <c r="B940" s="43" t="s">
        <v>39</v>
      </c>
      <c r="C940" s="24">
        <v>611704</v>
      </c>
      <c r="D940" s="20">
        <v>41138</v>
      </c>
      <c r="E940" s="25">
        <v>478</v>
      </c>
      <c r="F940" s="25">
        <v>0</v>
      </c>
      <c r="G940" s="25">
        <v>0</v>
      </c>
      <c r="H940" s="25">
        <v>0</v>
      </c>
      <c r="I940" s="25">
        <v>0</v>
      </c>
    </row>
    <row r="941" spans="1:9" x14ac:dyDescent="0.25">
      <c r="A941" s="42" t="s">
        <v>1356</v>
      </c>
      <c r="B941" s="43" t="s">
        <v>39</v>
      </c>
      <c r="C941" s="24">
        <v>611704</v>
      </c>
      <c r="D941" s="20">
        <v>41137</v>
      </c>
      <c r="E941" s="25">
        <v>466</v>
      </c>
      <c r="F941" s="25">
        <v>22</v>
      </c>
      <c r="G941" s="25">
        <v>6534</v>
      </c>
      <c r="H941" s="25">
        <v>6</v>
      </c>
      <c r="I941" s="25">
        <v>9</v>
      </c>
    </row>
    <row r="942" spans="1:9" x14ac:dyDescent="0.25">
      <c r="A942" s="42" t="s">
        <v>1356</v>
      </c>
      <c r="B942" s="42" t="s">
        <v>38</v>
      </c>
      <c r="C942" s="24">
        <v>610340</v>
      </c>
      <c r="D942" s="20">
        <v>41124</v>
      </c>
      <c r="E942" s="25">
        <v>477</v>
      </c>
      <c r="F942" s="25">
        <v>23</v>
      </c>
      <c r="G942" s="25">
        <v>7110</v>
      </c>
      <c r="H942" s="25">
        <v>0</v>
      </c>
      <c r="I942" s="25">
        <v>4</v>
      </c>
    </row>
    <row r="943" spans="1:9" x14ac:dyDescent="0.25">
      <c r="A943" s="42" t="s">
        <v>1356</v>
      </c>
      <c r="B943" s="42" t="s">
        <v>37</v>
      </c>
      <c r="C943" s="24">
        <v>610208</v>
      </c>
      <c r="D943" s="20">
        <v>41145</v>
      </c>
      <c r="E943" s="25">
        <v>481</v>
      </c>
      <c r="F943" s="25">
        <v>0</v>
      </c>
      <c r="G943" s="25">
        <v>0</v>
      </c>
      <c r="H943" s="25">
        <v>0</v>
      </c>
      <c r="I943" s="25">
        <v>0</v>
      </c>
    </row>
    <row r="944" spans="1:9" x14ac:dyDescent="0.25">
      <c r="A944" s="42" t="s">
        <v>1356</v>
      </c>
      <c r="B944" s="42" t="s">
        <v>38</v>
      </c>
      <c r="C944" s="24">
        <v>610340</v>
      </c>
      <c r="D944" s="20">
        <v>41136</v>
      </c>
      <c r="E944" s="25">
        <v>465</v>
      </c>
      <c r="F944" s="25">
        <v>0</v>
      </c>
      <c r="G944" s="25">
        <v>0</v>
      </c>
      <c r="H944" s="25">
        <v>0</v>
      </c>
      <c r="I944" s="25">
        <v>0</v>
      </c>
    </row>
    <row r="945" spans="1:9" x14ac:dyDescent="0.25">
      <c r="A945" s="42" t="s">
        <v>1355</v>
      </c>
      <c r="B945" s="42" t="s">
        <v>34</v>
      </c>
      <c r="C945" s="24">
        <v>613447</v>
      </c>
      <c r="D945" s="20">
        <v>41143</v>
      </c>
      <c r="E945" s="25">
        <v>478</v>
      </c>
      <c r="F945" s="25">
        <v>4</v>
      </c>
      <c r="G945" s="25">
        <v>1232</v>
      </c>
      <c r="H945" s="25">
        <v>0</v>
      </c>
      <c r="I945" s="25">
        <v>0</v>
      </c>
    </row>
    <row r="946" spans="1:9" x14ac:dyDescent="0.25">
      <c r="A946" s="42" t="s">
        <v>1355</v>
      </c>
      <c r="B946" s="42" t="s">
        <v>35</v>
      </c>
      <c r="C946" s="24">
        <v>611419</v>
      </c>
      <c r="D946" s="20">
        <v>41130</v>
      </c>
      <c r="E946" s="25">
        <v>478</v>
      </c>
      <c r="F946" s="25">
        <v>4</v>
      </c>
      <c r="G946" s="25">
        <v>957</v>
      </c>
      <c r="H946" s="25">
        <v>2</v>
      </c>
      <c r="I946" s="25">
        <v>14</v>
      </c>
    </row>
    <row r="947" spans="1:9" x14ac:dyDescent="0.25">
      <c r="A947" s="42" t="s">
        <v>1356</v>
      </c>
      <c r="B947" s="42" t="s">
        <v>37</v>
      </c>
      <c r="C947" s="24">
        <v>610208</v>
      </c>
      <c r="D947" s="20">
        <v>41152</v>
      </c>
      <c r="E947" s="25">
        <v>476</v>
      </c>
      <c r="F947" s="25">
        <v>32</v>
      </c>
      <c r="G947" s="25">
        <v>7920</v>
      </c>
      <c r="H947" s="25">
        <v>0</v>
      </c>
      <c r="I947" s="25">
        <v>0</v>
      </c>
    </row>
    <row r="948" spans="1:9" x14ac:dyDescent="0.25">
      <c r="A948" s="42" t="s">
        <v>1355</v>
      </c>
      <c r="B948" s="42" t="s">
        <v>34</v>
      </c>
      <c r="C948" s="24">
        <v>613447</v>
      </c>
      <c r="D948" s="20">
        <v>41135</v>
      </c>
      <c r="E948" s="25">
        <v>481</v>
      </c>
      <c r="F948" s="25">
        <v>0</v>
      </c>
      <c r="G948" s="25">
        <v>0</v>
      </c>
      <c r="H948" s="25">
        <v>0</v>
      </c>
      <c r="I948" s="25">
        <v>0</v>
      </c>
    </row>
    <row r="949" spans="1:9" x14ac:dyDescent="0.25">
      <c r="A949" s="42" t="s">
        <v>1355</v>
      </c>
      <c r="B949" s="42" t="s">
        <v>34</v>
      </c>
      <c r="C949" s="24">
        <v>613447</v>
      </c>
      <c r="D949" s="20">
        <v>41148</v>
      </c>
      <c r="E949" s="25">
        <v>481</v>
      </c>
      <c r="F949" s="25">
        <v>0</v>
      </c>
      <c r="G949" s="25">
        <v>0</v>
      </c>
      <c r="H949" s="25">
        <v>0</v>
      </c>
      <c r="I949" s="25">
        <v>0</v>
      </c>
    </row>
    <row r="950" spans="1:9" x14ac:dyDescent="0.25">
      <c r="A950" s="42" t="s">
        <v>1355</v>
      </c>
      <c r="B950" s="42" t="s">
        <v>35</v>
      </c>
      <c r="C950" s="24">
        <v>611419</v>
      </c>
      <c r="D950" s="20">
        <v>41142</v>
      </c>
      <c r="E950" s="25">
        <v>477</v>
      </c>
      <c r="F950" s="25">
        <v>12</v>
      </c>
      <c r="G950" s="25">
        <v>2400</v>
      </c>
      <c r="H950" s="25">
        <v>5</v>
      </c>
      <c r="I950" s="25">
        <v>282</v>
      </c>
    </row>
    <row r="951" spans="1:9" x14ac:dyDescent="0.25">
      <c r="A951" s="42" t="s">
        <v>1355</v>
      </c>
      <c r="B951" s="42" t="s">
        <v>36</v>
      </c>
      <c r="C951" s="24">
        <v>610832</v>
      </c>
      <c r="D951" s="20">
        <v>41146</v>
      </c>
      <c r="E951" s="25">
        <v>478</v>
      </c>
      <c r="F951" s="25">
        <v>4</v>
      </c>
      <c r="G951" s="25">
        <v>1628</v>
      </c>
      <c r="H951" s="25">
        <v>0</v>
      </c>
      <c r="I951" s="25">
        <v>0</v>
      </c>
    </row>
    <row r="952" spans="1:9" x14ac:dyDescent="0.25">
      <c r="A952" s="42" t="s">
        <v>1356</v>
      </c>
      <c r="B952" s="42" t="s">
        <v>37</v>
      </c>
      <c r="C952" s="24">
        <v>610208</v>
      </c>
      <c r="D952" s="20">
        <v>41137</v>
      </c>
      <c r="E952" s="25">
        <v>467</v>
      </c>
      <c r="F952" s="25">
        <v>0</v>
      </c>
      <c r="G952" s="25">
        <v>0</v>
      </c>
      <c r="H952" s="25">
        <v>0</v>
      </c>
      <c r="I952" s="25">
        <v>0</v>
      </c>
    </row>
    <row r="953" spans="1:9" x14ac:dyDescent="0.25">
      <c r="A953" s="42" t="s">
        <v>1355</v>
      </c>
      <c r="B953" s="42" t="s">
        <v>36</v>
      </c>
      <c r="C953" s="24">
        <v>610832</v>
      </c>
      <c r="D953" s="20">
        <v>41134</v>
      </c>
      <c r="E953" s="25">
        <v>481</v>
      </c>
      <c r="F953" s="25">
        <v>0</v>
      </c>
      <c r="G953" s="25">
        <v>0</v>
      </c>
      <c r="H953" s="25">
        <v>0</v>
      </c>
      <c r="I953" s="25">
        <v>0</v>
      </c>
    </row>
    <row r="954" spans="1:9" x14ac:dyDescent="0.25">
      <c r="A954" s="42" t="s">
        <v>1355</v>
      </c>
      <c r="B954" s="42" t="s">
        <v>34</v>
      </c>
      <c r="C954" s="24">
        <v>613447</v>
      </c>
      <c r="D954" s="20">
        <v>41143</v>
      </c>
      <c r="E954" s="25">
        <v>481</v>
      </c>
      <c r="F954" s="25">
        <v>1</v>
      </c>
      <c r="G954" s="25">
        <v>252</v>
      </c>
      <c r="H954" s="25">
        <v>0</v>
      </c>
      <c r="I954" s="25">
        <v>58</v>
      </c>
    </row>
    <row r="955" spans="1:9" x14ac:dyDescent="0.25">
      <c r="A955" s="42" t="s">
        <v>1355</v>
      </c>
      <c r="B955" s="42" t="s">
        <v>34</v>
      </c>
      <c r="C955" s="24">
        <v>613447</v>
      </c>
      <c r="D955" s="20">
        <v>41124</v>
      </c>
      <c r="E955" s="25">
        <v>481</v>
      </c>
      <c r="F955" s="25">
        <v>30</v>
      </c>
      <c r="G955" s="25">
        <v>9647</v>
      </c>
      <c r="H955" s="25">
        <v>2</v>
      </c>
      <c r="I955" s="25">
        <v>84</v>
      </c>
    </row>
    <row r="956" spans="1:9" x14ac:dyDescent="0.25">
      <c r="A956" s="42" t="s">
        <v>1356</v>
      </c>
      <c r="B956" s="42" t="s">
        <v>38</v>
      </c>
      <c r="C956" s="24">
        <v>610340</v>
      </c>
      <c r="D956" s="20">
        <v>41126</v>
      </c>
      <c r="E956" s="25">
        <v>482</v>
      </c>
      <c r="F956" s="25">
        <v>0</v>
      </c>
      <c r="G956" s="25">
        <v>0</v>
      </c>
      <c r="H956" s="25">
        <v>0</v>
      </c>
      <c r="I956" s="25">
        <v>0</v>
      </c>
    </row>
    <row r="957" spans="1:9" x14ac:dyDescent="0.25">
      <c r="A957" s="42" t="s">
        <v>1355</v>
      </c>
      <c r="B957" s="42" t="s">
        <v>35</v>
      </c>
      <c r="C957" s="24">
        <v>611419</v>
      </c>
      <c r="D957" s="20">
        <v>41137</v>
      </c>
      <c r="E957" s="25">
        <v>480</v>
      </c>
      <c r="F957" s="25">
        <v>5</v>
      </c>
      <c r="G957" s="25">
        <v>607</v>
      </c>
      <c r="H957" s="25">
        <v>11</v>
      </c>
      <c r="I957" s="25">
        <v>2040</v>
      </c>
    </row>
    <row r="958" spans="1:9" x14ac:dyDescent="0.25">
      <c r="A958" s="42" t="s">
        <v>1356</v>
      </c>
      <c r="B958" s="43" t="s">
        <v>39</v>
      </c>
      <c r="C958" s="24">
        <v>611704</v>
      </c>
      <c r="D958" s="20">
        <v>41148</v>
      </c>
      <c r="E958" s="25">
        <v>478</v>
      </c>
      <c r="F958" s="25">
        <v>16</v>
      </c>
      <c r="G958" s="25">
        <v>5460</v>
      </c>
      <c r="H958" s="25">
        <v>11</v>
      </c>
      <c r="I958" s="25">
        <v>800</v>
      </c>
    </row>
    <row r="959" spans="1:9" x14ac:dyDescent="0.25">
      <c r="A959" s="42" t="s">
        <v>1355</v>
      </c>
      <c r="B959" s="42" t="s">
        <v>36</v>
      </c>
      <c r="C959" s="24">
        <v>610832</v>
      </c>
      <c r="D959" s="20">
        <v>41133</v>
      </c>
      <c r="E959" s="25">
        <v>477</v>
      </c>
      <c r="F959" s="25">
        <v>28</v>
      </c>
      <c r="G959" s="25">
        <v>7693</v>
      </c>
      <c r="H959" s="25">
        <v>0</v>
      </c>
      <c r="I959" s="25">
        <v>0</v>
      </c>
    </row>
    <row r="960" spans="1:9" x14ac:dyDescent="0.25">
      <c r="A960" s="42" t="s">
        <v>1356</v>
      </c>
      <c r="B960" s="42" t="s">
        <v>37</v>
      </c>
      <c r="C960" s="24">
        <v>610208</v>
      </c>
      <c r="D960" s="20">
        <v>41145</v>
      </c>
      <c r="E960" s="25">
        <v>85</v>
      </c>
      <c r="F960" s="25">
        <v>0</v>
      </c>
      <c r="G960" s="25">
        <v>0</v>
      </c>
      <c r="H960" s="25">
        <v>0</v>
      </c>
      <c r="I960" s="25">
        <v>0</v>
      </c>
    </row>
    <row r="961" spans="1:9" x14ac:dyDescent="0.25">
      <c r="A961" s="42" t="s">
        <v>1355</v>
      </c>
      <c r="B961" s="42" t="s">
        <v>35</v>
      </c>
      <c r="C961" s="24">
        <v>611419</v>
      </c>
      <c r="D961" s="20">
        <v>41137</v>
      </c>
      <c r="E961" s="25">
        <v>482</v>
      </c>
      <c r="F961" s="25">
        <v>8</v>
      </c>
      <c r="G961" s="25">
        <v>6954</v>
      </c>
      <c r="H961" s="25">
        <v>8</v>
      </c>
      <c r="I961" s="25">
        <v>0</v>
      </c>
    </row>
    <row r="962" spans="1:9" x14ac:dyDescent="0.25">
      <c r="A962" s="42" t="s">
        <v>1355</v>
      </c>
      <c r="B962" s="42" t="s">
        <v>36</v>
      </c>
      <c r="C962" s="24">
        <v>610832</v>
      </c>
      <c r="D962" s="20">
        <v>41151</v>
      </c>
      <c r="E962" s="25">
        <v>466</v>
      </c>
      <c r="F962" s="25">
        <v>0</v>
      </c>
      <c r="G962" s="25">
        <v>0</v>
      </c>
      <c r="H962" s="25">
        <v>0</v>
      </c>
      <c r="I962" s="25">
        <v>0</v>
      </c>
    </row>
    <row r="963" spans="1:9" x14ac:dyDescent="0.25">
      <c r="A963" s="42" t="s">
        <v>1356</v>
      </c>
      <c r="B963" s="42" t="s">
        <v>38</v>
      </c>
      <c r="C963" s="24">
        <v>610340</v>
      </c>
      <c r="D963" s="20">
        <v>41147</v>
      </c>
      <c r="E963" s="25">
        <v>480</v>
      </c>
      <c r="F963" s="25">
        <v>5</v>
      </c>
      <c r="G963" s="25">
        <v>643</v>
      </c>
      <c r="H963" s="25">
        <v>2</v>
      </c>
      <c r="I963" s="25">
        <v>0</v>
      </c>
    </row>
    <row r="964" spans="1:9" x14ac:dyDescent="0.25">
      <c r="A964" s="42" t="s">
        <v>1356</v>
      </c>
      <c r="B964" s="42" t="s">
        <v>37</v>
      </c>
      <c r="C964" s="24">
        <v>610208</v>
      </c>
      <c r="D964" s="20">
        <v>41148</v>
      </c>
      <c r="E964" s="25">
        <v>790</v>
      </c>
      <c r="F964" s="25">
        <v>0</v>
      </c>
      <c r="G964" s="25">
        <v>0</v>
      </c>
      <c r="H964" s="25">
        <v>0</v>
      </c>
      <c r="I964" s="25">
        <v>0</v>
      </c>
    </row>
    <row r="965" spans="1:9" x14ac:dyDescent="0.25">
      <c r="A965" s="42" t="s">
        <v>1355</v>
      </c>
      <c r="B965" s="42" t="s">
        <v>36</v>
      </c>
      <c r="C965" s="24">
        <v>610832</v>
      </c>
      <c r="D965" s="20">
        <v>41143</v>
      </c>
      <c r="E965" s="25">
        <v>477</v>
      </c>
      <c r="F965" s="25">
        <v>26</v>
      </c>
      <c r="G965" s="25">
        <v>7955</v>
      </c>
      <c r="H965" s="25">
        <v>0</v>
      </c>
      <c r="I965" s="25">
        <v>97</v>
      </c>
    </row>
    <row r="966" spans="1:9" x14ac:dyDescent="0.25">
      <c r="A966" s="42" t="s">
        <v>1356</v>
      </c>
      <c r="B966" s="42" t="s">
        <v>37</v>
      </c>
      <c r="C966" s="24">
        <v>610208</v>
      </c>
      <c r="D966" s="20">
        <v>41149</v>
      </c>
      <c r="E966" s="25">
        <v>466</v>
      </c>
      <c r="F966" s="25">
        <v>0</v>
      </c>
      <c r="G966" s="25">
        <v>0</v>
      </c>
      <c r="H966" s="25">
        <v>0</v>
      </c>
      <c r="I966" s="25">
        <v>0</v>
      </c>
    </row>
    <row r="967" spans="1:9" x14ac:dyDescent="0.25">
      <c r="A967" s="42" t="s">
        <v>1356</v>
      </c>
      <c r="B967" s="42" t="s">
        <v>38</v>
      </c>
      <c r="C967" s="24">
        <v>610340</v>
      </c>
      <c r="D967" s="20">
        <v>41149</v>
      </c>
      <c r="E967" s="25">
        <v>478</v>
      </c>
      <c r="F967" s="25">
        <v>25</v>
      </c>
      <c r="G967" s="25">
        <v>5680</v>
      </c>
      <c r="H967" s="25">
        <v>0</v>
      </c>
      <c r="I967" s="25">
        <v>0</v>
      </c>
    </row>
    <row r="968" spans="1:9" x14ac:dyDescent="0.25">
      <c r="A968" s="42" t="s">
        <v>1356</v>
      </c>
      <c r="B968" s="42" t="s">
        <v>38</v>
      </c>
      <c r="C968" s="24">
        <v>610340</v>
      </c>
      <c r="D968" s="20">
        <v>41139</v>
      </c>
      <c r="E968" s="25">
        <v>478</v>
      </c>
      <c r="F968" s="25">
        <v>8</v>
      </c>
      <c r="G968" s="25">
        <v>1907</v>
      </c>
      <c r="H968" s="25">
        <v>2</v>
      </c>
      <c r="I968" s="25">
        <v>0</v>
      </c>
    </row>
    <row r="969" spans="1:9" x14ac:dyDescent="0.25">
      <c r="A969" s="42" t="s">
        <v>1355</v>
      </c>
      <c r="B969" s="42" t="s">
        <v>34</v>
      </c>
      <c r="C969" s="24">
        <v>613447</v>
      </c>
      <c r="D969" s="20">
        <v>41123</v>
      </c>
      <c r="E969" s="25">
        <v>85</v>
      </c>
      <c r="F969" s="25">
        <v>0</v>
      </c>
      <c r="G969" s="25">
        <v>0</v>
      </c>
      <c r="H969" s="25">
        <v>0</v>
      </c>
      <c r="I969" s="25">
        <v>0</v>
      </c>
    </row>
    <row r="970" spans="1:9" x14ac:dyDescent="0.25">
      <c r="A970" s="42" t="s">
        <v>1356</v>
      </c>
      <c r="B970" s="42" t="s">
        <v>38</v>
      </c>
      <c r="C970" s="24">
        <v>610340</v>
      </c>
      <c r="D970" s="20">
        <v>41148</v>
      </c>
      <c r="E970" s="25">
        <v>481</v>
      </c>
      <c r="F970" s="25">
        <v>0</v>
      </c>
      <c r="G970" s="25">
        <v>0</v>
      </c>
      <c r="H970" s="25">
        <v>0</v>
      </c>
      <c r="I970" s="25">
        <v>0</v>
      </c>
    </row>
    <row r="971" spans="1:9" x14ac:dyDescent="0.25">
      <c r="A971" s="42" t="s">
        <v>1356</v>
      </c>
      <c r="B971" s="43" t="s">
        <v>39</v>
      </c>
      <c r="C971" s="24">
        <v>611704</v>
      </c>
      <c r="D971" s="20">
        <v>41127</v>
      </c>
      <c r="E971" s="25">
        <v>790</v>
      </c>
      <c r="F971" s="25">
        <v>0</v>
      </c>
      <c r="G971" s="25">
        <v>0</v>
      </c>
      <c r="H971" s="25">
        <v>0</v>
      </c>
      <c r="I971" s="25">
        <v>0</v>
      </c>
    </row>
    <row r="972" spans="1:9" x14ac:dyDescent="0.25">
      <c r="A972" s="42" t="s">
        <v>1356</v>
      </c>
      <c r="B972" s="42" t="s">
        <v>37</v>
      </c>
      <c r="C972" s="24">
        <v>610208</v>
      </c>
      <c r="D972" s="20">
        <v>41149</v>
      </c>
      <c r="E972" s="25">
        <v>474</v>
      </c>
      <c r="F972" s="25">
        <v>16</v>
      </c>
      <c r="G972" s="25">
        <v>5794</v>
      </c>
      <c r="H972" s="25">
        <v>0</v>
      </c>
      <c r="I972" s="25">
        <v>0</v>
      </c>
    </row>
    <row r="973" spans="1:9" x14ac:dyDescent="0.25">
      <c r="A973" s="42" t="s">
        <v>1355</v>
      </c>
      <c r="B973" s="42" t="s">
        <v>34</v>
      </c>
      <c r="C973" s="24">
        <v>613447</v>
      </c>
      <c r="D973" s="20">
        <v>41146</v>
      </c>
      <c r="E973" s="25">
        <v>466</v>
      </c>
      <c r="F973" s="25">
        <v>3</v>
      </c>
      <c r="G973" s="25">
        <v>888</v>
      </c>
      <c r="H973" s="25">
        <v>0</v>
      </c>
      <c r="I973" s="25">
        <v>0</v>
      </c>
    </row>
    <row r="974" spans="1:9" x14ac:dyDescent="0.25">
      <c r="A974" s="42" t="s">
        <v>1355</v>
      </c>
      <c r="B974" s="42" t="s">
        <v>36</v>
      </c>
      <c r="C974" s="24">
        <v>610832</v>
      </c>
      <c r="D974" s="20">
        <v>41144</v>
      </c>
      <c r="E974" s="25">
        <v>478</v>
      </c>
      <c r="F974" s="25">
        <v>2</v>
      </c>
      <c r="G974" s="25">
        <v>1507</v>
      </c>
      <c r="H974" s="25">
        <v>0</v>
      </c>
      <c r="I974" s="25">
        <v>0</v>
      </c>
    </row>
    <row r="975" spans="1:9" x14ac:dyDescent="0.25">
      <c r="A975" s="42" t="s">
        <v>1356</v>
      </c>
      <c r="B975" s="42" t="s">
        <v>38</v>
      </c>
      <c r="C975" s="24">
        <v>610340</v>
      </c>
      <c r="D975" s="20">
        <v>41151</v>
      </c>
      <c r="E975" s="25">
        <v>477</v>
      </c>
      <c r="F975" s="25">
        <v>11</v>
      </c>
      <c r="G975" s="25">
        <v>2398</v>
      </c>
      <c r="H975" s="25">
        <v>2</v>
      </c>
      <c r="I975" s="25">
        <v>4</v>
      </c>
    </row>
    <row r="976" spans="1:9" x14ac:dyDescent="0.25">
      <c r="A976" s="42" t="s">
        <v>1355</v>
      </c>
      <c r="B976" s="42" t="s">
        <v>34</v>
      </c>
      <c r="C976" s="24">
        <v>613447</v>
      </c>
      <c r="D976" s="20">
        <v>41149</v>
      </c>
      <c r="E976" s="25">
        <v>481</v>
      </c>
      <c r="F976" s="25">
        <v>0</v>
      </c>
      <c r="G976" s="25">
        <v>0</v>
      </c>
      <c r="H976" s="25">
        <v>0</v>
      </c>
      <c r="I976" s="25">
        <v>0</v>
      </c>
    </row>
    <row r="977" spans="1:9" x14ac:dyDescent="0.25">
      <c r="A977" s="42" t="s">
        <v>1355</v>
      </c>
      <c r="B977" s="42" t="s">
        <v>34</v>
      </c>
      <c r="C977" s="24">
        <v>613447</v>
      </c>
      <c r="D977" s="20">
        <v>41146</v>
      </c>
      <c r="E977" s="25">
        <v>465</v>
      </c>
      <c r="F977" s="25">
        <v>0</v>
      </c>
      <c r="G977" s="25">
        <v>0</v>
      </c>
      <c r="H977" s="25">
        <v>0</v>
      </c>
      <c r="I977" s="25">
        <v>0</v>
      </c>
    </row>
    <row r="978" spans="1:9" x14ac:dyDescent="0.25">
      <c r="A978" s="42" t="s">
        <v>1356</v>
      </c>
      <c r="B978" s="43" t="s">
        <v>39</v>
      </c>
      <c r="C978" s="24">
        <v>611704</v>
      </c>
      <c r="D978" s="20">
        <v>41142</v>
      </c>
      <c r="E978" s="25">
        <v>465</v>
      </c>
      <c r="F978" s="25">
        <v>0</v>
      </c>
      <c r="G978" s="25">
        <v>0</v>
      </c>
      <c r="H978" s="25">
        <v>0</v>
      </c>
      <c r="I978" s="25">
        <v>0</v>
      </c>
    </row>
    <row r="979" spans="1:9" x14ac:dyDescent="0.25">
      <c r="A979" s="42" t="s">
        <v>1356</v>
      </c>
      <c r="B979" s="42" t="s">
        <v>37</v>
      </c>
      <c r="C979" s="24">
        <v>610208</v>
      </c>
      <c r="D979" s="20">
        <v>41143</v>
      </c>
      <c r="E979" s="25">
        <v>480</v>
      </c>
      <c r="F979" s="25">
        <v>4</v>
      </c>
      <c r="G979" s="25">
        <v>958</v>
      </c>
      <c r="H979" s="25">
        <v>0</v>
      </c>
      <c r="I979" s="25">
        <v>0</v>
      </c>
    </row>
    <row r="980" spans="1:9" x14ac:dyDescent="0.25">
      <c r="A980" s="42" t="s">
        <v>1355</v>
      </c>
      <c r="B980" s="42" t="s">
        <v>35</v>
      </c>
      <c r="C980" s="24">
        <v>611419</v>
      </c>
      <c r="D980" s="20">
        <v>41132</v>
      </c>
      <c r="E980" s="25">
        <v>477</v>
      </c>
      <c r="F980" s="25">
        <v>53</v>
      </c>
      <c r="G980" s="25">
        <v>14925</v>
      </c>
      <c r="H980" s="25">
        <v>79</v>
      </c>
      <c r="I980" s="25">
        <v>19</v>
      </c>
    </row>
    <row r="981" spans="1:9" x14ac:dyDescent="0.25">
      <c r="A981" s="42" t="s">
        <v>1355</v>
      </c>
      <c r="B981" s="42" t="s">
        <v>36</v>
      </c>
      <c r="C981" s="24">
        <v>610832</v>
      </c>
      <c r="D981" s="20">
        <v>41136</v>
      </c>
      <c r="E981" s="25">
        <v>481</v>
      </c>
      <c r="F981" s="25">
        <v>6</v>
      </c>
      <c r="G981" s="25">
        <v>2152</v>
      </c>
      <c r="H981" s="25">
        <v>2</v>
      </c>
      <c r="I981" s="25">
        <v>5</v>
      </c>
    </row>
    <row r="982" spans="1:9" x14ac:dyDescent="0.25">
      <c r="A982" s="42" t="s">
        <v>1355</v>
      </c>
      <c r="B982" s="42" t="s">
        <v>36</v>
      </c>
      <c r="C982" s="24">
        <v>610832</v>
      </c>
      <c r="D982" s="20">
        <v>41144</v>
      </c>
      <c r="E982" s="25">
        <v>466</v>
      </c>
      <c r="F982" s="25">
        <v>23</v>
      </c>
      <c r="G982" s="25">
        <v>8141</v>
      </c>
      <c r="H982" s="25">
        <v>0</v>
      </c>
      <c r="I982" s="25">
        <v>84</v>
      </c>
    </row>
    <row r="983" spans="1:9" x14ac:dyDescent="0.25">
      <c r="A983" s="42" t="s">
        <v>1356</v>
      </c>
      <c r="B983" s="42" t="s">
        <v>37</v>
      </c>
      <c r="C983" s="24">
        <v>610208</v>
      </c>
      <c r="D983" s="20">
        <v>41137</v>
      </c>
      <c r="E983" s="25">
        <v>790</v>
      </c>
      <c r="F983" s="25">
        <v>0</v>
      </c>
      <c r="G983" s="25">
        <v>0</v>
      </c>
      <c r="H983" s="25">
        <v>0</v>
      </c>
      <c r="I983" s="25">
        <v>0</v>
      </c>
    </row>
    <row r="984" spans="1:9" x14ac:dyDescent="0.25">
      <c r="A984" s="42" t="s">
        <v>1355</v>
      </c>
      <c r="B984" s="42" t="s">
        <v>35</v>
      </c>
      <c r="C984" s="24">
        <v>611419</v>
      </c>
      <c r="D984" s="20">
        <v>41141</v>
      </c>
      <c r="E984" s="25">
        <v>481</v>
      </c>
      <c r="F984" s="25">
        <v>0</v>
      </c>
      <c r="G984" s="25">
        <v>0</v>
      </c>
      <c r="H984" s="25">
        <v>0</v>
      </c>
      <c r="I984" s="25">
        <v>0</v>
      </c>
    </row>
    <row r="985" spans="1:9" x14ac:dyDescent="0.25">
      <c r="A985" s="42" t="s">
        <v>1356</v>
      </c>
      <c r="B985" s="42" t="s">
        <v>38</v>
      </c>
      <c r="C985" s="24">
        <v>610340</v>
      </c>
      <c r="D985" s="20">
        <v>41135</v>
      </c>
      <c r="E985" s="25">
        <v>467</v>
      </c>
      <c r="F985" s="25">
        <v>0</v>
      </c>
      <c r="G985" s="25">
        <v>0</v>
      </c>
      <c r="H985" s="25">
        <v>0</v>
      </c>
      <c r="I985" s="25">
        <v>0</v>
      </c>
    </row>
    <row r="986" spans="1:9" x14ac:dyDescent="0.25">
      <c r="A986" s="42" t="s">
        <v>1356</v>
      </c>
      <c r="B986" s="43" t="s">
        <v>39</v>
      </c>
      <c r="C986" s="24">
        <v>611704</v>
      </c>
      <c r="D986" s="20">
        <v>41143</v>
      </c>
      <c r="E986" s="25">
        <v>478</v>
      </c>
      <c r="F986" s="25">
        <v>0</v>
      </c>
      <c r="G986" s="25">
        <v>0</v>
      </c>
      <c r="H986" s="25">
        <v>0</v>
      </c>
      <c r="I986" s="25">
        <v>0</v>
      </c>
    </row>
    <row r="987" spans="1:9" x14ac:dyDescent="0.25">
      <c r="A987" s="42" t="s">
        <v>1355</v>
      </c>
      <c r="B987" s="42" t="s">
        <v>35</v>
      </c>
      <c r="C987" s="24">
        <v>611419</v>
      </c>
      <c r="D987" s="20">
        <v>41138</v>
      </c>
      <c r="E987" s="25">
        <v>467</v>
      </c>
      <c r="F987" s="25">
        <v>0</v>
      </c>
      <c r="G987" s="25">
        <v>0</v>
      </c>
      <c r="H987" s="25">
        <v>0</v>
      </c>
      <c r="I987" s="25">
        <v>0</v>
      </c>
    </row>
    <row r="988" spans="1:9" x14ac:dyDescent="0.25">
      <c r="A988" s="42" t="s">
        <v>1356</v>
      </c>
      <c r="B988" s="43" t="s">
        <v>39</v>
      </c>
      <c r="C988" s="24">
        <v>611704</v>
      </c>
      <c r="D988" s="20">
        <v>41143</v>
      </c>
      <c r="E988" s="25">
        <v>465</v>
      </c>
      <c r="F988" s="25">
        <v>0</v>
      </c>
      <c r="G988" s="25">
        <v>0</v>
      </c>
      <c r="H988" s="25">
        <v>0</v>
      </c>
      <c r="I988" s="25">
        <v>0</v>
      </c>
    </row>
    <row r="989" spans="1:9" x14ac:dyDescent="0.25">
      <c r="A989" s="42" t="s">
        <v>1356</v>
      </c>
      <c r="B989" s="42" t="s">
        <v>38</v>
      </c>
      <c r="C989" s="24">
        <v>610340</v>
      </c>
      <c r="D989" s="20">
        <v>41147</v>
      </c>
      <c r="E989" s="25">
        <v>482</v>
      </c>
      <c r="F989" s="25">
        <v>12</v>
      </c>
      <c r="G989" s="25">
        <v>1476</v>
      </c>
      <c r="H989" s="25">
        <v>0</v>
      </c>
      <c r="I989" s="25">
        <v>0</v>
      </c>
    </row>
    <row r="990" spans="1:9" x14ac:dyDescent="0.25">
      <c r="A990" s="42" t="s">
        <v>1356</v>
      </c>
      <c r="B990" s="43" t="s">
        <v>39</v>
      </c>
      <c r="C990" s="24">
        <v>611704</v>
      </c>
      <c r="D990" s="20">
        <v>41144</v>
      </c>
      <c r="E990" s="25">
        <v>790</v>
      </c>
      <c r="F990" s="25">
        <v>0</v>
      </c>
      <c r="G990" s="25">
        <v>0</v>
      </c>
      <c r="H990" s="25">
        <v>0</v>
      </c>
      <c r="I990" s="25">
        <v>0</v>
      </c>
    </row>
    <row r="991" spans="1:9" x14ac:dyDescent="0.25">
      <c r="A991" s="42" t="s">
        <v>1355</v>
      </c>
      <c r="B991" s="42" t="s">
        <v>35</v>
      </c>
      <c r="C991" s="24">
        <v>611419</v>
      </c>
      <c r="D991" s="20">
        <v>41144</v>
      </c>
      <c r="E991" s="25">
        <v>465</v>
      </c>
      <c r="F991" s="25">
        <v>0</v>
      </c>
      <c r="G991" s="25">
        <v>0</v>
      </c>
      <c r="H991" s="25">
        <v>0</v>
      </c>
      <c r="I991" s="25">
        <v>0</v>
      </c>
    </row>
    <row r="992" spans="1:9" x14ac:dyDescent="0.25">
      <c r="A992" s="42" t="s">
        <v>1356</v>
      </c>
      <c r="B992" s="42" t="s">
        <v>37</v>
      </c>
      <c r="C992" s="24">
        <v>610208</v>
      </c>
      <c r="D992" s="20">
        <v>41131</v>
      </c>
      <c r="E992" s="25">
        <v>477</v>
      </c>
      <c r="F992" s="25">
        <v>67</v>
      </c>
      <c r="G992" s="25">
        <v>15243</v>
      </c>
      <c r="H992" s="25">
        <v>13</v>
      </c>
      <c r="I992" s="25">
        <v>0</v>
      </c>
    </row>
    <row r="993" spans="1:9" x14ac:dyDescent="0.25">
      <c r="A993" s="42" t="s">
        <v>1356</v>
      </c>
      <c r="B993" s="42" t="s">
        <v>37</v>
      </c>
      <c r="C993" s="24">
        <v>610208</v>
      </c>
      <c r="D993" s="20">
        <v>41122</v>
      </c>
      <c r="E993" s="25">
        <v>790</v>
      </c>
      <c r="F993" s="25">
        <v>0</v>
      </c>
      <c r="G993" s="25">
        <v>0</v>
      </c>
      <c r="H993" s="25">
        <v>0</v>
      </c>
      <c r="I993" s="25">
        <v>0</v>
      </c>
    </row>
    <row r="994" spans="1:9" x14ac:dyDescent="0.25">
      <c r="A994" s="42" t="s">
        <v>1356</v>
      </c>
      <c r="B994" s="42" t="s">
        <v>37</v>
      </c>
      <c r="C994" s="24">
        <v>610208</v>
      </c>
      <c r="D994" s="20">
        <v>41141</v>
      </c>
      <c r="E994" s="25">
        <v>481</v>
      </c>
      <c r="F994" s="25">
        <v>0</v>
      </c>
      <c r="G994" s="25">
        <v>0</v>
      </c>
      <c r="H994" s="25">
        <v>0</v>
      </c>
      <c r="I994" s="25">
        <v>0</v>
      </c>
    </row>
    <row r="995" spans="1:9" x14ac:dyDescent="0.25">
      <c r="A995" s="42" t="s">
        <v>1355</v>
      </c>
      <c r="B995" s="42" t="s">
        <v>35</v>
      </c>
      <c r="C995" s="24">
        <v>611419</v>
      </c>
      <c r="D995" s="20">
        <v>41131</v>
      </c>
      <c r="E995" s="25">
        <v>478</v>
      </c>
      <c r="F995" s="25">
        <v>1</v>
      </c>
      <c r="G995" s="25">
        <v>52</v>
      </c>
      <c r="H995" s="25">
        <v>2</v>
      </c>
      <c r="I995" s="25">
        <v>0</v>
      </c>
    </row>
    <row r="996" spans="1:9" x14ac:dyDescent="0.25">
      <c r="A996" s="42" t="s">
        <v>1356</v>
      </c>
      <c r="B996" s="42" t="s">
        <v>38</v>
      </c>
      <c r="C996" s="24">
        <v>610340</v>
      </c>
      <c r="D996" s="20">
        <v>41136</v>
      </c>
      <c r="E996" s="25">
        <v>480</v>
      </c>
      <c r="F996" s="25">
        <v>17</v>
      </c>
      <c r="G996" s="25">
        <v>5602</v>
      </c>
      <c r="H996" s="25">
        <v>0</v>
      </c>
      <c r="I996" s="25">
        <v>0</v>
      </c>
    </row>
    <row r="997" spans="1:9" x14ac:dyDescent="0.25">
      <c r="A997" s="42" t="s">
        <v>1355</v>
      </c>
      <c r="B997" s="42" t="s">
        <v>36</v>
      </c>
      <c r="C997" s="24">
        <v>610832</v>
      </c>
      <c r="D997" s="20">
        <v>41127</v>
      </c>
      <c r="E997" s="25">
        <v>790</v>
      </c>
      <c r="F997" s="25">
        <v>0</v>
      </c>
      <c r="G997" s="25">
        <v>0</v>
      </c>
      <c r="H997" s="25">
        <v>0</v>
      </c>
      <c r="I997" s="25">
        <v>0</v>
      </c>
    </row>
    <row r="998" spans="1:9" x14ac:dyDescent="0.25">
      <c r="A998" s="42" t="s">
        <v>1356</v>
      </c>
      <c r="B998" s="42" t="s">
        <v>38</v>
      </c>
      <c r="C998" s="24">
        <v>610340</v>
      </c>
      <c r="D998" s="20">
        <v>41126</v>
      </c>
      <c r="E998" s="25">
        <v>478</v>
      </c>
      <c r="F998" s="25">
        <v>0</v>
      </c>
      <c r="G998" s="25">
        <v>0</v>
      </c>
      <c r="H998" s="25">
        <v>0</v>
      </c>
      <c r="I998" s="25">
        <v>0</v>
      </c>
    </row>
    <row r="999" spans="1:9" x14ac:dyDescent="0.25">
      <c r="A999" s="42" t="s">
        <v>1355</v>
      </c>
      <c r="B999" s="42" t="s">
        <v>35</v>
      </c>
      <c r="C999" s="24">
        <v>611419</v>
      </c>
      <c r="D999" s="20">
        <v>41143</v>
      </c>
      <c r="E999" s="25">
        <v>477</v>
      </c>
      <c r="F999" s="25">
        <v>13</v>
      </c>
      <c r="G999" s="25">
        <v>2743</v>
      </c>
      <c r="H999" s="25">
        <v>6</v>
      </c>
      <c r="I999" s="25">
        <v>1012</v>
      </c>
    </row>
    <row r="1000" spans="1:9" x14ac:dyDescent="0.25">
      <c r="A1000" s="42" t="s">
        <v>1356</v>
      </c>
      <c r="B1000" s="42" t="s">
        <v>37</v>
      </c>
      <c r="C1000" s="24">
        <v>610208</v>
      </c>
      <c r="D1000" s="20">
        <v>41123</v>
      </c>
      <c r="E1000" s="25">
        <v>477</v>
      </c>
      <c r="F1000" s="25">
        <v>52</v>
      </c>
      <c r="G1000" s="25">
        <v>17432</v>
      </c>
      <c r="H1000" s="25">
        <v>10</v>
      </c>
      <c r="I1000" s="25">
        <v>0</v>
      </c>
    </row>
    <row r="1001" spans="1:9" x14ac:dyDescent="0.25">
      <c r="A1001" s="42" t="s">
        <v>1356</v>
      </c>
      <c r="B1001" s="43" t="s">
        <v>39</v>
      </c>
      <c r="C1001" s="24">
        <v>611704</v>
      </c>
      <c r="D1001" s="20">
        <v>41128</v>
      </c>
      <c r="E1001" s="25">
        <v>790</v>
      </c>
      <c r="F1001" s="25">
        <v>0</v>
      </c>
      <c r="G1001" s="25">
        <v>0</v>
      </c>
      <c r="H1001" s="25">
        <v>0</v>
      </c>
      <c r="I1001" s="25">
        <v>0</v>
      </c>
    </row>
    <row r="1002" spans="1:9" x14ac:dyDescent="0.25">
      <c r="A1002" s="42" t="s">
        <v>1355</v>
      </c>
      <c r="B1002" s="42" t="s">
        <v>34</v>
      </c>
      <c r="C1002" s="24">
        <v>613447</v>
      </c>
      <c r="D1002" s="20">
        <v>41137</v>
      </c>
      <c r="E1002" s="25">
        <v>481</v>
      </c>
      <c r="F1002" s="25">
        <v>0</v>
      </c>
      <c r="G1002" s="25">
        <v>0</v>
      </c>
      <c r="H1002" s="25">
        <v>0</v>
      </c>
      <c r="I1002" s="25">
        <v>0</v>
      </c>
    </row>
    <row r="1003" spans="1:9" x14ac:dyDescent="0.25">
      <c r="A1003" s="42" t="s">
        <v>1355</v>
      </c>
      <c r="B1003" s="42" t="s">
        <v>34</v>
      </c>
      <c r="C1003" s="24">
        <v>613447</v>
      </c>
      <c r="D1003" s="20">
        <v>41143</v>
      </c>
      <c r="E1003" s="25">
        <v>482</v>
      </c>
      <c r="F1003" s="25">
        <v>8</v>
      </c>
      <c r="G1003" s="25">
        <v>1904</v>
      </c>
      <c r="H1003" s="25">
        <v>0</v>
      </c>
      <c r="I1003" s="25">
        <v>76</v>
      </c>
    </row>
    <row r="1004" spans="1:9" x14ac:dyDescent="0.25">
      <c r="A1004" s="42" t="s">
        <v>1356</v>
      </c>
      <c r="B1004" s="42" t="s">
        <v>38</v>
      </c>
      <c r="C1004" s="24">
        <v>610340</v>
      </c>
      <c r="D1004" s="20">
        <v>41138</v>
      </c>
      <c r="E1004" s="25">
        <v>478</v>
      </c>
      <c r="F1004" s="25">
        <v>3</v>
      </c>
      <c r="G1004" s="25">
        <v>443</v>
      </c>
      <c r="H1004" s="25">
        <v>11</v>
      </c>
      <c r="I1004" s="25">
        <v>0</v>
      </c>
    </row>
    <row r="1005" spans="1:9" x14ac:dyDescent="0.25">
      <c r="A1005" s="42" t="s">
        <v>1355</v>
      </c>
      <c r="B1005" s="42" t="s">
        <v>36</v>
      </c>
      <c r="C1005" s="24">
        <v>610832</v>
      </c>
      <c r="D1005" s="20">
        <v>41133</v>
      </c>
      <c r="E1005" s="25">
        <v>466</v>
      </c>
      <c r="F1005" s="25">
        <v>21</v>
      </c>
      <c r="G1005" s="25">
        <v>5937</v>
      </c>
      <c r="H1005" s="25">
        <v>2</v>
      </c>
      <c r="I1005" s="25">
        <v>4</v>
      </c>
    </row>
    <row r="1006" spans="1:9" x14ac:dyDescent="0.25">
      <c r="A1006" s="42" t="s">
        <v>1356</v>
      </c>
      <c r="B1006" s="42" t="s">
        <v>38</v>
      </c>
      <c r="C1006" s="24">
        <v>610340</v>
      </c>
      <c r="D1006" s="20">
        <v>41128</v>
      </c>
      <c r="E1006" s="25">
        <v>790</v>
      </c>
      <c r="F1006" s="25">
        <v>0</v>
      </c>
      <c r="G1006" s="25">
        <v>0</v>
      </c>
      <c r="H1006" s="25">
        <v>0</v>
      </c>
      <c r="I1006" s="25">
        <v>0</v>
      </c>
    </row>
    <row r="1007" spans="1:9" x14ac:dyDescent="0.25">
      <c r="A1007" s="42" t="s">
        <v>1356</v>
      </c>
      <c r="B1007" s="42" t="s">
        <v>38</v>
      </c>
      <c r="C1007" s="24">
        <v>610340</v>
      </c>
      <c r="D1007" s="20">
        <v>41127</v>
      </c>
      <c r="E1007" s="25">
        <v>790</v>
      </c>
      <c r="F1007" s="25">
        <v>0</v>
      </c>
      <c r="G1007" s="25">
        <v>0</v>
      </c>
      <c r="H1007" s="25">
        <v>0</v>
      </c>
      <c r="I1007" s="25">
        <v>0</v>
      </c>
    </row>
    <row r="1008" spans="1:9" x14ac:dyDescent="0.25">
      <c r="A1008" s="42" t="s">
        <v>1356</v>
      </c>
      <c r="B1008" s="42" t="s">
        <v>38</v>
      </c>
      <c r="C1008" s="24">
        <v>610340</v>
      </c>
      <c r="D1008" s="20">
        <v>41137</v>
      </c>
      <c r="E1008" s="25">
        <v>477</v>
      </c>
      <c r="F1008" s="25">
        <v>17</v>
      </c>
      <c r="G1008" s="25">
        <v>4369</v>
      </c>
      <c r="H1008" s="25">
        <v>4</v>
      </c>
      <c r="I1008" s="25">
        <v>0</v>
      </c>
    </row>
    <row r="1009" spans="1:9" x14ac:dyDescent="0.25">
      <c r="A1009" s="42" t="s">
        <v>1355</v>
      </c>
      <c r="B1009" s="42" t="s">
        <v>35</v>
      </c>
      <c r="C1009" s="24">
        <v>611419</v>
      </c>
      <c r="D1009" s="20">
        <v>41134</v>
      </c>
      <c r="E1009" s="25">
        <v>478</v>
      </c>
      <c r="F1009" s="25">
        <v>14</v>
      </c>
      <c r="G1009" s="25">
        <v>2579</v>
      </c>
      <c r="H1009" s="25">
        <v>9</v>
      </c>
      <c r="I1009" s="25">
        <v>94</v>
      </c>
    </row>
    <row r="1010" spans="1:9" x14ac:dyDescent="0.25">
      <c r="A1010" s="42" t="s">
        <v>1356</v>
      </c>
      <c r="B1010" s="43" t="s">
        <v>39</v>
      </c>
      <c r="C1010" s="24">
        <v>611704</v>
      </c>
      <c r="D1010" s="20">
        <v>41148</v>
      </c>
      <c r="E1010" s="25">
        <v>482</v>
      </c>
      <c r="F1010" s="25">
        <v>8</v>
      </c>
      <c r="G1010" s="25">
        <v>2899</v>
      </c>
      <c r="H1010" s="25">
        <v>0</v>
      </c>
      <c r="I1010" s="25">
        <v>0</v>
      </c>
    </row>
    <row r="1011" spans="1:9" x14ac:dyDescent="0.25">
      <c r="A1011" s="42" t="s">
        <v>1355</v>
      </c>
      <c r="B1011" s="42" t="s">
        <v>34</v>
      </c>
      <c r="C1011" s="24">
        <v>613447</v>
      </c>
      <c r="D1011" s="20">
        <v>41127</v>
      </c>
      <c r="E1011" s="25">
        <v>85</v>
      </c>
      <c r="F1011" s="25">
        <v>0</v>
      </c>
      <c r="G1011" s="25">
        <v>0</v>
      </c>
      <c r="H1011" s="25">
        <v>0</v>
      </c>
      <c r="I1011" s="25">
        <v>0</v>
      </c>
    </row>
    <row r="1012" spans="1:9" x14ac:dyDescent="0.25">
      <c r="A1012" s="42" t="s">
        <v>1355</v>
      </c>
      <c r="B1012" s="42" t="s">
        <v>35</v>
      </c>
      <c r="C1012" s="24">
        <v>611419</v>
      </c>
      <c r="D1012" s="20">
        <v>41126</v>
      </c>
      <c r="E1012" s="25">
        <v>790</v>
      </c>
      <c r="F1012" s="25">
        <v>0</v>
      </c>
      <c r="G1012" s="25">
        <v>0</v>
      </c>
      <c r="H1012" s="25">
        <v>0</v>
      </c>
      <c r="I1012" s="25">
        <v>0</v>
      </c>
    </row>
    <row r="1013" spans="1:9" x14ac:dyDescent="0.25">
      <c r="A1013" s="42" t="s">
        <v>1356</v>
      </c>
      <c r="B1013" s="42" t="s">
        <v>37</v>
      </c>
      <c r="C1013" s="24">
        <v>610208</v>
      </c>
      <c r="D1013" s="20">
        <v>41150</v>
      </c>
      <c r="E1013" s="25">
        <v>474</v>
      </c>
      <c r="F1013" s="25">
        <v>8</v>
      </c>
      <c r="G1013" s="25">
        <v>1863</v>
      </c>
      <c r="H1013" s="25">
        <v>0</v>
      </c>
      <c r="I1013" s="25">
        <v>0</v>
      </c>
    </row>
    <row r="1014" spans="1:9" x14ac:dyDescent="0.25">
      <c r="A1014" s="42" t="s">
        <v>1355</v>
      </c>
      <c r="B1014" s="42" t="s">
        <v>36</v>
      </c>
      <c r="C1014" s="24">
        <v>610832</v>
      </c>
      <c r="D1014" s="20">
        <v>41152</v>
      </c>
      <c r="E1014" s="25">
        <v>478</v>
      </c>
      <c r="F1014" s="25">
        <v>31</v>
      </c>
      <c r="G1014" s="25">
        <v>8414</v>
      </c>
      <c r="H1014" s="25">
        <v>4</v>
      </c>
      <c r="I1014" s="25">
        <v>154</v>
      </c>
    </row>
    <row r="1015" spans="1:9" x14ac:dyDescent="0.25">
      <c r="A1015" s="42" t="s">
        <v>1356</v>
      </c>
      <c r="B1015" s="42" t="s">
        <v>38</v>
      </c>
      <c r="C1015" s="24">
        <v>610340</v>
      </c>
      <c r="D1015" s="20">
        <v>41147</v>
      </c>
      <c r="E1015" s="25">
        <v>85</v>
      </c>
      <c r="F1015" s="25">
        <v>0</v>
      </c>
      <c r="G1015" s="25">
        <v>0</v>
      </c>
      <c r="H1015" s="25">
        <v>0</v>
      </c>
      <c r="I1015" s="25">
        <v>0</v>
      </c>
    </row>
    <row r="1016" spans="1:9" x14ac:dyDescent="0.25">
      <c r="A1016" s="42" t="s">
        <v>1356</v>
      </c>
      <c r="B1016" s="42" t="s">
        <v>38</v>
      </c>
      <c r="C1016" s="24">
        <v>610340</v>
      </c>
      <c r="D1016" s="20">
        <v>41147</v>
      </c>
      <c r="E1016" s="25">
        <v>467</v>
      </c>
      <c r="F1016" s="25">
        <v>0</v>
      </c>
      <c r="G1016" s="25">
        <v>0</v>
      </c>
      <c r="H1016" s="25">
        <v>0</v>
      </c>
      <c r="I1016" s="25">
        <v>0</v>
      </c>
    </row>
    <row r="1017" spans="1:9" x14ac:dyDescent="0.25">
      <c r="A1017" s="42" t="s">
        <v>1355</v>
      </c>
      <c r="B1017" s="42" t="s">
        <v>36</v>
      </c>
      <c r="C1017" s="24">
        <v>610832</v>
      </c>
      <c r="D1017" s="20">
        <v>41150</v>
      </c>
      <c r="E1017" s="25">
        <v>466</v>
      </c>
      <c r="F1017" s="25">
        <v>5</v>
      </c>
      <c r="G1017" s="25">
        <v>715</v>
      </c>
      <c r="H1017" s="25">
        <v>0</v>
      </c>
      <c r="I1017" s="25">
        <v>37</v>
      </c>
    </row>
    <row r="1018" spans="1:9" x14ac:dyDescent="0.25">
      <c r="A1018" s="42" t="s">
        <v>1355</v>
      </c>
      <c r="B1018" s="42" t="s">
        <v>34</v>
      </c>
      <c r="C1018" s="24">
        <v>613447</v>
      </c>
      <c r="D1018" s="20">
        <v>41134</v>
      </c>
      <c r="E1018" s="25">
        <v>478</v>
      </c>
      <c r="F1018" s="25">
        <v>15</v>
      </c>
      <c r="G1018" s="25">
        <v>4255</v>
      </c>
      <c r="H1018" s="25">
        <v>0</v>
      </c>
      <c r="I1018" s="25">
        <v>32</v>
      </c>
    </row>
    <row r="1019" spans="1:9" x14ac:dyDescent="0.25">
      <c r="A1019" s="42" t="s">
        <v>1356</v>
      </c>
      <c r="B1019" s="42" t="s">
        <v>37</v>
      </c>
      <c r="C1019" s="24">
        <v>610208</v>
      </c>
      <c r="D1019" s="20">
        <v>41141</v>
      </c>
      <c r="E1019" s="25">
        <v>482</v>
      </c>
      <c r="F1019" s="25">
        <v>10</v>
      </c>
      <c r="G1019" s="25">
        <v>3160</v>
      </c>
      <c r="H1019" s="25">
        <v>0</v>
      </c>
      <c r="I1019" s="25">
        <v>0</v>
      </c>
    </row>
    <row r="1020" spans="1:9" x14ac:dyDescent="0.25">
      <c r="A1020" s="42" t="s">
        <v>1355</v>
      </c>
      <c r="B1020" s="42" t="s">
        <v>35</v>
      </c>
      <c r="C1020" s="24">
        <v>611419</v>
      </c>
      <c r="D1020" s="20">
        <v>41140</v>
      </c>
      <c r="E1020" s="25">
        <v>467</v>
      </c>
      <c r="F1020" s="25">
        <v>0</v>
      </c>
      <c r="G1020" s="25">
        <v>0</v>
      </c>
      <c r="H1020" s="25">
        <v>0</v>
      </c>
      <c r="I1020" s="25">
        <v>0</v>
      </c>
    </row>
    <row r="1021" spans="1:9" x14ac:dyDescent="0.25">
      <c r="A1021" s="42" t="s">
        <v>1356</v>
      </c>
      <c r="B1021" s="42" t="s">
        <v>37</v>
      </c>
      <c r="C1021" s="24">
        <v>610208</v>
      </c>
      <c r="D1021" s="20">
        <v>41123</v>
      </c>
      <c r="E1021" s="25">
        <v>790</v>
      </c>
      <c r="F1021" s="25">
        <v>0</v>
      </c>
      <c r="G1021" s="25">
        <v>0</v>
      </c>
      <c r="H1021" s="25">
        <v>0</v>
      </c>
      <c r="I1021" s="25">
        <v>0</v>
      </c>
    </row>
    <row r="1022" spans="1:9" x14ac:dyDescent="0.25">
      <c r="A1022" s="42" t="s">
        <v>1355</v>
      </c>
      <c r="B1022" s="42" t="s">
        <v>36</v>
      </c>
      <c r="C1022" s="24">
        <v>610832</v>
      </c>
      <c r="D1022" s="20">
        <v>41142</v>
      </c>
      <c r="E1022" s="25">
        <v>480</v>
      </c>
      <c r="F1022" s="25">
        <v>1</v>
      </c>
      <c r="G1022" s="25">
        <v>299</v>
      </c>
      <c r="H1022" s="25">
        <v>0</v>
      </c>
      <c r="I1022" s="25">
        <v>0</v>
      </c>
    </row>
    <row r="1023" spans="1:9" x14ac:dyDescent="0.25">
      <c r="A1023" s="42" t="s">
        <v>1355</v>
      </c>
      <c r="B1023" s="42" t="s">
        <v>34</v>
      </c>
      <c r="C1023" s="24">
        <v>613447</v>
      </c>
      <c r="D1023" s="20">
        <v>41130</v>
      </c>
      <c r="E1023" s="25">
        <v>481</v>
      </c>
      <c r="F1023" s="25">
        <v>2</v>
      </c>
      <c r="G1023" s="25">
        <v>920</v>
      </c>
      <c r="H1023" s="25">
        <v>0</v>
      </c>
      <c r="I1023" s="25">
        <v>0</v>
      </c>
    </row>
    <row r="1024" spans="1:9" x14ac:dyDescent="0.25">
      <c r="A1024" s="42" t="s">
        <v>1356</v>
      </c>
      <c r="B1024" s="42" t="s">
        <v>37</v>
      </c>
      <c r="C1024" s="24">
        <v>610208</v>
      </c>
      <c r="D1024" s="20">
        <v>41130</v>
      </c>
      <c r="E1024" s="25">
        <v>790</v>
      </c>
      <c r="F1024" s="25">
        <v>0</v>
      </c>
      <c r="G1024" s="25">
        <v>0</v>
      </c>
      <c r="H1024" s="25">
        <v>0</v>
      </c>
      <c r="I1024" s="25">
        <v>0</v>
      </c>
    </row>
    <row r="1025" spans="1:9" x14ac:dyDescent="0.25">
      <c r="A1025" s="42" t="s">
        <v>1355</v>
      </c>
      <c r="B1025" s="42" t="s">
        <v>34</v>
      </c>
      <c r="C1025" s="24">
        <v>613447</v>
      </c>
      <c r="D1025" s="20">
        <v>41150</v>
      </c>
      <c r="E1025" s="25">
        <v>465</v>
      </c>
      <c r="F1025" s="25">
        <v>0</v>
      </c>
      <c r="G1025" s="25">
        <v>0</v>
      </c>
      <c r="H1025" s="25">
        <v>0</v>
      </c>
      <c r="I1025" s="25">
        <v>0</v>
      </c>
    </row>
    <row r="1026" spans="1:9" x14ac:dyDescent="0.25">
      <c r="A1026" s="42" t="s">
        <v>1356</v>
      </c>
      <c r="B1026" s="43" t="s">
        <v>39</v>
      </c>
      <c r="C1026" s="24">
        <v>611704</v>
      </c>
      <c r="D1026" s="20">
        <v>41131</v>
      </c>
      <c r="E1026" s="25">
        <v>790</v>
      </c>
      <c r="F1026" s="25">
        <v>0</v>
      </c>
      <c r="G1026" s="25">
        <v>0</v>
      </c>
      <c r="H1026" s="25">
        <v>0</v>
      </c>
      <c r="I1026" s="25">
        <v>0</v>
      </c>
    </row>
    <row r="1027" spans="1:9" x14ac:dyDescent="0.25">
      <c r="A1027" s="42" t="s">
        <v>1356</v>
      </c>
      <c r="B1027" s="43" t="s">
        <v>39</v>
      </c>
      <c r="C1027" s="24">
        <v>611704</v>
      </c>
      <c r="D1027" s="20">
        <v>41130</v>
      </c>
      <c r="E1027" s="25">
        <v>85</v>
      </c>
      <c r="F1027" s="25">
        <v>0</v>
      </c>
      <c r="G1027" s="25">
        <v>0</v>
      </c>
      <c r="H1027" s="25">
        <v>0</v>
      </c>
      <c r="I1027" s="25">
        <v>0</v>
      </c>
    </row>
    <row r="1028" spans="1:9" x14ac:dyDescent="0.25">
      <c r="A1028" s="42" t="s">
        <v>1356</v>
      </c>
      <c r="B1028" s="42" t="s">
        <v>38</v>
      </c>
      <c r="C1028" s="24">
        <v>610340</v>
      </c>
      <c r="D1028" s="20">
        <v>41148</v>
      </c>
      <c r="E1028" s="25">
        <v>790</v>
      </c>
      <c r="F1028" s="25">
        <v>0</v>
      </c>
      <c r="G1028" s="25">
        <v>0</v>
      </c>
      <c r="H1028" s="25">
        <v>0</v>
      </c>
      <c r="I1028" s="25">
        <v>0</v>
      </c>
    </row>
    <row r="1029" spans="1:9" x14ac:dyDescent="0.25">
      <c r="A1029" s="42" t="s">
        <v>1355</v>
      </c>
      <c r="B1029" s="42" t="s">
        <v>36</v>
      </c>
      <c r="C1029" s="24">
        <v>610832</v>
      </c>
      <c r="D1029" s="20">
        <v>41124</v>
      </c>
      <c r="E1029" s="25">
        <v>85</v>
      </c>
      <c r="F1029" s="25">
        <v>0</v>
      </c>
      <c r="G1029" s="25">
        <v>0</v>
      </c>
      <c r="H1029" s="25">
        <v>0</v>
      </c>
      <c r="I1029" s="25">
        <v>0</v>
      </c>
    </row>
    <row r="1030" spans="1:9" x14ac:dyDescent="0.25">
      <c r="A1030" s="42" t="s">
        <v>1356</v>
      </c>
      <c r="B1030" s="43" t="s">
        <v>39</v>
      </c>
      <c r="C1030" s="24">
        <v>611704</v>
      </c>
      <c r="D1030" s="20">
        <v>41148</v>
      </c>
      <c r="E1030" s="25">
        <v>481</v>
      </c>
      <c r="F1030" s="25">
        <v>0</v>
      </c>
      <c r="G1030" s="25">
        <v>0</v>
      </c>
      <c r="H1030" s="25">
        <v>0</v>
      </c>
      <c r="I1030" s="25">
        <v>0</v>
      </c>
    </row>
    <row r="1031" spans="1:9" x14ac:dyDescent="0.25">
      <c r="A1031" s="42" t="s">
        <v>1355</v>
      </c>
      <c r="B1031" s="42" t="s">
        <v>35</v>
      </c>
      <c r="C1031" s="24">
        <v>611419</v>
      </c>
      <c r="D1031" s="20">
        <v>41149</v>
      </c>
      <c r="E1031" s="25">
        <v>477</v>
      </c>
      <c r="F1031" s="25">
        <v>11</v>
      </c>
      <c r="G1031" s="25">
        <v>2110</v>
      </c>
      <c r="H1031" s="25">
        <v>11</v>
      </c>
      <c r="I1031" s="25">
        <v>52</v>
      </c>
    </row>
    <row r="1032" spans="1:9" x14ac:dyDescent="0.25">
      <c r="A1032" s="42" t="s">
        <v>1355</v>
      </c>
      <c r="B1032" s="42" t="s">
        <v>36</v>
      </c>
      <c r="C1032" s="24">
        <v>610832</v>
      </c>
      <c r="D1032" s="20">
        <v>41149</v>
      </c>
      <c r="E1032" s="25">
        <v>480</v>
      </c>
      <c r="F1032" s="25">
        <v>6</v>
      </c>
      <c r="G1032" s="25">
        <v>1681</v>
      </c>
      <c r="H1032" s="25">
        <v>0</v>
      </c>
      <c r="I1032" s="25">
        <v>3</v>
      </c>
    </row>
    <row r="1033" spans="1:9" x14ac:dyDescent="0.25">
      <c r="A1033" s="42" t="s">
        <v>1355</v>
      </c>
      <c r="B1033" s="42" t="s">
        <v>35</v>
      </c>
      <c r="C1033" s="24">
        <v>611419</v>
      </c>
      <c r="D1033" s="20">
        <v>41150</v>
      </c>
      <c r="E1033" s="25">
        <v>790</v>
      </c>
      <c r="F1033" s="25">
        <v>0</v>
      </c>
      <c r="G1033" s="25">
        <v>0</v>
      </c>
      <c r="H1033" s="25">
        <v>0</v>
      </c>
      <c r="I1033" s="25">
        <v>0</v>
      </c>
    </row>
    <row r="1034" spans="1:9" x14ac:dyDescent="0.25">
      <c r="A1034" s="42" t="s">
        <v>1356</v>
      </c>
      <c r="B1034" s="43" t="s">
        <v>39</v>
      </c>
      <c r="C1034" s="24">
        <v>611704</v>
      </c>
      <c r="D1034" s="20">
        <v>41124</v>
      </c>
      <c r="E1034" s="25">
        <v>85</v>
      </c>
      <c r="F1034" s="25">
        <v>0</v>
      </c>
      <c r="G1034" s="25">
        <v>0</v>
      </c>
      <c r="H1034" s="25">
        <v>0</v>
      </c>
      <c r="I1034" s="25">
        <v>0</v>
      </c>
    </row>
    <row r="1035" spans="1:9" x14ac:dyDescent="0.25">
      <c r="A1035" s="42" t="s">
        <v>1356</v>
      </c>
      <c r="B1035" s="42" t="s">
        <v>37</v>
      </c>
      <c r="C1035" s="24">
        <v>610208</v>
      </c>
      <c r="D1035" s="20">
        <v>41135</v>
      </c>
      <c r="E1035" s="25">
        <v>790</v>
      </c>
      <c r="F1035" s="25">
        <v>0</v>
      </c>
      <c r="G1035" s="25">
        <v>0</v>
      </c>
      <c r="H1035" s="25">
        <v>0</v>
      </c>
      <c r="I1035" s="25">
        <v>0</v>
      </c>
    </row>
    <row r="1036" spans="1:9" x14ac:dyDescent="0.25">
      <c r="A1036" s="42" t="s">
        <v>1355</v>
      </c>
      <c r="B1036" s="42" t="s">
        <v>35</v>
      </c>
      <c r="C1036" s="24">
        <v>611419</v>
      </c>
      <c r="D1036" s="20">
        <v>41131</v>
      </c>
      <c r="E1036" s="25">
        <v>790</v>
      </c>
      <c r="F1036" s="25">
        <v>0</v>
      </c>
      <c r="G1036" s="25">
        <v>0</v>
      </c>
      <c r="H1036" s="25">
        <v>0</v>
      </c>
      <c r="I1036" s="25">
        <v>0</v>
      </c>
    </row>
    <row r="1037" spans="1:9" x14ac:dyDescent="0.25">
      <c r="A1037" s="42" t="s">
        <v>1356</v>
      </c>
      <c r="B1037" s="43" t="s">
        <v>39</v>
      </c>
      <c r="C1037" s="24">
        <v>611704</v>
      </c>
      <c r="D1037" s="20">
        <v>41123</v>
      </c>
      <c r="E1037" s="25">
        <v>478</v>
      </c>
      <c r="F1037" s="25">
        <v>19</v>
      </c>
      <c r="G1037" s="25">
        <v>5329</v>
      </c>
      <c r="H1037" s="25">
        <v>0</v>
      </c>
      <c r="I1037" s="25">
        <v>0</v>
      </c>
    </row>
    <row r="1038" spans="1:9" x14ac:dyDescent="0.25">
      <c r="A1038" s="42" t="s">
        <v>1355</v>
      </c>
      <c r="B1038" s="42" t="s">
        <v>34</v>
      </c>
      <c r="C1038" s="24">
        <v>613447</v>
      </c>
      <c r="D1038" s="20">
        <v>41141</v>
      </c>
      <c r="E1038" s="25">
        <v>85</v>
      </c>
      <c r="F1038" s="25">
        <v>0</v>
      </c>
      <c r="G1038" s="25">
        <v>0</v>
      </c>
      <c r="H1038" s="25">
        <v>0</v>
      </c>
      <c r="I1038" s="25">
        <v>0</v>
      </c>
    </row>
    <row r="1039" spans="1:9" x14ac:dyDescent="0.25">
      <c r="A1039" s="42" t="s">
        <v>1355</v>
      </c>
      <c r="B1039" s="42" t="s">
        <v>36</v>
      </c>
      <c r="C1039" s="24">
        <v>610832</v>
      </c>
      <c r="D1039" s="20">
        <v>41149</v>
      </c>
      <c r="E1039" s="25">
        <v>465</v>
      </c>
      <c r="F1039" s="25">
        <v>1</v>
      </c>
      <c r="G1039" s="25">
        <v>821</v>
      </c>
      <c r="H1039" s="25">
        <v>0</v>
      </c>
      <c r="I1039" s="25">
        <v>0</v>
      </c>
    </row>
    <row r="1040" spans="1:9" x14ac:dyDescent="0.25">
      <c r="A1040" s="42" t="s">
        <v>1355</v>
      </c>
      <c r="B1040" s="42" t="s">
        <v>35</v>
      </c>
      <c r="C1040" s="24">
        <v>611419</v>
      </c>
      <c r="D1040" s="20">
        <v>41131</v>
      </c>
      <c r="E1040" s="25">
        <v>465</v>
      </c>
      <c r="F1040" s="25">
        <v>0</v>
      </c>
      <c r="G1040" s="25">
        <v>0</v>
      </c>
      <c r="H1040" s="25">
        <v>0</v>
      </c>
      <c r="I1040" s="25">
        <v>0</v>
      </c>
    </row>
    <row r="1041" spans="1:9" x14ac:dyDescent="0.25">
      <c r="A1041" s="42" t="s">
        <v>1356</v>
      </c>
      <c r="B1041" s="42" t="s">
        <v>38</v>
      </c>
      <c r="C1041" s="24">
        <v>610340</v>
      </c>
      <c r="D1041" s="20">
        <v>41142</v>
      </c>
      <c r="E1041" s="25">
        <v>478</v>
      </c>
      <c r="F1041" s="25">
        <v>1</v>
      </c>
      <c r="G1041" s="25">
        <v>276</v>
      </c>
      <c r="H1041" s="25">
        <v>0</v>
      </c>
      <c r="I1041" s="25">
        <v>0</v>
      </c>
    </row>
    <row r="1042" spans="1:9" x14ac:dyDescent="0.25">
      <c r="A1042" s="42" t="s">
        <v>1355</v>
      </c>
      <c r="B1042" s="42" t="s">
        <v>36</v>
      </c>
      <c r="C1042" s="24">
        <v>610832</v>
      </c>
      <c r="D1042" s="20">
        <v>41125</v>
      </c>
      <c r="E1042" s="25">
        <v>478</v>
      </c>
      <c r="F1042" s="25">
        <v>10</v>
      </c>
      <c r="G1042" s="25">
        <v>3020</v>
      </c>
      <c r="H1042" s="25">
        <v>0</v>
      </c>
      <c r="I1042" s="25">
        <v>0</v>
      </c>
    </row>
    <row r="1043" spans="1:9" x14ac:dyDescent="0.25">
      <c r="A1043" s="42" t="s">
        <v>1355</v>
      </c>
      <c r="B1043" s="42" t="s">
        <v>35</v>
      </c>
      <c r="C1043" s="24">
        <v>611419</v>
      </c>
      <c r="D1043" s="20">
        <v>41132</v>
      </c>
      <c r="E1043" s="25">
        <v>790</v>
      </c>
      <c r="F1043" s="25">
        <v>0</v>
      </c>
      <c r="G1043" s="25">
        <v>0</v>
      </c>
      <c r="H1043" s="25">
        <v>0</v>
      </c>
      <c r="I1043" s="25">
        <v>0</v>
      </c>
    </row>
    <row r="1044" spans="1:9" x14ac:dyDescent="0.25">
      <c r="A1044" s="42" t="s">
        <v>1355</v>
      </c>
      <c r="B1044" s="42" t="s">
        <v>36</v>
      </c>
      <c r="C1044" s="24">
        <v>610832</v>
      </c>
      <c r="D1044" s="20">
        <v>41139</v>
      </c>
      <c r="E1044" s="25">
        <v>790</v>
      </c>
      <c r="F1044" s="25">
        <v>0</v>
      </c>
      <c r="G1044" s="25">
        <v>0</v>
      </c>
      <c r="H1044" s="25">
        <v>0</v>
      </c>
      <c r="I1044" s="25">
        <v>0</v>
      </c>
    </row>
    <row r="1045" spans="1:9" x14ac:dyDescent="0.25">
      <c r="A1045" s="42" t="s">
        <v>1355</v>
      </c>
      <c r="B1045" s="42" t="s">
        <v>34</v>
      </c>
      <c r="C1045" s="24">
        <v>613447</v>
      </c>
      <c r="D1045" s="20">
        <v>41136</v>
      </c>
      <c r="E1045" s="25">
        <v>467</v>
      </c>
      <c r="F1045" s="25">
        <v>0</v>
      </c>
      <c r="G1045" s="25">
        <v>0</v>
      </c>
      <c r="H1045" s="25">
        <v>0</v>
      </c>
      <c r="I1045" s="25">
        <v>0</v>
      </c>
    </row>
    <row r="1046" spans="1:9" x14ac:dyDescent="0.25">
      <c r="A1046" s="42" t="s">
        <v>1355</v>
      </c>
      <c r="B1046" s="42" t="s">
        <v>36</v>
      </c>
      <c r="C1046" s="24">
        <v>610832</v>
      </c>
      <c r="D1046" s="20">
        <v>41135</v>
      </c>
      <c r="E1046" s="25">
        <v>466</v>
      </c>
      <c r="F1046" s="25">
        <v>2</v>
      </c>
      <c r="G1046" s="25">
        <v>242</v>
      </c>
      <c r="H1046" s="25">
        <v>0</v>
      </c>
      <c r="I1046" s="25">
        <v>0</v>
      </c>
    </row>
    <row r="1047" spans="1:9" x14ac:dyDescent="0.25">
      <c r="A1047" s="42" t="s">
        <v>1355</v>
      </c>
      <c r="B1047" s="42" t="s">
        <v>35</v>
      </c>
      <c r="C1047" s="24">
        <v>611419</v>
      </c>
      <c r="D1047" s="20">
        <v>41140</v>
      </c>
      <c r="E1047" s="25">
        <v>478</v>
      </c>
      <c r="F1047" s="25">
        <v>5</v>
      </c>
      <c r="G1047" s="25">
        <v>1396</v>
      </c>
      <c r="H1047" s="25">
        <v>9</v>
      </c>
      <c r="I1047" s="25">
        <v>0</v>
      </c>
    </row>
    <row r="1048" spans="1:9" x14ac:dyDescent="0.25">
      <c r="A1048" s="42" t="s">
        <v>1355</v>
      </c>
      <c r="B1048" s="42" t="s">
        <v>35</v>
      </c>
      <c r="C1048" s="24">
        <v>611419</v>
      </c>
      <c r="D1048" s="20">
        <v>41143</v>
      </c>
      <c r="E1048" s="25">
        <v>85</v>
      </c>
      <c r="F1048" s="25">
        <v>0</v>
      </c>
      <c r="G1048" s="25">
        <v>0</v>
      </c>
      <c r="H1048" s="25">
        <v>0</v>
      </c>
      <c r="I1048" s="25">
        <v>0</v>
      </c>
    </row>
    <row r="1049" spans="1:9" x14ac:dyDescent="0.25">
      <c r="A1049" s="42" t="s">
        <v>1355</v>
      </c>
      <c r="B1049" s="42" t="s">
        <v>34</v>
      </c>
      <c r="C1049" s="24">
        <v>613447</v>
      </c>
      <c r="D1049" s="20">
        <v>41151</v>
      </c>
      <c r="E1049" s="25">
        <v>477</v>
      </c>
      <c r="F1049" s="25">
        <v>10</v>
      </c>
      <c r="G1049" s="25">
        <v>3305</v>
      </c>
      <c r="H1049" s="25">
        <v>0</v>
      </c>
      <c r="I1049" s="25">
        <v>78</v>
      </c>
    </row>
    <row r="1050" spans="1:9" x14ac:dyDescent="0.25">
      <c r="A1050" s="42" t="s">
        <v>1355</v>
      </c>
      <c r="B1050" s="42" t="s">
        <v>35</v>
      </c>
      <c r="C1050" s="24">
        <v>611419</v>
      </c>
      <c r="D1050" s="20">
        <v>41144</v>
      </c>
      <c r="E1050" s="25">
        <v>466</v>
      </c>
      <c r="F1050" s="25">
        <v>20</v>
      </c>
      <c r="G1050" s="25">
        <v>6035</v>
      </c>
      <c r="H1050" s="25">
        <v>4</v>
      </c>
      <c r="I1050" s="25">
        <v>610</v>
      </c>
    </row>
    <row r="1051" spans="1:9" x14ac:dyDescent="0.25">
      <c r="A1051" s="42" t="s">
        <v>1356</v>
      </c>
      <c r="B1051" s="42" t="s">
        <v>37</v>
      </c>
      <c r="C1051" s="24">
        <v>610208</v>
      </c>
      <c r="D1051" s="20">
        <v>41137</v>
      </c>
      <c r="E1051" s="25">
        <v>465</v>
      </c>
      <c r="F1051" s="25">
        <v>0</v>
      </c>
      <c r="G1051" s="25">
        <v>0</v>
      </c>
      <c r="H1051" s="25">
        <v>0</v>
      </c>
      <c r="I1051" s="25">
        <v>0</v>
      </c>
    </row>
    <row r="1052" spans="1:9" x14ac:dyDescent="0.25">
      <c r="A1052" s="42" t="s">
        <v>1355</v>
      </c>
      <c r="B1052" s="42" t="s">
        <v>34</v>
      </c>
      <c r="C1052" s="24">
        <v>613447</v>
      </c>
      <c r="D1052" s="20">
        <v>41140</v>
      </c>
      <c r="E1052" s="25">
        <v>481</v>
      </c>
      <c r="F1052" s="25">
        <v>0</v>
      </c>
      <c r="G1052" s="25">
        <v>0</v>
      </c>
      <c r="H1052" s="25">
        <v>0</v>
      </c>
      <c r="I1052" s="25">
        <v>0</v>
      </c>
    </row>
    <row r="1053" spans="1:9" x14ac:dyDescent="0.25">
      <c r="A1053" s="42" t="s">
        <v>1356</v>
      </c>
      <c r="B1053" s="43" t="s">
        <v>39</v>
      </c>
      <c r="C1053" s="24">
        <v>611704</v>
      </c>
      <c r="D1053" s="20">
        <v>41127</v>
      </c>
      <c r="E1053" s="25">
        <v>477</v>
      </c>
      <c r="F1053" s="25">
        <v>51</v>
      </c>
      <c r="G1053" s="25">
        <v>14552</v>
      </c>
      <c r="H1053" s="25">
        <v>172</v>
      </c>
      <c r="I1053" s="25">
        <v>5</v>
      </c>
    </row>
    <row r="1054" spans="1:9" x14ac:dyDescent="0.25">
      <c r="A1054" s="42" t="s">
        <v>1356</v>
      </c>
      <c r="B1054" s="42" t="s">
        <v>38</v>
      </c>
      <c r="C1054" s="24">
        <v>610340</v>
      </c>
      <c r="D1054" s="20">
        <v>41149</v>
      </c>
      <c r="E1054" s="25">
        <v>482</v>
      </c>
      <c r="F1054" s="25">
        <v>16</v>
      </c>
      <c r="G1054" s="25">
        <v>2821</v>
      </c>
      <c r="H1054" s="25">
        <v>2</v>
      </c>
      <c r="I1054" s="25">
        <v>0</v>
      </c>
    </row>
    <row r="1055" spans="1:9" x14ac:dyDescent="0.25">
      <c r="A1055" s="42" t="s">
        <v>1356</v>
      </c>
      <c r="B1055" s="42" t="s">
        <v>38</v>
      </c>
      <c r="C1055" s="24">
        <v>610340</v>
      </c>
      <c r="D1055" s="20">
        <v>41130</v>
      </c>
      <c r="E1055" s="25">
        <v>478</v>
      </c>
      <c r="F1055" s="25">
        <v>12</v>
      </c>
      <c r="G1055" s="25">
        <v>3280</v>
      </c>
      <c r="H1055" s="25">
        <v>0</v>
      </c>
      <c r="I1055" s="25">
        <v>0</v>
      </c>
    </row>
    <row r="1056" spans="1:9" x14ac:dyDescent="0.25">
      <c r="A1056" s="42" t="s">
        <v>1355</v>
      </c>
      <c r="B1056" s="42" t="s">
        <v>35</v>
      </c>
      <c r="C1056" s="24">
        <v>611419</v>
      </c>
      <c r="D1056" s="20">
        <v>41140</v>
      </c>
      <c r="E1056" s="25">
        <v>790</v>
      </c>
      <c r="F1056" s="25">
        <v>0</v>
      </c>
      <c r="G1056" s="25">
        <v>0</v>
      </c>
      <c r="H1056" s="25">
        <v>0</v>
      </c>
      <c r="I1056" s="25">
        <v>0</v>
      </c>
    </row>
    <row r="1057" spans="1:9" x14ac:dyDescent="0.25">
      <c r="A1057" s="42" t="s">
        <v>1355</v>
      </c>
      <c r="B1057" s="42" t="s">
        <v>35</v>
      </c>
      <c r="C1057" s="24">
        <v>611419</v>
      </c>
      <c r="D1057" s="20">
        <v>41128</v>
      </c>
      <c r="E1057" s="25">
        <v>477</v>
      </c>
      <c r="F1057" s="25">
        <v>53</v>
      </c>
      <c r="G1057" s="25">
        <v>14813</v>
      </c>
      <c r="H1057" s="25">
        <v>29</v>
      </c>
      <c r="I1057" s="25">
        <v>339</v>
      </c>
    </row>
    <row r="1058" spans="1:9" x14ac:dyDescent="0.25">
      <c r="A1058" s="42" t="s">
        <v>1356</v>
      </c>
      <c r="B1058" s="42" t="s">
        <v>37</v>
      </c>
      <c r="C1058" s="24">
        <v>610208</v>
      </c>
      <c r="D1058" s="20">
        <v>41139</v>
      </c>
      <c r="E1058" s="25">
        <v>467</v>
      </c>
      <c r="F1058" s="25">
        <v>0</v>
      </c>
      <c r="G1058" s="25">
        <v>0</v>
      </c>
      <c r="H1058" s="25">
        <v>0</v>
      </c>
      <c r="I1058" s="25">
        <v>0</v>
      </c>
    </row>
    <row r="1059" spans="1:9" x14ac:dyDescent="0.25">
      <c r="A1059" s="42" t="s">
        <v>1355</v>
      </c>
      <c r="B1059" s="42" t="s">
        <v>35</v>
      </c>
      <c r="C1059" s="24">
        <v>611419</v>
      </c>
      <c r="D1059" s="20">
        <v>41150</v>
      </c>
      <c r="E1059" s="25">
        <v>478</v>
      </c>
      <c r="F1059" s="25">
        <v>3</v>
      </c>
      <c r="G1059" s="25">
        <v>859</v>
      </c>
      <c r="H1059" s="25">
        <v>0</v>
      </c>
      <c r="I1059" s="25">
        <v>210</v>
      </c>
    </row>
    <row r="1060" spans="1:9" x14ac:dyDescent="0.25">
      <c r="A1060" s="42" t="s">
        <v>1355</v>
      </c>
      <c r="B1060" s="42" t="s">
        <v>36</v>
      </c>
      <c r="C1060" s="24">
        <v>610832</v>
      </c>
      <c r="D1060" s="20">
        <v>41146</v>
      </c>
      <c r="E1060" s="25">
        <v>466</v>
      </c>
      <c r="F1060" s="25">
        <v>4</v>
      </c>
      <c r="G1060" s="25">
        <v>908</v>
      </c>
      <c r="H1060" s="25">
        <v>0</v>
      </c>
      <c r="I1060" s="25">
        <v>0</v>
      </c>
    </row>
    <row r="1061" spans="1:9" x14ac:dyDescent="0.25">
      <c r="A1061" s="42" t="s">
        <v>1355</v>
      </c>
      <c r="B1061" s="42" t="s">
        <v>34</v>
      </c>
      <c r="C1061" s="24">
        <v>613447</v>
      </c>
      <c r="D1061" s="20">
        <v>41129</v>
      </c>
      <c r="E1061" s="25">
        <v>790</v>
      </c>
      <c r="F1061" s="25">
        <v>0</v>
      </c>
      <c r="G1061" s="25">
        <v>0</v>
      </c>
      <c r="H1061" s="25">
        <v>0</v>
      </c>
      <c r="I1061" s="25">
        <v>0</v>
      </c>
    </row>
    <row r="1062" spans="1:9" x14ac:dyDescent="0.25">
      <c r="A1062" s="42" t="s">
        <v>1355</v>
      </c>
      <c r="B1062" s="42" t="s">
        <v>34</v>
      </c>
      <c r="C1062" s="24">
        <v>613447</v>
      </c>
      <c r="D1062" s="20">
        <v>41141</v>
      </c>
      <c r="E1062" s="25">
        <v>467</v>
      </c>
      <c r="F1062" s="25">
        <v>0</v>
      </c>
      <c r="G1062" s="25">
        <v>0</v>
      </c>
      <c r="H1062" s="25">
        <v>0</v>
      </c>
      <c r="I1062" s="25">
        <v>0</v>
      </c>
    </row>
    <row r="1063" spans="1:9" x14ac:dyDescent="0.25">
      <c r="A1063" s="42" t="s">
        <v>1355</v>
      </c>
      <c r="B1063" s="42" t="s">
        <v>34</v>
      </c>
      <c r="C1063" s="24">
        <v>613447</v>
      </c>
      <c r="D1063" s="20">
        <v>41144</v>
      </c>
      <c r="E1063" s="25">
        <v>85</v>
      </c>
      <c r="F1063" s="25">
        <v>0</v>
      </c>
      <c r="G1063" s="25">
        <v>0</v>
      </c>
      <c r="H1063" s="25">
        <v>0</v>
      </c>
      <c r="I1063" s="25">
        <v>0</v>
      </c>
    </row>
    <row r="1064" spans="1:9" x14ac:dyDescent="0.25">
      <c r="A1064" s="42" t="s">
        <v>1355</v>
      </c>
      <c r="B1064" s="42" t="s">
        <v>35</v>
      </c>
      <c r="C1064" s="24">
        <v>611419</v>
      </c>
      <c r="D1064" s="20">
        <v>41135</v>
      </c>
      <c r="E1064" s="25">
        <v>477</v>
      </c>
      <c r="F1064" s="25">
        <v>51</v>
      </c>
      <c r="G1064" s="25">
        <v>10706</v>
      </c>
      <c r="H1064" s="25">
        <v>44</v>
      </c>
      <c r="I1064" s="25">
        <v>1025</v>
      </c>
    </row>
    <row r="1065" spans="1:9" x14ac:dyDescent="0.25">
      <c r="A1065" s="42" t="s">
        <v>1356</v>
      </c>
      <c r="B1065" s="43" t="s">
        <v>39</v>
      </c>
      <c r="C1065" s="24">
        <v>611704</v>
      </c>
      <c r="D1065" s="20">
        <v>41149</v>
      </c>
      <c r="E1065" s="25">
        <v>477</v>
      </c>
      <c r="F1065" s="25">
        <v>5</v>
      </c>
      <c r="G1065" s="25">
        <v>1834</v>
      </c>
      <c r="H1065" s="25">
        <v>0</v>
      </c>
      <c r="I1065" s="25">
        <v>0</v>
      </c>
    </row>
    <row r="1066" spans="1:9" x14ac:dyDescent="0.25">
      <c r="A1066" s="42" t="s">
        <v>1355</v>
      </c>
      <c r="B1066" s="42" t="s">
        <v>35</v>
      </c>
      <c r="C1066" s="24">
        <v>611419</v>
      </c>
      <c r="D1066" s="20">
        <v>41152</v>
      </c>
      <c r="E1066" s="25">
        <v>481</v>
      </c>
      <c r="F1066" s="25">
        <v>0</v>
      </c>
      <c r="G1066" s="25">
        <v>0</v>
      </c>
      <c r="H1066" s="25">
        <v>0</v>
      </c>
      <c r="I1066" s="25">
        <v>0</v>
      </c>
    </row>
    <row r="1067" spans="1:9" x14ac:dyDescent="0.25">
      <c r="A1067" s="42" t="s">
        <v>1356</v>
      </c>
      <c r="B1067" s="42" t="s">
        <v>37</v>
      </c>
      <c r="C1067" s="24">
        <v>610208</v>
      </c>
      <c r="D1067" s="20">
        <v>41151</v>
      </c>
      <c r="E1067" s="25">
        <v>473</v>
      </c>
      <c r="F1067" s="25">
        <v>21</v>
      </c>
      <c r="G1067" s="25">
        <v>6538</v>
      </c>
      <c r="H1067" s="25">
        <v>0</v>
      </c>
      <c r="I1067" s="25">
        <v>0</v>
      </c>
    </row>
    <row r="1068" spans="1:9" x14ac:dyDescent="0.25">
      <c r="A1068" s="42" t="s">
        <v>1356</v>
      </c>
      <c r="B1068" s="42" t="s">
        <v>37</v>
      </c>
      <c r="C1068" s="24">
        <v>610208</v>
      </c>
      <c r="D1068" s="20">
        <v>41143</v>
      </c>
      <c r="E1068" s="25">
        <v>481</v>
      </c>
      <c r="F1068" s="25">
        <v>2</v>
      </c>
      <c r="G1068" s="25">
        <v>825</v>
      </c>
      <c r="H1068" s="25">
        <v>0</v>
      </c>
      <c r="I1068" s="25">
        <v>0</v>
      </c>
    </row>
    <row r="1069" spans="1:9" x14ac:dyDescent="0.25">
      <c r="A1069" s="42" t="s">
        <v>1355</v>
      </c>
      <c r="B1069" s="42" t="s">
        <v>35</v>
      </c>
      <c r="C1069" s="24">
        <v>611419</v>
      </c>
      <c r="D1069" s="20">
        <v>41123</v>
      </c>
      <c r="E1069" s="25">
        <v>790</v>
      </c>
      <c r="F1069" s="25">
        <v>0</v>
      </c>
      <c r="G1069" s="25">
        <v>0</v>
      </c>
      <c r="H1069" s="25">
        <v>0</v>
      </c>
      <c r="I1069" s="25">
        <v>0</v>
      </c>
    </row>
    <row r="1070" spans="1:9" x14ac:dyDescent="0.25">
      <c r="A1070" s="42" t="s">
        <v>1356</v>
      </c>
      <c r="B1070" s="42" t="s">
        <v>37</v>
      </c>
      <c r="C1070" s="24">
        <v>610208</v>
      </c>
      <c r="D1070" s="20">
        <v>41127</v>
      </c>
      <c r="E1070" s="25">
        <v>85</v>
      </c>
      <c r="F1070" s="25">
        <v>0</v>
      </c>
      <c r="G1070" s="25">
        <v>0</v>
      </c>
      <c r="H1070" s="25">
        <v>0</v>
      </c>
      <c r="I1070" s="25">
        <v>0</v>
      </c>
    </row>
    <row r="1071" spans="1:9" x14ac:dyDescent="0.25">
      <c r="A1071" s="42" t="s">
        <v>1356</v>
      </c>
      <c r="B1071" s="42" t="s">
        <v>38</v>
      </c>
      <c r="C1071" s="24">
        <v>610340</v>
      </c>
      <c r="D1071" s="20">
        <v>41148</v>
      </c>
      <c r="E1071" s="25">
        <v>85</v>
      </c>
      <c r="F1071" s="25">
        <v>0</v>
      </c>
      <c r="G1071" s="25">
        <v>0</v>
      </c>
      <c r="H1071" s="25">
        <v>0</v>
      </c>
      <c r="I1071" s="25">
        <v>0</v>
      </c>
    </row>
    <row r="1072" spans="1:9" x14ac:dyDescent="0.25">
      <c r="A1072" s="42" t="s">
        <v>1355</v>
      </c>
      <c r="B1072" s="42" t="s">
        <v>35</v>
      </c>
      <c r="C1072" s="24">
        <v>611419</v>
      </c>
      <c r="D1072" s="20">
        <v>41151</v>
      </c>
      <c r="E1072" s="25">
        <v>481</v>
      </c>
      <c r="F1072" s="25">
        <v>0</v>
      </c>
      <c r="G1072" s="25">
        <v>0</v>
      </c>
      <c r="H1072" s="25">
        <v>0</v>
      </c>
      <c r="I1072" s="25">
        <v>0</v>
      </c>
    </row>
    <row r="1073" spans="1:9" x14ac:dyDescent="0.25">
      <c r="A1073" s="42" t="s">
        <v>1355</v>
      </c>
      <c r="B1073" s="42" t="s">
        <v>35</v>
      </c>
      <c r="C1073" s="24">
        <v>611419</v>
      </c>
      <c r="D1073" s="20">
        <v>41145</v>
      </c>
      <c r="E1073" s="25">
        <v>85</v>
      </c>
      <c r="F1073" s="25">
        <v>0</v>
      </c>
      <c r="G1073" s="25">
        <v>0</v>
      </c>
      <c r="H1073" s="25">
        <v>0</v>
      </c>
      <c r="I1073" s="25">
        <v>0</v>
      </c>
    </row>
    <row r="1074" spans="1:9" x14ac:dyDescent="0.25">
      <c r="A1074" s="42" t="s">
        <v>1356</v>
      </c>
      <c r="B1074" s="42" t="s">
        <v>38</v>
      </c>
      <c r="C1074" s="24">
        <v>610340</v>
      </c>
      <c r="D1074" s="20">
        <v>41136</v>
      </c>
      <c r="E1074" s="25">
        <v>790</v>
      </c>
      <c r="F1074" s="25">
        <v>0</v>
      </c>
      <c r="G1074" s="25">
        <v>0</v>
      </c>
      <c r="H1074" s="25">
        <v>0</v>
      </c>
      <c r="I1074" s="25">
        <v>0</v>
      </c>
    </row>
    <row r="1075" spans="1:9" x14ac:dyDescent="0.25">
      <c r="A1075" s="42" t="s">
        <v>1355</v>
      </c>
      <c r="B1075" s="42" t="s">
        <v>35</v>
      </c>
      <c r="C1075" s="24">
        <v>611419</v>
      </c>
      <c r="D1075" s="20">
        <v>41137</v>
      </c>
      <c r="E1075" s="25">
        <v>466</v>
      </c>
      <c r="F1075" s="25">
        <v>19</v>
      </c>
      <c r="G1075" s="25">
        <v>4215</v>
      </c>
      <c r="H1075" s="25">
        <v>17</v>
      </c>
      <c r="I1075" s="25">
        <v>33</v>
      </c>
    </row>
    <row r="1076" spans="1:9" x14ac:dyDescent="0.25">
      <c r="A1076" s="42" t="s">
        <v>1356</v>
      </c>
      <c r="B1076" s="42" t="s">
        <v>38</v>
      </c>
      <c r="C1076" s="24">
        <v>610340</v>
      </c>
      <c r="D1076" s="20">
        <v>41145</v>
      </c>
      <c r="E1076" s="25">
        <v>465</v>
      </c>
      <c r="F1076" s="25">
        <v>0</v>
      </c>
      <c r="G1076" s="25">
        <v>0</v>
      </c>
      <c r="H1076" s="25">
        <v>0</v>
      </c>
      <c r="I1076" s="25">
        <v>0</v>
      </c>
    </row>
    <row r="1077" spans="1:9" x14ac:dyDescent="0.25">
      <c r="A1077" s="42" t="s">
        <v>1356</v>
      </c>
      <c r="B1077" s="42" t="s">
        <v>38</v>
      </c>
      <c r="C1077" s="24">
        <v>610340</v>
      </c>
      <c r="D1077" s="20">
        <v>41136</v>
      </c>
      <c r="E1077" s="25">
        <v>466</v>
      </c>
      <c r="F1077" s="25">
        <v>0</v>
      </c>
      <c r="G1077" s="25">
        <v>0</v>
      </c>
      <c r="H1077" s="25">
        <v>0</v>
      </c>
      <c r="I1077" s="25">
        <v>0</v>
      </c>
    </row>
    <row r="1078" spans="1:9" x14ac:dyDescent="0.25">
      <c r="A1078" s="42" t="s">
        <v>1356</v>
      </c>
      <c r="B1078" s="43" t="s">
        <v>39</v>
      </c>
      <c r="C1078" s="24">
        <v>611704</v>
      </c>
      <c r="D1078" s="20">
        <v>41122</v>
      </c>
      <c r="E1078" s="25">
        <v>481</v>
      </c>
      <c r="F1078" s="25">
        <v>0</v>
      </c>
      <c r="G1078" s="25">
        <v>0</v>
      </c>
      <c r="H1078" s="25">
        <v>0</v>
      </c>
      <c r="I1078" s="25">
        <v>0</v>
      </c>
    </row>
    <row r="1079" spans="1:9" x14ac:dyDescent="0.25">
      <c r="A1079" s="42" t="s">
        <v>1356</v>
      </c>
      <c r="B1079" s="42" t="s">
        <v>38</v>
      </c>
      <c r="C1079" s="24">
        <v>610340</v>
      </c>
      <c r="D1079" s="20">
        <v>41138</v>
      </c>
      <c r="E1079" s="25">
        <v>465</v>
      </c>
      <c r="F1079" s="25">
        <v>0</v>
      </c>
      <c r="G1079" s="25">
        <v>0</v>
      </c>
      <c r="H1079" s="25">
        <v>0</v>
      </c>
      <c r="I1079" s="25">
        <v>0</v>
      </c>
    </row>
    <row r="1080" spans="1:9" x14ac:dyDescent="0.25">
      <c r="A1080" s="42" t="s">
        <v>1356</v>
      </c>
      <c r="B1080" s="42" t="s">
        <v>37</v>
      </c>
      <c r="C1080" s="24">
        <v>610208</v>
      </c>
      <c r="D1080" s="20">
        <v>41150</v>
      </c>
      <c r="E1080" s="25">
        <v>476</v>
      </c>
      <c r="F1080" s="25">
        <v>44</v>
      </c>
      <c r="G1080" s="25">
        <v>14694</v>
      </c>
      <c r="H1080" s="25">
        <v>2</v>
      </c>
      <c r="I1080" s="25">
        <v>0</v>
      </c>
    </row>
    <row r="1081" spans="1:9" x14ac:dyDescent="0.25">
      <c r="A1081" s="42" t="s">
        <v>1356</v>
      </c>
      <c r="B1081" s="42" t="s">
        <v>37</v>
      </c>
      <c r="C1081" s="24">
        <v>610208</v>
      </c>
      <c r="D1081" s="20">
        <v>41133</v>
      </c>
      <c r="E1081" s="25">
        <v>790</v>
      </c>
      <c r="F1081" s="25">
        <v>0</v>
      </c>
      <c r="G1081" s="25">
        <v>0</v>
      </c>
      <c r="H1081" s="25">
        <v>0</v>
      </c>
      <c r="I1081" s="25">
        <v>0</v>
      </c>
    </row>
    <row r="1082" spans="1:9" x14ac:dyDescent="0.25">
      <c r="A1082" s="42" t="s">
        <v>1356</v>
      </c>
      <c r="B1082" s="42" t="s">
        <v>38</v>
      </c>
      <c r="C1082" s="24">
        <v>610340</v>
      </c>
      <c r="D1082" s="20">
        <v>41143</v>
      </c>
      <c r="E1082" s="25">
        <v>478</v>
      </c>
      <c r="F1082" s="25">
        <v>2</v>
      </c>
      <c r="G1082" s="25">
        <v>472</v>
      </c>
      <c r="H1082" s="25">
        <v>0</v>
      </c>
      <c r="I1082" s="25">
        <v>0</v>
      </c>
    </row>
    <row r="1083" spans="1:9" x14ac:dyDescent="0.25">
      <c r="A1083" s="42" t="s">
        <v>1356</v>
      </c>
      <c r="B1083" s="42" t="s">
        <v>37</v>
      </c>
      <c r="C1083" s="24">
        <v>610208</v>
      </c>
      <c r="D1083" s="20">
        <v>41150</v>
      </c>
      <c r="E1083" s="25">
        <v>484</v>
      </c>
      <c r="F1083" s="25">
        <v>0</v>
      </c>
      <c r="G1083" s="25">
        <v>0</v>
      </c>
      <c r="H1083" s="25">
        <v>0</v>
      </c>
      <c r="I1083" s="25">
        <v>0</v>
      </c>
    </row>
    <row r="1084" spans="1:9" x14ac:dyDescent="0.25">
      <c r="A1084" s="42" t="s">
        <v>1356</v>
      </c>
      <c r="B1084" s="42" t="s">
        <v>37</v>
      </c>
      <c r="C1084" s="24">
        <v>610208</v>
      </c>
      <c r="D1084" s="20">
        <v>41148</v>
      </c>
      <c r="E1084" s="25">
        <v>466</v>
      </c>
      <c r="F1084" s="25">
        <v>5</v>
      </c>
      <c r="G1084" s="25">
        <v>1325</v>
      </c>
      <c r="H1084" s="25">
        <v>0</v>
      </c>
      <c r="I1084" s="25">
        <v>0</v>
      </c>
    </row>
    <row r="1085" spans="1:9" x14ac:dyDescent="0.25">
      <c r="A1085" s="42" t="s">
        <v>1355</v>
      </c>
      <c r="B1085" s="42" t="s">
        <v>34</v>
      </c>
      <c r="C1085" s="24">
        <v>613447</v>
      </c>
      <c r="D1085" s="20">
        <v>41137</v>
      </c>
      <c r="E1085" s="25">
        <v>465</v>
      </c>
      <c r="F1085" s="25">
        <v>0</v>
      </c>
      <c r="G1085" s="25">
        <v>0</v>
      </c>
      <c r="H1085" s="25">
        <v>0</v>
      </c>
      <c r="I1085" s="25">
        <v>0</v>
      </c>
    </row>
    <row r="1086" spans="1:9" x14ac:dyDescent="0.25">
      <c r="A1086" s="42" t="s">
        <v>1355</v>
      </c>
      <c r="B1086" s="42" t="s">
        <v>35</v>
      </c>
      <c r="C1086" s="24">
        <v>611419</v>
      </c>
      <c r="D1086" s="20">
        <v>41141</v>
      </c>
      <c r="E1086" s="25">
        <v>482</v>
      </c>
      <c r="F1086" s="25">
        <v>18</v>
      </c>
      <c r="G1086" s="25">
        <v>3275</v>
      </c>
      <c r="H1086" s="25">
        <v>6</v>
      </c>
      <c r="I1086" s="25">
        <v>50</v>
      </c>
    </row>
    <row r="1087" spans="1:9" x14ac:dyDescent="0.25">
      <c r="A1087" s="42" t="s">
        <v>1356</v>
      </c>
      <c r="B1087" s="43" t="s">
        <v>39</v>
      </c>
      <c r="C1087" s="24">
        <v>611704</v>
      </c>
      <c r="D1087" s="20">
        <v>41143</v>
      </c>
      <c r="E1087" s="25">
        <v>482</v>
      </c>
      <c r="F1087" s="25">
        <v>18</v>
      </c>
      <c r="G1087" s="25">
        <v>6121</v>
      </c>
      <c r="H1087" s="25">
        <v>0</v>
      </c>
      <c r="I1087" s="25">
        <v>0</v>
      </c>
    </row>
    <row r="1088" spans="1:9" x14ac:dyDescent="0.25">
      <c r="A1088" s="42" t="s">
        <v>1356</v>
      </c>
      <c r="B1088" s="42" t="s">
        <v>38</v>
      </c>
      <c r="C1088" s="24">
        <v>610340</v>
      </c>
      <c r="D1088" s="20">
        <v>41134</v>
      </c>
      <c r="E1088" s="25">
        <v>85</v>
      </c>
      <c r="F1088" s="25">
        <v>0</v>
      </c>
      <c r="G1088" s="25">
        <v>0</v>
      </c>
      <c r="H1088" s="25">
        <v>0</v>
      </c>
      <c r="I1088" s="25">
        <v>0</v>
      </c>
    </row>
    <row r="1089" spans="1:9" x14ac:dyDescent="0.25">
      <c r="A1089" s="42" t="s">
        <v>1356</v>
      </c>
      <c r="B1089" s="42" t="s">
        <v>37</v>
      </c>
      <c r="C1089" s="24">
        <v>610208</v>
      </c>
      <c r="D1089" s="20">
        <v>41142</v>
      </c>
      <c r="E1089" s="25">
        <v>467</v>
      </c>
      <c r="F1089" s="25">
        <v>0</v>
      </c>
      <c r="G1089" s="25">
        <v>0</v>
      </c>
      <c r="H1089" s="25">
        <v>0</v>
      </c>
      <c r="I1089" s="25">
        <v>0</v>
      </c>
    </row>
    <row r="1090" spans="1:9" x14ac:dyDescent="0.25">
      <c r="A1090" s="42" t="s">
        <v>1356</v>
      </c>
      <c r="B1090" s="42" t="s">
        <v>37</v>
      </c>
      <c r="C1090" s="24">
        <v>610208</v>
      </c>
      <c r="D1090" s="20">
        <v>41149</v>
      </c>
      <c r="E1090" s="25">
        <v>467</v>
      </c>
      <c r="F1090" s="25">
        <v>0</v>
      </c>
      <c r="G1090" s="25">
        <v>0</v>
      </c>
      <c r="H1090" s="25">
        <v>0</v>
      </c>
      <c r="I1090" s="25">
        <v>0</v>
      </c>
    </row>
    <row r="1091" spans="1:9" x14ac:dyDescent="0.25">
      <c r="A1091" s="42" t="s">
        <v>1355</v>
      </c>
      <c r="B1091" s="42" t="s">
        <v>36</v>
      </c>
      <c r="C1091" s="24">
        <v>610832</v>
      </c>
      <c r="D1091" s="20">
        <v>41143</v>
      </c>
      <c r="E1091" s="25">
        <v>85</v>
      </c>
      <c r="F1091" s="25">
        <v>0</v>
      </c>
      <c r="G1091" s="25">
        <v>0</v>
      </c>
      <c r="H1091" s="25">
        <v>0</v>
      </c>
      <c r="I1091" s="25">
        <v>0</v>
      </c>
    </row>
    <row r="1092" spans="1:9" x14ac:dyDescent="0.25">
      <c r="A1092" s="42" t="s">
        <v>1355</v>
      </c>
      <c r="B1092" s="42" t="s">
        <v>36</v>
      </c>
      <c r="C1092" s="24">
        <v>610832</v>
      </c>
      <c r="D1092" s="20">
        <v>41145</v>
      </c>
      <c r="E1092" s="25">
        <v>465</v>
      </c>
      <c r="F1092" s="25">
        <v>0</v>
      </c>
      <c r="G1092" s="25">
        <v>0</v>
      </c>
      <c r="H1092" s="25">
        <v>0</v>
      </c>
      <c r="I1092" s="25">
        <v>0</v>
      </c>
    </row>
    <row r="1093" spans="1:9" x14ac:dyDescent="0.25">
      <c r="A1093" s="42" t="s">
        <v>1356</v>
      </c>
      <c r="B1093" s="43" t="s">
        <v>39</v>
      </c>
      <c r="C1093" s="24">
        <v>611704</v>
      </c>
      <c r="D1093" s="20">
        <v>41139</v>
      </c>
      <c r="E1093" s="25">
        <v>467</v>
      </c>
      <c r="F1093" s="25">
        <v>2</v>
      </c>
      <c r="G1093" s="25">
        <v>331</v>
      </c>
      <c r="H1093" s="25">
        <v>0</v>
      </c>
      <c r="I1093" s="25">
        <v>0</v>
      </c>
    </row>
    <row r="1094" spans="1:9" x14ac:dyDescent="0.25">
      <c r="A1094" s="42" t="s">
        <v>1355</v>
      </c>
      <c r="B1094" s="42" t="s">
        <v>34</v>
      </c>
      <c r="C1094" s="24">
        <v>613447</v>
      </c>
      <c r="D1094" s="20">
        <v>41136</v>
      </c>
      <c r="E1094" s="25">
        <v>465</v>
      </c>
      <c r="F1094" s="25">
        <v>0</v>
      </c>
      <c r="G1094" s="25">
        <v>0</v>
      </c>
      <c r="H1094" s="25">
        <v>0</v>
      </c>
      <c r="I1094" s="25">
        <v>0</v>
      </c>
    </row>
    <row r="1095" spans="1:9" x14ac:dyDescent="0.25">
      <c r="A1095" s="42" t="s">
        <v>1355</v>
      </c>
      <c r="B1095" s="42" t="s">
        <v>36</v>
      </c>
      <c r="C1095" s="24">
        <v>610832</v>
      </c>
      <c r="D1095" s="20">
        <v>41134</v>
      </c>
      <c r="E1095" s="25">
        <v>790</v>
      </c>
      <c r="F1095" s="25">
        <v>0</v>
      </c>
      <c r="G1095" s="25">
        <v>0</v>
      </c>
      <c r="H1095" s="25">
        <v>0</v>
      </c>
      <c r="I1095" s="25">
        <v>0</v>
      </c>
    </row>
    <row r="1096" spans="1:9" x14ac:dyDescent="0.25">
      <c r="A1096" s="42" t="s">
        <v>1356</v>
      </c>
      <c r="B1096" s="43" t="s">
        <v>39</v>
      </c>
      <c r="C1096" s="24">
        <v>611704</v>
      </c>
      <c r="D1096" s="20">
        <v>41136</v>
      </c>
      <c r="E1096" s="25">
        <v>477</v>
      </c>
      <c r="F1096" s="25">
        <v>30</v>
      </c>
      <c r="G1096" s="25">
        <v>9904</v>
      </c>
      <c r="H1096" s="25">
        <v>0</v>
      </c>
      <c r="I1096" s="25">
        <v>0</v>
      </c>
    </row>
    <row r="1097" spans="1:9" x14ac:dyDescent="0.25">
      <c r="A1097" s="42" t="s">
        <v>1356</v>
      </c>
      <c r="B1097" s="43" t="s">
        <v>39</v>
      </c>
      <c r="C1097" s="24">
        <v>611704</v>
      </c>
      <c r="D1097" s="20">
        <v>41150</v>
      </c>
      <c r="E1097" s="25">
        <v>481</v>
      </c>
      <c r="F1097" s="25">
        <v>0</v>
      </c>
      <c r="G1097" s="25">
        <v>0</v>
      </c>
      <c r="H1097" s="25">
        <v>0</v>
      </c>
      <c r="I1097" s="25">
        <v>0</v>
      </c>
    </row>
    <row r="1098" spans="1:9" x14ac:dyDescent="0.25">
      <c r="A1098" s="42" t="s">
        <v>1355</v>
      </c>
      <c r="B1098" s="42" t="s">
        <v>34</v>
      </c>
      <c r="C1098" s="24">
        <v>613447</v>
      </c>
      <c r="D1098" s="20">
        <v>41138</v>
      </c>
      <c r="E1098" s="25">
        <v>480</v>
      </c>
      <c r="F1098" s="25">
        <v>8</v>
      </c>
      <c r="G1098" s="25">
        <v>2271</v>
      </c>
      <c r="H1098" s="25">
        <v>0</v>
      </c>
      <c r="I1098" s="25">
        <v>40</v>
      </c>
    </row>
    <row r="1099" spans="1:9" x14ac:dyDescent="0.25">
      <c r="A1099" s="42" t="s">
        <v>1356</v>
      </c>
      <c r="B1099" s="42" t="s">
        <v>37</v>
      </c>
      <c r="C1099" s="24">
        <v>610208</v>
      </c>
      <c r="D1099" s="20">
        <v>41144</v>
      </c>
      <c r="E1099" s="25">
        <v>477</v>
      </c>
      <c r="F1099" s="25">
        <v>30</v>
      </c>
      <c r="G1099" s="25">
        <v>7860</v>
      </c>
      <c r="H1099" s="25">
        <v>0</v>
      </c>
      <c r="I1099" s="25">
        <v>0</v>
      </c>
    </row>
    <row r="1100" spans="1:9" x14ac:dyDescent="0.25">
      <c r="A1100" s="42" t="s">
        <v>1356</v>
      </c>
      <c r="B1100" s="42" t="s">
        <v>37</v>
      </c>
      <c r="C1100" s="24">
        <v>610208</v>
      </c>
      <c r="D1100" s="20">
        <v>41128</v>
      </c>
      <c r="E1100" s="25">
        <v>85</v>
      </c>
      <c r="F1100" s="25">
        <v>0</v>
      </c>
      <c r="G1100" s="25">
        <v>0</v>
      </c>
      <c r="H1100" s="25">
        <v>0</v>
      </c>
      <c r="I1100" s="25">
        <v>0</v>
      </c>
    </row>
    <row r="1101" spans="1:9" x14ac:dyDescent="0.25">
      <c r="A1101" s="42" t="s">
        <v>1356</v>
      </c>
      <c r="B1101" s="43" t="s">
        <v>39</v>
      </c>
      <c r="C1101" s="24">
        <v>611704</v>
      </c>
      <c r="D1101" s="20">
        <v>41139</v>
      </c>
      <c r="E1101" s="25">
        <v>480</v>
      </c>
      <c r="F1101" s="25">
        <v>4</v>
      </c>
      <c r="G1101" s="25">
        <v>864</v>
      </c>
      <c r="H1101" s="25">
        <v>0</v>
      </c>
      <c r="I1101" s="25">
        <v>23</v>
      </c>
    </row>
    <row r="1102" spans="1:9" x14ac:dyDescent="0.25">
      <c r="A1102" s="42" t="s">
        <v>1355</v>
      </c>
      <c r="B1102" s="42" t="s">
        <v>36</v>
      </c>
      <c r="C1102" s="24">
        <v>610832</v>
      </c>
      <c r="D1102" s="20">
        <v>41152</v>
      </c>
      <c r="E1102" s="25">
        <v>481</v>
      </c>
      <c r="F1102" s="25">
        <v>0</v>
      </c>
      <c r="G1102" s="25">
        <v>0</v>
      </c>
      <c r="H1102" s="25">
        <v>0</v>
      </c>
      <c r="I1102" s="25">
        <v>0</v>
      </c>
    </row>
    <row r="1103" spans="1:9" x14ac:dyDescent="0.25">
      <c r="A1103" s="42" t="s">
        <v>1356</v>
      </c>
      <c r="B1103" s="43" t="s">
        <v>39</v>
      </c>
      <c r="C1103" s="24">
        <v>611704</v>
      </c>
      <c r="D1103" s="20">
        <v>41127</v>
      </c>
      <c r="E1103" s="25">
        <v>478</v>
      </c>
      <c r="F1103" s="25">
        <v>9</v>
      </c>
      <c r="G1103" s="25">
        <v>2494</v>
      </c>
      <c r="H1103" s="25">
        <v>76</v>
      </c>
      <c r="I1103" s="25">
        <v>0</v>
      </c>
    </row>
    <row r="1104" spans="1:9" x14ac:dyDescent="0.25">
      <c r="A1104" s="42" t="s">
        <v>1356</v>
      </c>
      <c r="B1104" s="42" t="s">
        <v>37</v>
      </c>
      <c r="C1104" s="24">
        <v>610208</v>
      </c>
      <c r="D1104" s="20">
        <v>41123</v>
      </c>
      <c r="E1104" s="25">
        <v>481</v>
      </c>
      <c r="F1104" s="25">
        <v>0</v>
      </c>
      <c r="G1104" s="25">
        <v>0</v>
      </c>
      <c r="H1104" s="25">
        <v>0</v>
      </c>
      <c r="I1104" s="25">
        <v>0</v>
      </c>
    </row>
    <row r="1105" spans="1:9" x14ac:dyDescent="0.25">
      <c r="A1105" s="42" t="s">
        <v>1356</v>
      </c>
      <c r="B1105" s="43" t="s">
        <v>39</v>
      </c>
      <c r="C1105" s="24">
        <v>611704</v>
      </c>
      <c r="D1105" s="20">
        <v>41128</v>
      </c>
      <c r="E1105" s="25">
        <v>478</v>
      </c>
      <c r="F1105" s="25">
        <v>6</v>
      </c>
      <c r="G1105" s="25">
        <v>1442</v>
      </c>
      <c r="H1105" s="25">
        <v>0</v>
      </c>
      <c r="I1105" s="25">
        <v>0</v>
      </c>
    </row>
    <row r="1106" spans="1:9" x14ac:dyDescent="0.25">
      <c r="A1106" s="42" t="s">
        <v>1355</v>
      </c>
      <c r="B1106" s="42" t="s">
        <v>36</v>
      </c>
      <c r="C1106" s="24">
        <v>610832</v>
      </c>
      <c r="D1106" s="20">
        <v>41125</v>
      </c>
      <c r="E1106" s="25">
        <v>477</v>
      </c>
      <c r="F1106" s="25">
        <v>37</v>
      </c>
      <c r="G1106" s="25">
        <v>12621</v>
      </c>
      <c r="H1106" s="25">
        <v>9</v>
      </c>
      <c r="I1106" s="25">
        <v>0</v>
      </c>
    </row>
    <row r="1107" spans="1:9" x14ac:dyDescent="0.25">
      <c r="A1107" s="42" t="s">
        <v>1356</v>
      </c>
      <c r="B1107" s="42" t="s">
        <v>38</v>
      </c>
      <c r="C1107" s="24">
        <v>610340</v>
      </c>
      <c r="D1107" s="20">
        <v>41126</v>
      </c>
      <c r="E1107" s="25">
        <v>477</v>
      </c>
      <c r="F1107" s="25">
        <v>5</v>
      </c>
      <c r="G1107" s="25">
        <v>2704</v>
      </c>
      <c r="H1107" s="25">
        <v>0</v>
      </c>
      <c r="I1107" s="25">
        <v>3</v>
      </c>
    </row>
    <row r="1108" spans="1:9" x14ac:dyDescent="0.25">
      <c r="A1108" s="42" t="s">
        <v>1355</v>
      </c>
      <c r="B1108" s="42" t="s">
        <v>34</v>
      </c>
      <c r="C1108" s="24">
        <v>613447</v>
      </c>
      <c r="D1108" s="20">
        <v>41138</v>
      </c>
      <c r="E1108" s="25">
        <v>477</v>
      </c>
      <c r="F1108" s="25">
        <v>10</v>
      </c>
      <c r="G1108" s="25">
        <v>2572</v>
      </c>
      <c r="H1108" s="25">
        <v>15</v>
      </c>
      <c r="I1108" s="25">
        <v>141</v>
      </c>
    </row>
    <row r="1109" spans="1:9" x14ac:dyDescent="0.25">
      <c r="A1109" s="42" t="s">
        <v>1355</v>
      </c>
      <c r="B1109" s="42" t="s">
        <v>35</v>
      </c>
      <c r="C1109" s="24">
        <v>611419</v>
      </c>
      <c r="D1109" s="20">
        <v>41142</v>
      </c>
      <c r="E1109" s="25">
        <v>478</v>
      </c>
      <c r="F1109" s="25">
        <v>0</v>
      </c>
      <c r="G1109" s="25">
        <v>0</v>
      </c>
      <c r="H1109" s="25">
        <v>0</v>
      </c>
      <c r="I1109" s="25">
        <v>0</v>
      </c>
    </row>
    <row r="1110" spans="1:9" x14ac:dyDescent="0.25">
      <c r="A1110" s="42" t="s">
        <v>1356</v>
      </c>
      <c r="B1110" s="42" t="s">
        <v>38</v>
      </c>
      <c r="C1110" s="24">
        <v>610340</v>
      </c>
      <c r="D1110" s="20">
        <v>41134</v>
      </c>
      <c r="E1110" s="25">
        <v>478</v>
      </c>
      <c r="F1110" s="25">
        <v>21</v>
      </c>
      <c r="G1110" s="25">
        <v>6625</v>
      </c>
      <c r="H1110" s="25">
        <v>0</v>
      </c>
      <c r="I1110" s="25">
        <v>3</v>
      </c>
    </row>
    <row r="1111" spans="1:9" x14ac:dyDescent="0.25">
      <c r="A1111" s="42" t="s">
        <v>1356</v>
      </c>
      <c r="B1111" s="42" t="s">
        <v>38</v>
      </c>
      <c r="C1111" s="24">
        <v>610340</v>
      </c>
      <c r="D1111" s="20">
        <v>41135</v>
      </c>
      <c r="E1111" s="25">
        <v>85</v>
      </c>
      <c r="F1111" s="25">
        <v>0</v>
      </c>
      <c r="G1111" s="25">
        <v>0</v>
      </c>
      <c r="H1111" s="25">
        <v>0</v>
      </c>
      <c r="I1111" s="25">
        <v>0</v>
      </c>
    </row>
    <row r="1112" spans="1:9" x14ac:dyDescent="0.25">
      <c r="A1112" s="42" t="s">
        <v>1356</v>
      </c>
      <c r="B1112" s="43" t="s">
        <v>39</v>
      </c>
      <c r="C1112" s="24">
        <v>611704</v>
      </c>
      <c r="D1112" s="20">
        <v>41145</v>
      </c>
      <c r="E1112" s="25">
        <v>482</v>
      </c>
      <c r="F1112" s="25">
        <v>17</v>
      </c>
      <c r="G1112" s="25">
        <v>4644</v>
      </c>
      <c r="H1112" s="25">
        <v>14</v>
      </c>
      <c r="I1112" s="25">
        <v>0</v>
      </c>
    </row>
    <row r="1113" spans="1:9" x14ac:dyDescent="0.25">
      <c r="A1113" s="42" t="s">
        <v>1355</v>
      </c>
      <c r="B1113" s="42" t="s">
        <v>35</v>
      </c>
      <c r="C1113" s="24">
        <v>611419</v>
      </c>
      <c r="D1113" s="20">
        <v>41143</v>
      </c>
      <c r="E1113" s="25">
        <v>478</v>
      </c>
      <c r="F1113" s="25">
        <v>0</v>
      </c>
      <c r="G1113" s="25">
        <v>0</v>
      </c>
      <c r="H1113" s="25">
        <v>0</v>
      </c>
      <c r="I1113" s="25">
        <v>0</v>
      </c>
    </row>
    <row r="1114" spans="1:9" x14ac:dyDescent="0.25">
      <c r="A1114" s="42" t="s">
        <v>1355</v>
      </c>
      <c r="B1114" s="42" t="s">
        <v>35</v>
      </c>
      <c r="C1114" s="24">
        <v>611419</v>
      </c>
      <c r="D1114" s="20">
        <v>41140</v>
      </c>
      <c r="E1114" s="25">
        <v>481</v>
      </c>
      <c r="F1114" s="25">
        <v>3</v>
      </c>
      <c r="G1114" s="25">
        <v>223</v>
      </c>
      <c r="H1114" s="25">
        <v>5</v>
      </c>
      <c r="I1114" s="25">
        <v>0</v>
      </c>
    </row>
    <row r="1115" spans="1:9" x14ac:dyDescent="0.25">
      <c r="A1115" s="42" t="s">
        <v>1356</v>
      </c>
      <c r="B1115" s="43" t="s">
        <v>39</v>
      </c>
      <c r="C1115" s="24">
        <v>611704</v>
      </c>
      <c r="D1115" s="20">
        <v>41143</v>
      </c>
      <c r="E1115" s="25">
        <v>480</v>
      </c>
      <c r="F1115" s="25">
        <v>4</v>
      </c>
      <c r="G1115" s="25">
        <v>1253</v>
      </c>
      <c r="H1115" s="25">
        <v>0</v>
      </c>
      <c r="I1115" s="25">
        <v>0</v>
      </c>
    </row>
    <row r="1116" spans="1:9" x14ac:dyDescent="0.25">
      <c r="A1116" s="42" t="s">
        <v>1356</v>
      </c>
      <c r="B1116" s="42" t="s">
        <v>37</v>
      </c>
      <c r="C1116" s="24">
        <v>610208</v>
      </c>
      <c r="D1116" s="20">
        <v>41128</v>
      </c>
      <c r="E1116" s="25">
        <v>478</v>
      </c>
      <c r="F1116" s="25">
        <v>11</v>
      </c>
      <c r="G1116" s="25">
        <v>2858</v>
      </c>
      <c r="H1116" s="25">
        <v>4</v>
      </c>
      <c r="I1116" s="25">
        <v>0</v>
      </c>
    </row>
    <row r="1117" spans="1:9" x14ac:dyDescent="0.25">
      <c r="A1117" s="42" t="s">
        <v>1355</v>
      </c>
      <c r="B1117" s="42" t="s">
        <v>34</v>
      </c>
      <c r="C1117" s="24">
        <v>613447</v>
      </c>
      <c r="D1117" s="20">
        <v>41152</v>
      </c>
      <c r="E1117" s="25">
        <v>482</v>
      </c>
      <c r="F1117" s="25">
        <v>7</v>
      </c>
      <c r="G1117" s="25">
        <v>1953</v>
      </c>
      <c r="H1117" s="25">
        <v>0</v>
      </c>
      <c r="I1117" s="25">
        <v>27</v>
      </c>
    </row>
    <row r="1118" spans="1:9" x14ac:dyDescent="0.25">
      <c r="A1118" s="42" t="s">
        <v>1355</v>
      </c>
      <c r="B1118" s="42" t="s">
        <v>34</v>
      </c>
      <c r="C1118" s="24">
        <v>613447</v>
      </c>
      <c r="D1118" s="20">
        <v>41130</v>
      </c>
      <c r="E1118" s="25">
        <v>790</v>
      </c>
      <c r="F1118" s="25">
        <v>0</v>
      </c>
      <c r="G1118" s="25">
        <v>0</v>
      </c>
      <c r="H1118" s="25">
        <v>0</v>
      </c>
      <c r="I1118" s="25">
        <v>0</v>
      </c>
    </row>
    <row r="1119" spans="1:9" x14ac:dyDescent="0.25">
      <c r="A1119" s="42" t="s">
        <v>1355</v>
      </c>
      <c r="B1119" s="42" t="s">
        <v>35</v>
      </c>
      <c r="C1119" s="24">
        <v>611419</v>
      </c>
      <c r="D1119" s="20">
        <v>41128</v>
      </c>
      <c r="E1119" s="25">
        <v>465</v>
      </c>
      <c r="F1119" s="25">
        <v>0</v>
      </c>
      <c r="G1119" s="25">
        <v>0</v>
      </c>
      <c r="H1119" s="25">
        <v>0</v>
      </c>
      <c r="I1119" s="25">
        <v>0</v>
      </c>
    </row>
    <row r="1120" spans="1:9" x14ac:dyDescent="0.25">
      <c r="A1120" s="42" t="s">
        <v>1356</v>
      </c>
      <c r="B1120" s="42" t="s">
        <v>38</v>
      </c>
      <c r="C1120" s="24">
        <v>610340</v>
      </c>
      <c r="D1120" s="20">
        <v>41123</v>
      </c>
      <c r="E1120" s="25">
        <v>790</v>
      </c>
      <c r="F1120" s="25">
        <v>0</v>
      </c>
      <c r="G1120" s="25">
        <v>0</v>
      </c>
      <c r="H1120" s="25">
        <v>0</v>
      </c>
      <c r="I1120" s="25">
        <v>0</v>
      </c>
    </row>
    <row r="1121" spans="1:9" x14ac:dyDescent="0.25">
      <c r="A1121" s="42" t="s">
        <v>1356</v>
      </c>
      <c r="B1121" s="42" t="s">
        <v>37</v>
      </c>
      <c r="C1121" s="24">
        <v>610208</v>
      </c>
      <c r="D1121" s="20">
        <v>41124</v>
      </c>
      <c r="E1121" s="25">
        <v>790</v>
      </c>
      <c r="F1121" s="25">
        <v>0</v>
      </c>
      <c r="G1121" s="25">
        <v>0</v>
      </c>
      <c r="H1121" s="25">
        <v>0</v>
      </c>
      <c r="I1121" s="25">
        <v>0</v>
      </c>
    </row>
    <row r="1122" spans="1:9" x14ac:dyDescent="0.25">
      <c r="A1122" s="42" t="s">
        <v>1356</v>
      </c>
      <c r="B1122" s="42" t="s">
        <v>37</v>
      </c>
      <c r="C1122" s="24">
        <v>610208</v>
      </c>
      <c r="D1122" s="20">
        <v>41152</v>
      </c>
      <c r="E1122" s="25">
        <v>791</v>
      </c>
      <c r="F1122" s="25">
        <v>0</v>
      </c>
      <c r="G1122" s="25">
        <v>0</v>
      </c>
      <c r="H1122" s="25">
        <v>0</v>
      </c>
      <c r="I1122" s="25">
        <v>0</v>
      </c>
    </row>
    <row r="1123" spans="1:9" x14ac:dyDescent="0.25">
      <c r="A1123" s="42" t="s">
        <v>1356</v>
      </c>
      <c r="B1123" s="42" t="s">
        <v>37</v>
      </c>
      <c r="C1123" s="24">
        <v>610208</v>
      </c>
      <c r="D1123" s="20">
        <v>41124</v>
      </c>
      <c r="E1123" s="25">
        <v>477</v>
      </c>
      <c r="F1123" s="25">
        <v>25</v>
      </c>
      <c r="G1123" s="25">
        <v>8907</v>
      </c>
      <c r="H1123" s="25">
        <v>0</v>
      </c>
      <c r="I1123" s="25">
        <v>0</v>
      </c>
    </row>
    <row r="1124" spans="1:9" x14ac:dyDescent="0.25">
      <c r="A1124" s="42" t="s">
        <v>1355</v>
      </c>
      <c r="B1124" s="42" t="s">
        <v>36</v>
      </c>
      <c r="C1124" s="24">
        <v>610832</v>
      </c>
      <c r="D1124" s="20">
        <v>41146</v>
      </c>
      <c r="E1124" s="25">
        <v>482</v>
      </c>
      <c r="F1124" s="25">
        <v>7</v>
      </c>
      <c r="G1124" s="25">
        <v>1844</v>
      </c>
      <c r="H1124" s="25">
        <v>4</v>
      </c>
      <c r="I1124" s="25">
        <v>5</v>
      </c>
    </row>
    <row r="1125" spans="1:9" x14ac:dyDescent="0.25">
      <c r="A1125" s="42" t="s">
        <v>1355</v>
      </c>
      <c r="B1125" s="42" t="s">
        <v>34</v>
      </c>
      <c r="C1125" s="24">
        <v>613447</v>
      </c>
      <c r="D1125" s="20">
        <v>41127</v>
      </c>
      <c r="E1125" s="25">
        <v>790</v>
      </c>
      <c r="F1125" s="25">
        <v>0</v>
      </c>
      <c r="G1125" s="25">
        <v>0</v>
      </c>
      <c r="H1125" s="25">
        <v>0</v>
      </c>
      <c r="I1125" s="25">
        <v>0</v>
      </c>
    </row>
    <row r="1126" spans="1:9" x14ac:dyDescent="0.25">
      <c r="A1126" s="42" t="s">
        <v>1356</v>
      </c>
      <c r="B1126" s="42" t="s">
        <v>38</v>
      </c>
      <c r="C1126" s="24">
        <v>610340</v>
      </c>
      <c r="D1126" s="20">
        <v>41132</v>
      </c>
      <c r="E1126" s="25">
        <v>85</v>
      </c>
      <c r="F1126" s="25">
        <v>0</v>
      </c>
      <c r="G1126" s="25">
        <v>0</v>
      </c>
      <c r="H1126" s="25">
        <v>0</v>
      </c>
      <c r="I1126" s="25">
        <v>0</v>
      </c>
    </row>
    <row r="1127" spans="1:9" x14ac:dyDescent="0.25">
      <c r="A1127" s="42" t="s">
        <v>1356</v>
      </c>
      <c r="B1127" s="42" t="s">
        <v>38</v>
      </c>
      <c r="C1127" s="24">
        <v>610340</v>
      </c>
      <c r="D1127" s="20">
        <v>41141</v>
      </c>
      <c r="E1127" s="25">
        <v>482</v>
      </c>
      <c r="F1127" s="25">
        <v>12</v>
      </c>
      <c r="G1127" s="25">
        <v>3139</v>
      </c>
      <c r="H1127" s="25">
        <v>2</v>
      </c>
      <c r="I1127" s="25">
        <v>0</v>
      </c>
    </row>
    <row r="1128" spans="1:9" x14ac:dyDescent="0.25">
      <c r="A1128" s="42" t="s">
        <v>1355</v>
      </c>
      <c r="B1128" s="42" t="s">
        <v>35</v>
      </c>
      <c r="C1128" s="24">
        <v>611419</v>
      </c>
      <c r="D1128" s="20">
        <v>41151</v>
      </c>
      <c r="E1128" s="25">
        <v>790</v>
      </c>
      <c r="F1128" s="25">
        <v>0</v>
      </c>
      <c r="G1128" s="25">
        <v>0</v>
      </c>
      <c r="H1128" s="25">
        <v>0</v>
      </c>
      <c r="I1128" s="25">
        <v>0</v>
      </c>
    </row>
    <row r="1129" spans="1:9" x14ac:dyDescent="0.25">
      <c r="A1129" s="42" t="s">
        <v>1356</v>
      </c>
      <c r="B1129" s="42" t="s">
        <v>37</v>
      </c>
      <c r="C1129" s="24">
        <v>610208</v>
      </c>
      <c r="D1129" s="20">
        <v>41148</v>
      </c>
      <c r="E1129" s="25">
        <v>85</v>
      </c>
      <c r="F1129" s="25">
        <v>0</v>
      </c>
      <c r="G1129" s="25">
        <v>0</v>
      </c>
      <c r="H1129" s="25">
        <v>0</v>
      </c>
      <c r="I1129" s="25">
        <v>0</v>
      </c>
    </row>
    <row r="1130" spans="1:9" x14ac:dyDescent="0.25">
      <c r="A1130" s="42" t="s">
        <v>1356</v>
      </c>
      <c r="B1130" s="43" t="s">
        <v>39</v>
      </c>
      <c r="C1130" s="24">
        <v>611704</v>
      </c>
      <c r="D1130" s="20">
        <v>41125</v>
      </c>
      <c r="E1130" s="25">
        <v>790</v>
      </c>
      <c r="F1130" s="25">
        <v>0</v>
      </c>
      <c r="G1130" s="25">
        <v>0</v>
      </c>
      <c r="H1130" s="25">
        <v>0</v>
      </c>
      <c r="I1130" s="25">
        <v>0</v>
      </c>
    </row>
    <row r="1131" spans="1:9" x14ac:dyDescent="0.25">
      <c r="A1131" s="42" t="s">
        <v>1356</v>
      </c>
      <c r="B1131" s="42" t="s">
        <v>38</v>
      </c>
      <c r="C1131" s="24">
        <v>610340</v>
      </c>
      <c r="D1131" s="20">
        <v>41138</v>
      </c>
      <c r="E1131" s="25">
        <v>467</v>
      </c>
      <c r="F1131" s="25">
        <v>0</v>
      </c>
      <c r="G1131" s="25">
        <v>0</v>
      </c>
      <c r="H1131" s="25">
        <v>0</v>
      </c>
      <c r="I1131" s="25">
        <v>0</v>
      </c>
    </row>
    <row r="1132" spans="1:9" x14ac:dyDescent="0.25">
      <c r="A1132" s="42" t="s">
        <v>1356</v>
      </c>
      <c r="B1132" s="42" t="s">
        <v>37</v>
      </c>
      <c r="C1132" s="24">
        <v>610208</v>
      </c>
      <c r="D1132" s="20">
        <v>41122</v>
      </c>
      <c r="E1132" s="25">
        <v>85</v>
      </c>
      <c r="F1132" s="25">
        <v>0</v>
      </c>
      <c r="G1132" s="25">
        <v>0</v>
      </c>
      <c r="H1132" s="25">
        <v>0</v>
      </c>
      <c r="I1132" s="25">
        <v>0</v>
      </c>
    </row>
    <row r="1133" spans="1:9" x14ac:dyDescent="0.25">
      <c r="A1133" s="42" t="s">
        <v>1355</v>
      </c>
      <c r="B1133" s="42" t="s">
        <v>35</v>
      </c>
      <c r="C1133" s="24">
        <v>611419</v>
      </c>
      <c r="D1133" s="20">
        <v>41126</v>
      </c>
      <c r="E1133" s="25">
        <v>465</v>
      </c>
      <c r="F1133" s="25">
        <v>0</v>
      </c>
      <c r="G1133" s="25">
        <v>0</v>
      </c>
      <c r="H1133" s="25">
        <v>0</v>
      </c>
      <c r="I1133" s="25">
        <v>0</v>
      </c>
    </row>
    <row r="1134" spans="1:9" x14ac:dyDescent="0.25">
      <c r="A1134" s="42" t="s">
        <v>1356</v>
      </c>
      <c r="B1134" s="43" t="s">
        <v>39</v>
      </c>
      <c r="C1134" s="24">
        <v>611704</v>
      </c>
      <c r="D1134" s="20">
        <v>41137</v>
      </c>
      <c r="E1134" s="25">
        <v>465</v>
      </c>
      <c r="F1134" s="25">
        <v>0</v>
      </c>
      <c r="G1134" s="25">
        <v>0</v>
      </c>
      <c r="H1134" s="25">
        <v>0</v>
      </c>
      <c r="I1134" s="25">
        <v>0</v>
      </c>
    </row>
    <row r="1135" spans="1:9" x14ac:dyDescent="0.25">
      <c r="A1135" s="42" t="s">
        <v>1356</v>
      </c>
      <c r="B1135" s="42" t="s">
        <v>38</v>
      </c>
      <c r="C1135" s="24">
        <v>610340</v>
      </c>
      <c r="D1135" s="20">
        <v>41152</v>
      </c>
      <c r="E1135" s="25">
        <v>790</v>
      </c>
      <c r="F1135" s="25">
        <v>0</v>
      </c>
      <c r="G1135" s="25">
        <v>0</v>
      </c>
      <c r="H1135" s="25">
        <v>0</v>
      </c>
      <c r="I1135" s="25">
        <v>0</v>
      </c>
    </row>
    <row r="1136" spans="1:9" x14ac:dyDescent="0.25">
      <c r="A1136" s="42" t="s">
        <v>1355</v>
      </c>
      <c r="B1136" s="42" t="s">
        <v>36</v>
      </c>
      <c r="C1136" s="24">
        <v>610832</v>
      </c>
      <c r="D1136" s="20">
        <v>41123</v>
      </c>
      <c r="E1136" s="25">
        <v>478</v>
      </c>
      <c r="F1136" s="25">
        <v>12</v>
      </c>
      <c r="G1136" s="25">
        <v>3418</v>
      </c>
      <c r="H1136" s="25">
        <v>0</v>
      </c>
      <c r="I1136" s="25">
        <v>0</v>
      </c>
    </row>
    <row r="1137" spans="1:9" x14ac:dyDescent="0.25">
      <c r="A1137" s="42" t="s">
        <v>1355</v>
      </c>
      <c r="B1137" s="42" t="s">
        <v>35</v>
      </c>
      <c r="C1137" s="24">
        <v>611419</v>
      </c>
      <c r="D1137" s="20">
        <v>41143</v>
      </c>
      <c r="E1137" s="25">
        <v>790</v>
      </c>
      <c r="F1137" s="25">
        <v>0</v>
      </c>
      <c r="G1137" s="25">
        <v>0</v>
      </c>
      <c r="H1137" s="25">
        <v>0</v>
      </c>
      <c r="I1137" s="25">
        <v>0</v>
      </c>
    </row>
    <row r="1138" spans="1:9" x14ac:dyDescent="0.25">
      <c r="A1138" s="42" t="s">
        <v>1355</v>
      </c>
      <c r="B1138" s="42" t="s">
        <v>36</v>
      </c>
      <c r="C1138" s="24">
        <v>610832</v>
      </c>
      <c r="D1138" s="20">
        <v>41152</v>
      </c>
      <c r="E1138" s="25">
        <v>790</v>
      </c>
      <c r="F1138" s="25">
        <v>0</v>
      </c>
      <c r="G1138" s="25">
        <v>0</v>
      </c>
      <c r="H1138" s="25">
        <v>0</v>
      </c>
      <c r="I1138" s="25">
        <v>0</v>
      </c>
    </row>
    <row r="1139" spans="1:9" x14ac:dyDescent="0.25">
      <c r="A1139" s="42" t="s">
        <v>1355</v>
      </c>
      <c r="B1139" s="42" t="s">
        <v>34</v>
      </c>
      <c r="C1139" s="24">
        <v>613447</v>
      </c>
      <c r="D1139" s="20">
        <v>41150</v>
      </c>
      <c r="E1139" s="25">
        <v>790</v>
      </c>
      <c r="F1139" s="25">
        <v>0</v>
      </c>
      <c r="G1139" s="25">
        <v>0</v>
      </c>
      <c r="H1139" s="25">
        <v>0</v>
      </c>
      <c r="I1139" s="25">
        <v>0</v>
      </c>
    </row>
    <row r="1140" spans="1:9" x14ac:dyDescent="0.25">
      <c r="A1140" s="42" t="s">
        <v>1355</v>
      </c>
      <c r="B1140" s="42" t="s">
        <v>35</v>
      </c>
      <c r="C1140" s="24">
        <v>611419</v>
      </c>
      <c r="D1140" s="20">
        <v>41137</v>
      </c>
      <c r="E1140" s="25">
        <v>790</v>
      </c>
      <c r="F1140" s="25">
        <v>0</v>
      </c>
      <c r="G1140" s="25">
        <v>0</v>
      </c>
      <c r="H1140" s="25">
        <v>0</v>
      </c>
      <c r="I1140" s="25">
        <v>0</v>
      </c>
    </row>
    <row r="1141" spans="1:9" x14ac:dyDescent="0.25">
      <c r="A1141" s="42" t="s">
        <v>1356</v>
      </c>
      <c r="B1141" s="42" t="s">
        <v>38</v>
      </c>
      <c r="C1141" s="24">
        <v>610340</v>
      </c>
      <c r="D1141" s="20">
        <v>41147</v>
      </c>
      <c r="E1141" s="25">
        <v>477</v>
      </c>
      <c r="F1141" s="25">
        <v>15</v>
      </c>
      <c r="G1141" s="25">
        <v>3019</v>
      </c>
      <c r="H1141" s="25">
        <v>4</v>
      </c>
      <c r="I1141" s="25">
        <v>0</v>
      </c>
    </row>
    <row r="1142" spans="1:9" x14ac:dyDescent="0.25">
      <c r="A1142" s="42" t="s">
        <v>1355</v>
      </c>
      <c r="B1142" s="42" t="s">
        <v>36</v>
      </c>
      <c r="C1142" s="24">
        <v>610832</v>
      </c>
      <c r="D1142" s="20">
        <v>41139</v>
      </c>
      <c r="E1142" s="25">
        <v>478</v>
      </c>
      <c r="F1142" s="25">
        <v>10</v>
      </c>
      <c r="G1142" s="25">
        <v>3040</v>
      </c>
      <c r="H1142" s="25">
        <v>0</v>
      </c>
      <c r="I1142" s="25">
        <v>0</v>
      </c>
    </row>
    <row r="1143" spans="1:9" x14ac:dyDescent="0.25">
      <c r="A1143" s="42" t="s">
        <v>1356</v>
      </c>
      <c r="B1143" s="42" t="s">
        <v>37</v>
      </c>
      <c r="C1143" s="24">
        <v>610208</v>
      </c>
      <c r="D1143" s="20">
        <v>41144</v>
      </c>
      <c r="E1143" s="25">
        <v>482</v>
      </c>
      <c r="F1143" s="25">
        <v>14</v>
      </c>
      <c r="G1143" s="25">
        <v>3804</v>
      </c>
      <c r="H1143" s="25">
        <v>0</v>
      </c>
      <c r="I1143" s="25">
        <v>0</v>
      </c>
    </row>
    <row r="1144" spans="1:9" x14ac:dyDescent="0.25">
      <c r="A1144" s="42" t="s">
        <v>1356</v>
      </c>
      <c r="B1144" s="42" t="s">
        <v>38</v>
      </c>
      <c r="C1144" s="24">
        <v>610340</v>
      </c>
      <c r="D1144" s="20">
        <v>41141</v>
      </c>
      <c r="E1144" s="25">
        <v>477</v>
      </c>
      <c r="F1144" s="25">
        <v>26</v>
      </c>
      <c r="G1144" s="25">
        <v>5618</v>
      </c>
      <c r="H1144" s="25">
        <v>12</v>
      </c>
      <c r="I1144" s="25">
        <v>0</v>
      </c>
    </row>
    <row r="1145" spans="1:9" x14ac:dyDescent="0.25">
      <c r="A1145" s="42" t="s">
        <v>1355</v>
      </c>
      <c r="B1145" s="42" t="s">
        <v>35</v>
      </c>
      <c r="C1145" s="24">
        <v>611419</v>
      </c>
      <c r="D1145" s="20">
        <v>41152</v>
      </c>
      <c r="E1145" s="25">
        <v>467</v>
      </c>
      <c r="F1145" s="25">
        <v>0</v>
      </c>
      <c r="G1145" s="25">
        <v>0</v>
      </c>
      <c r="H1145" s="25">
        <v>0</v>
      </c>
      <c r="I1145" s="25">
        <v>0</v>
      </c>
    </row>
    <row r="1146" spans="1:9" x14ac:dyDescent="0.25">
      <c r="A1146" s="42" t="s">
        <v>1356</v>
      </c>
      <c r="B1146" s="43" t="s">
        <v>39</v>
      </c>
      <c r="C1146" s="24">
        <v>611704</v>
      </c>
      <c r="D1146" s="20">
        <v>41138</v>
      </c>
      <c r="E1146" s="25">
        <v>480</v>
      </c>
      <c r="F1146" s="25">
        <v>3</v>
      </c>
      <c r="G1146" s="25">
        <v>1036</v>
      </c>
      <c r="H1146" s="25">
        <v>0</v>
      </c>
      <c r="I1146" s="25">
        <v>0</v>
      </c>
    </row>
    <row r="1147" spans="1:9" x14ac:dyDescent="0.25">
      <c r="A1147" s="42" t="s">
        <v>1355</v>
      </c>
      <c r="B1147" s="42" t="s">
        <v>35</v>
      </c>
      <c r="C1147" s="24">
        <v>611419</v>
      </c>
      <c r="D1147" s="20">
        <v>41144</v>
      </c>
      <c r="E1147" s="25">
        <v>790</v>
      </c>
      <c r="F1147" s="25">
        <v>0</v>
      </c>
      <c r="G1147" s="25">
        <v>0</v>
      </c>
      <c r="H1147" s="25">
        <v>0</v>
      </c>
      <c r="I1147" s="25">
        <v>0</v>
      </c>
    </row>
    <row r="1148" spans="1:9" x14ac:dyDescent="0.25">
      <c r="A1148" s="42" t="s">
        <v>1356</v>
      </c>
      <c r="B1148" s="42" t="s">
        <v>38</v>
      </c>
      <c r="C1148" s="24">
        <v>610340</v>
      </c>
      <c r="D1148" s="20">
        <v>41151</v>
      </c>
      <c r="E1148" s="25">
        <v>482</v>
      </c>
      <c r="F1148" s="25">
        <v>11</v>
      </c>
      <c r="G1148" s="25">
        <v>3129</v>
      </c>
      <c r="H1148" s="25">
        <v>0</v>
      </c>
      <c r="I1148" s="25">
        <v>0</v>
      </c>
    </row>
    <row r="1149" spans="1:9" x14ac:dyDescent="0.25">
      <c r="A1149" s="42" t="s">
        <v>1356</v>
      </c>
      <c r="B1149" s="42" t="s">
        <v>37</v>
      </c>
      <c r="C1149" s="24">
        <v>610208</v>
      </c>
      <c r="D1149" s="20">
        <v>41151</v>
      </c>
      <c r="E1149" s="25">
        <v>476</v>
      </c>
      <c r="F1149" s="25">
        <v>37</v>
      </c>
      <c r="G1149" s="25">
        <v>9797</v>
      </c>
      <c r="H1149" s="25">
        <v>39</v>
      </c>
      <c r="I1149" s="25">
        <v>0</v>
      </c>
    </row>
    <row r="1150" spans="1:9" x14ac:dyDescent="0.25">
      <c r="A1150" s="42" t="s">
        <v>1355</v>
      </c>
      <c r="B1150" s="42" t="s">
        <v>34</v>
      </c>
      <c r="C1150" s="24">
        <v>613447</v>
      </c>
      <c r="D1150" s="20">
        <v>41150</v>
      </c>
      <c r="E1150" s="25">
        <v>482</v>
      </c>
      <c r="F1150" s="25">
        <v>4</v>
      </c>
      <c r="G1150" s="25">
        <v>1055</v>
      </c>
      <c r="H1150" s="25">
        <v>0</v>
      </c>
      <c r="I1150" s="25">
        <v>0</v>
      </c>
    </row>
    <row r="1151" spans="1:9" x14ac:dyDescent="0.25">
      <c r="A1151" s="42" t="s">
        <v>1356</v>
      </c>
      <c r="B1151" s="42" t="s">
        <v>38</v>
      </c>
      <c r="C1151" s="24">
        <v>610340</v>
      </c>
      <c r="D1151" s="20">
        <v>41126</v>
      </c>
      <c r="E1151" s="25">
        <v>85</v>
      </c>
      <c r="F1151" s="25">
        <v>0</v>
      </c>
      <c r="G1151" s="25">
        <v>0</v>
      </c>
      <c r="H1151" s="25">
        <v>0</v>
      </c>
      <c r="I1151" s="25">
        <v>0</v>
      </c>
    </row>
    <row r="1152" spans="1:9" x14ac:dyDescent="0.25">
      <c r="A1152" s="42" t="s">
        <v>1355</v>
      </c>
      <c r="B1152" s="42" t="s">
        <v>36</v>
      </c>
      <c r="C1152" s="24">
        <v>610832</v>
      </c>
      <c r="D1152" s="20">
        <v>41124</v>
      </c>
      <c r="E1152" s="25">
        <v>477</v>
      </c>
      <c r="F1152" s="25">
        <v>29</v>
      </c>
      <c r="G1152" s="25">
        <v>10897</v>
      </c>
      <c r="H1152" s="25">
        <v>2</v>
      </c>
      <c r="I1152" s="25">
        <v>22</v>
      </c>
    </row>
    <row r="1153" spans="1:9" x14ac:dyDescent="0.25">
      <c r="A1153" s="42" t="s">
        <v>1356</v>
      </c>
      <c r="B1153" s="42" t="s">
        <v>38</v>
      </c>
      <c r="C1153" s="24">
        <v>610340</v>
      </c>
      <c r="D1153" s="20">
        <v>41128</v>
      </c>
      <c r="E1153" s="25">
        <v>478</v>
      </c>
      <c r="F1153" s="25">
        <v>2</v>
      </c>
      <c r="G1153" s="25">
        <v>837</v>
      </c>
      <c r="H1153" s="25">
        <v>0</v>
      </c>
      <c r="I1153" s="25">
        <v>0</v>
      </c>
    </row>
    <row r="1154" spans="1:9" x14ac:dyDescent="0.25">
      <c r="A1154" s="42" t="s">
        <v>1355</v>
      </c>
      <c r="B1154" s="42" t="s">
        <v>35</v>
      </c>
      <c r="C1154" s="24">
        <v>611419</v>
      </c>
      <c r="D1154" s="20">
        <v>41151</v>
      </c>
      <c r="E1154" s="25">
        <v>466</v>
      </c>
      <c r="F1154" s="25">
        <v>32</v>
      </c>
      <c r="G1154" s="25">
        <v>7171</v>
      </c>
      <c r="H1154" s="25">
        <v>4</v>
      </c>
      <c r="I1154" s="25">
        <v>1111</v>
      </c>
    </row>
    <row r="1155" spans="1:9" x14ac:dyDescent="0.25">
      <c r="A1155" s="42" t="s">
        <v>1355</v>
      </c>
      <c r="B1155" s="42" t="s">
        <v>36</v>
      </c>
      <c r="C1155" s="24">
        <v>610832</v>
      </c>
      <c r="D1155" s="20">
        <v>41151</v>
      </c>
      <c r="E1155" s="25">
        <v>85</v>
      </c>
      <c r="F1155" s="25">
        <v>0</v>
      </c>
      <c r="G1155" s="25">
        <v>0</v>
      </c>
      <c r="H1155" s="25">
        <v>0</v>
      </c>
      <c r="I1155" s="25">
        <v>0</v>
      </c>
    </row>
    <row r="1156" spans="1:9" x14ac:dyDescent="0.25">
      <c r="A1156" s="42" t="s">
        <v>1356</v>
      </c>
      <c r="B1156" s="42" t="s">
        <v>38</v>
      </c>
      <c r="C1156" s="24">
        <v>610340</v>
      </c>
      <c r="D1156" s="20">
        <v>41139</v>
      </c>
      <c r="E1156" s="25">
        <v>481</v>
      </c>
      <c r="F1156" s="25">
        <v>0</v>
      </c>
      <c r="G1156" s="25">
        <v>0</v>
      </c>
      <c r="H1156" s="25">
        <v>0</v>
      </c>
      <c r="I1156" s="25">
        <v>0</v>
      </c>
    </row>
    <row r="1157" spans="1:9" x14ac:dyDescent="0.25">
      <c r="A1157" s="42" t="s">
        <v>1355</v>
      </c>
      <c r="B1157" s="42" t="s">
        <v>34</v>
      </c>
      <c r="C1157" s="24">
        <v>613447</v>
      </c>
      <c r="D1157" s="20">
        <v>41138</v>
      </c>
      <c r="E1157" s="25">
        <v>790</v>
      </c>
      <c r="F1157" s="25">
        <v>0</v>
      </c>
      <c r="G1157" s="25">
        <v>0</v>
      </c>
      <c r="H1157" s="25">
        <v>0</v>
      </c>
      <c r="I1157" s="25">
        <v>0</v>
      </c>
    </row>
    <row r="1158" spans="1:9" x14ac:dyDescent="0.25">
      <c r="A1158" s="42" t="s">
        <v>1356</v>
      </c>
      <c r="B1158" s="42" t="s">
        <v>37</v>
      </c>
      <c r="C1158" s="24">
        <v>610208</v>
      </c>
      <c r="D1158" s="20">
        <v>41136</v>
      </c>
      <c r="E1158" s="25">
        <v>465</v>
      </c>
      <c r="F1158" s="25">
        <v>0</v>
      </c>
      <c r="G1158" s="25">
        <v>0</v>
      </c>
      <c r="H1158" s="25">
        <v>0</v>
      </c>
      <c r="I1158" s="25">
        <v>0</v>
      </c>
    </row>
    <row r="1159" spans="1:9" x14ac:dyDescent="0.25">
      <c r="A1159" s="42" t="s">
        <v>1356</v>
      </c>
      <c r="B1159" s="43" t="s">
        <v>39</v>
      </c>
      <c r="C1159" s="24">
        <v>611704</v>
      </c>
      <c r="D1159" s="20">
        <v>41131</v>
      </c>
      <c r="E1159" s="25">
        <v>478</v>
      </c>
      <c r="F1159" s="25">
        <v>1</v>
      </c>
      <c r="G1159" s="25">
        <v>248</v>
      </c>
      <c r="H1159" s="25">
        <v>0</v>
      </c>
      <c r="I1159" s="25">
        <v>0</v>
      </c>
    </row>
    <row r="1160" spans="1:9" x14ac:dyDescent="0.25">
      <c r="A1160" s="42" t="s">
        <v>1355</v>
      </c>
      <c r="B1160" s="42" t="s">
        <v>34</v>
      </c>
      <c r="C1160" s="24">
        <v>613447</v>
      </c>
      <c r="D1160" s="20">
        <v>41135</v>
      </c>
      <c r="E1160" s="25">
        <v>467</v>
      </c>
      <c r="F1160" s="25">
        <v>0</v>
      </c>
      <c r="G1160" s="25">
        <v>0</v>
      </c>
      <c r="H1160" s="25">
        <v>0</v>
      </c>
      <c r="I1160" s="25">
        <v>0</v>
      </c>
    </row>
    <row r="1161" spans="1:9" x14ac:dyDescent="0.25">
      <c r="A1161" s="42" t="s">
        <v>1356</v>
      </c>
      <c r="B1161" s="42" t="s">
        <v>37</v>
      </c>
      <c r="C1161" s="24">
        <v>610208</v>
      </c>
      <c r="D1161" s="20">
        <v>41137</v>
      </c>
      <c r="E1161" s="25">
        <v>481</v>
      </c>
      <c r="F1161" s="25">
        <v>0</v>
      </c>
      <c r="G1161" s="25">
        <v>0</v>
      </c>
      <c r="H1161" s="25">
        <v>0</v>
      </c>
      <c r="I1161" s="25">
        <v>0</v>
      </c>
    </row>
    <row r="1162" spans="1:9" x14ac:dyDescent="0.25">
      <c r="A1162" s="42" t="s">
        <v>1355</v>
      </c>
      <c r="B1162" s="42" t="s">
        <v>36</v>
      </c>
      <c r="C1162" s="24">
        <v>610832</v>
      </c>
      <c r="D1162" s="20">
        <v>41123</v>
      </c>
      <c r="E1162" s="25">
        <v>790</v>
      </c>
      <c r="F1162" s="25">
        <v>0</v>
      </c>
      <c r="G1162" s="25">
        <v>0</v>
      </c>
      <c r="H1162" s="25">
        <v>0</v>
      </c>
      <c r="I1162" s="25">
        <v>0</v>
      </c>
    </row>
    <row r="1163" spans="1:9" x14ac:dyDescent="0.25">
      <c r="A1163" s="42" t="s">
        <v>1356</v>
      </c>
      <c r="B1163" s="42" t="s">
        <v>38</v>
      </c>
      <c r="C1163" s="24">
        <v>610340</v>
      </c>
      <c r="D1163" s="20">
        <v>41151</v>
      </c>
      <c r="E1163" s="25">
        <v>480</v>
      </c>
      <c r="F1163" s="25">
        <v>1</v>
      </c>
      <c r="G1163" s="25">
        <v>211</v>
      </c>
      <c r="H1163" s="25">
        <v>0</v>
      </c>
      <c r="I1163" s="25">
        <v>0</v>
      </c>
    </row>
    <row r="1164" spans="1:9" x14ac:dyDescent="0.25">
      <c r="A1164" s="42" t="s">
        <v>1355</v>
      </c>
      <c r="B1164" s="42" t="s">
        <v>36</v>
      </c>
      <c r="C1164" s="24">
        <v>610832</v>
      </c>
      <c r="D1164" s="20">
        <v>41135</v>
      </c>
      <c r="E1164" s="25">
        <v>467</v>
      </c>
      <c r="F1164" s="25">
        <v>0</v>
      </c>
      <c r="G1164" s="25">
        <v>0</v>
      </c>
      <c r="H1164" s="25">
        <v>0</v>
      </c>
      <c r="I1164" s="25">
        <v>0</v>
      </c>
    </row>
    <row r="1165" spans="1:9" x14ac:dyDescent="0.25">
      <c r="A1165" s="42" t="s">
        <v>1355</v>
      </c>
      <c r="B1165" s="42" t="s">
        <v>36</v>
      </c>
      <c r="C1165" s="24">
        <v>610832</v>
      </c>
      <c r="D1165" s="20">
        <v>41127</v>
      </c>
      <c r="E1165" s="25">
        <v>477</v>
      </c>
      <c r="F1165" s="25">
        <v>33</v>
      </c>
      <c r="G1165" s="25">
        <v>13562</v>
      </c>
      <c r="H1165" s="25">
        <v>9</v>
      </c>
      <c r="I1165" s="25">
        <v>0</v>
      </c>
    </row>
    <row r="1166" spans="1:9" x14ac:dyDescent="0.25">
      <c r="A1166" s="42" t="s">
        <v>1355</v>
      </c>
      <c r="B1166" s="42" t="s">
        <v>36</v>
      </c>
      <c r="C1166" s="24">
        <v>610832</v>
      </c>
      <c r="D1166" s="20">
        <v>41142</v>
      </c>
      <c r="E1166" s="25">
        <v>465</v>
      </c>
      <c r="F1166" s="25">
        <v>0</v>
      </c>
      <c r="G1166" s="25">
        <v>0</v>
      </c>
      <c r="H1166" s="25">
        <v>0</v>
      </c>
      <c r="I1166" s="25">
        <v>0</v>
      </c>
    </row>
    <row r="1167" spans="1:9" x14ac:dyDescent="0.25">
      <c r="A1167" s="42" t="s">
        <v>1355</v>
      </c>
      <c r="B1167" s="42" t="s">
        <v>35</v>
      </c>
      <c r="C1167" s="24">
        <v>611419</v>
      </c>
      <c r="D1167" s="20">
        <v>41140</v>
      </c>
      <c r="E1167" s="25">
        <v>477</v>
      </c>
      <c r="F1167" s="25">
        <v>17</v>
      </c>
      <c r="G1167" s="25">
        <v>4141</v>
      </c>
      <c r="H1167" s="25">
        <v>24</v>
      </c>
      <c r="I1167" s="25">
        <v>0</v>
      </c>
    </row>
    <row r="1168" spans="1:9" x14ac:dyDescent="0.25">
      <c r="A1168" s="42" t="s">
        <v>1356</v>
      </c>
      <c r="B1168" s="43" t="s">
        <v>39</v>
      </c>
      <c r="C1168" s="24">
        <v>611704</v>
      </c>
      <c r="D1168" s="20">
        <v>41151</v>
      </c>
      <c r="E1168" s="25">
        <v>467</v>
      </c>
      <c r="F1168" s="25">
        <v>0</v>
      </c>
      <c r="G1168" s="25">
        <v>0</v>
      </c>
      <c r="H1168" s="25">
        <v>0</v>
      </c>
      <c r="I1168" s="25">
        <v>0</v>
      </c>
    </row>
    <row r="1169" spans="1:9" x14ac:dyDescent="0.25">
      <c r="A1169" s="42" t="s">
        <v>1355</v>
      </c>
      <c r="B1169" s="42" t="s">
        <v>34</v>
      </c>
      <c r="C1169" s="24">
        <v>613447</v>
      </c>
      <c r="D1169" s="20">
        <v>41122</v>
      </c>
      <c r="E1169" s="25">
        <v>478</v>
      </c>
      <c r="F1169" s="25">
        <v>8</v>
      </c>
      <c r="G1169" s="25">
        <v>3290</v>
      </c>
      <c r="H1169" s="25">
        <v>0</v>
      </c>
      <c r="I1169" s="25">
        <v>60</v>
      </c>
    </row>
    <row r="1170" spans="1:9" x14ac:dyDescent="0.25">
      <c r="A1170" s="42" t="s">
        <v>1356</v>
      </c>
      <c r="B1170" s="42" t="s">
        <v>37</v>
      </c>
      <c r="C1170" s="24">
        <v>610208</v>
      </c>
      <c r="D1170" s="20">
        <v>41152</v>
      </c>
      <c r="E1170" s="25">
        <v>474</v>
      </c>
      <c r="F1170" s="25">
        <v>26</v>
      </c>
      <c r="G1170" s="25">
        <v>6460</v>
      </c>
      <c r="H1170" s="25">
        <v>0</v>
      </c>
      <c r="I1170" s="25">
        <v>0</v>
      </c>
    </row>
    <row r="1171" spans="1:9" x14ac:dyDescent="0.25">
      <c r="A1171" s="42" t="s">
        <v>1355</v>
      </c>
      <c r="B1171" s="42" t="s">
        <v>36</v>
      </c>
      <c r="C1171" s="24">
        <v>610832</v>
      </c>
      <c r="D1171" s="20">
        <v>41122</v>
      </c>
      <c r="E1171" s="25">
        <v>478</v>
      </c>
      <c r="F1171" s="25">
        <v>9</v>
      </c>
      <c r="G1171" s="25">
        <v>2834</v>
      </c>
      <c r="H1171" s="25">
        <v>0</v>
      </c>
      <c r="I1171" s="25">
        <v>0</v>
      </c>
    </row>
    <row r="1172" spans="1:9" x14ac:dyDescent="0.25">
      <c r="A1172" s="42" t="s">
        <v>1355</v>
      </c>
      <c r="B1172" s="42" t="s">
        <v>35</v>
      </c>
      <c r="C1172" s="24">
        <v>611419</v>
      </c>
      <c r="D1172" s="20">
        <v>41128</v>
      </c>
      <c r="E1172" s="25">
        <v>478</v>
      </c>
      <c r="F1172" s="25">
        <v>4</v>
      </c>
      <c r="G1172" s="25">
        <v>371</v>
      </c>
      <c r="H1172" s="25">
        <v>1</v>
      </c>
      <c r="I1172" s="25">
        <v>0</v>
      </c>
    </row>
    <row r="1173" spans="1:9" x14ac:dyDescent="0.25">
      <c r="A1173" s="42" t="s">
        <v>1355</v>
      </c>
      <c r="B1173" s="42" t="s">
        <v>35</v>
      </c>
      <c r="C1173" s="24">
        <v>611419</v>
      </c>
      <c r="D1173" s="20">
        <v>41146</v>
      </c>
      <c r="E1173" s="25">
        <v>790</v>
      </c>
      <c r="F1173" s="25">
        <v>0</v>
      </c>
      <c r="G1173" s="25">
        <v>0</v>
      </c>
      <c r="H1173" s="25">
        <v>0</v>
      </c>
      <c r="I1173" s="25">
        <v>0</v>
      </c>
    </row>
    <row r="1174" spans="1:9" x14ac:dyDescent="0.25">
      <c r="A1174" s="42" t="s">
        <v>1356</v>
      </c>
      <c r="B1174" s="42" t="s">
        <v>37</v>
      </c>
      <c r="C1174" s="24">
        <v>610208</v>
      </c>
      <c r="D1174" s="20">
        <v>41144</v>
      </c>
      <c r="E1174" s="25">
        <v>467</v>
      </c>
      <c r="F1174" s="25">
        <v>0</v>
      </c>
      <c r="G1174" s="25">
        <v>0</v>
      </c>
      <c r="H1174" s="25">
        <v>0</v>
      </c>
      <c r="I1174" s="25">
        <v>0</v>
      </c>
    </row>
    <row r="1175" spans="1:9" x14ac:dyDescent="0.25">
      <c r="A1175" s="42" t="s">
        <v>1355</v>
      </c>
      <c r="B1175" s="42" t="s">
        <v>34</v>
      </c>
      <c r="C1175" s="24">
        <v>613447</v>
      </c>
      <c r="D1175" s="20">
        <v>41145</v>
      </c>
      <c r="E1175" s="25">
        <v>478</v>
      </c>
      <c r="F1175" s="25">
        <v>1</v>
      </c>
      <c r="G1175" s="25">
        <v>219</v>
      </c>
      <c r="H1175" s="25">
        <v>0</v>
      </c>
      <c r="I1175" s="25">
        <v>0</v>
      </c>
    </row>
    <row r="1176" spans="1:9" x14ac:dyDescent="0.25">
      <c r="A1176" s="42" t="s">
        <v>1355</v>
      </c>
      <c r="B1176" s="42" t="s">
        <v>35</v>
      </c>
      <c r="C1176" s="24">
        <v>611419</v>
      </c>
      <c r="D1176" s="20">
        <v>41126</v>
      </c>
      <c r="E1176" s="25">
        <v>478</v>
      </c>
      <c r="F1176" s="25">
        <v>1</v>
      </c>
      <c r="G1176" s="25">
        <v>174</v>
      </c>
      <c r="H1176" s="25">
        <v>0</v>
      </c>
      <c r="I1176" s="25">
        <v>0</v>
      </c>
    </row>
    <row r="1177" spans="1:9" x14ac:dyDescent="0.25">
      <c r="A1177" s="42" t="s">
        <v>1356</v>
      </c>
      <c r="B1177" s="43" t="s">
        <v>39</v>
      </c>
      <c r="C1177" s="24">
        <v>611704</v>
      </c>
      <c r="D1177" s="20">
        <v>41149</v>
      </c>
      <c r="E1177" s="25">
        <v>465</v>
      </c>
      <c r="F1177" s="25">
        <v>0</v>
      </c>
      <c r="G1177" s="25">
        <v>0</v>
      </c>
      <c r="H1177" s="25">
        <v>0</v>
      </c>
      <c r="I1177" s="25">
        <v>0</v>
      </c>
    </row>
    <row r="1178" spans="1:9" x14ac:dyDescent="0.25">
      <c r="A1178" s="42" t="s">
        <v>1356</v>
      </c>
      <c r="B1178" s="43" t="s">
        <v>39</v>
      </c>
      <c r="C1178" s="24">
        <v>611704</v>
      </c>
      <c r="D1178" s="20">
        <v>41144</v>
      </c>
      <c r="E1178" s="25">
        <v>477</v>
      </c>
      <c r="F1178" s="25">
        <v>14</v>
      </c>
      <c r="G1178" s="25">
        <v>4383</v>
      </c>
      <c r="H1178" s="25">
        <v>0</v>
      </c>
      <c r="I1178" s="25">
        <v>4</v>
      </c>
    </row>
    <row r="1179" spans="1:9" x14ac:dyDescent="0.25">
      <c r="A1179" s="42" t="s">
        <v>1355</v>
      </c>
      <c r="B1179" s="42" t="s">
        <v>34</v>
      </c>
      <c r="C1179" s="24">
        <v>613447</v>
      </c>
      <c r="D1179" s="20">
        <v>41141</v>
      </c>
      <c r="E1179" s="25">
        <v>482</v>
      </c>
      <c r="F1179" s="25">
        <v>5</v>
      </c>
      <c r="G1179" s="25">
        <v>1760</v>
      </c>
      <c r="H1179" s="25">
        <v>2</v>
      </c>
      <c r="I1179" s="25">
        <v>34</v>
      </c>
    </row>
    <row r="1180" spans="1:9" x14ac:dyDescent="0.25">
      <c r="A1180" s="42" t="s">
        <v>1355</v>
      </c>
      <c r="B1180" s="42" t="s">
        <v>36</v>
      </c>
      <c r="C1180" s="24">
        <v>610832</v>
      </c>
      <c r="D1180" s="20">
        <v>41138</v>
      </c>
      <c r="E1180" s="25">
        <v>467</v>
      </c>
      <c r="F1180" s="25">
        <v>0</v>
      </c>
      <c r="G1180" s="25">
        <v>0</v>
      </c>
      <c r="H1180" s="25">
        <v>0</v>
      </c>
      <c r="I1180" s="25">
        <v>0</v>
      </c>
    </row>
    <row r="1181" spans="1:9" x14ac:dyDescent="0.25">
      <c r="A1181" s="42" t="s">
        <v>1355</v>
      </c>
      <c r="B1181" s="42" t="s">
        <v>36</v>
      </c>
      <c r="C1181" s="24">
        <v>610832</v>
      </c>
      <c r="D1181" s="20">
        <v>41144</v>
      </c>
      <c r="E1181" s="25">
        <v>481</v>
      </c>
      <c r="F1181" s="25">
        <v>0</v>
      </c>
      <c r="G1181" s="25">
        <v>0</v>
      </c>
      <c r="H1181" s="25">
        <v>0</v>
      </c>
      <c r="I1181" s="25">
        <v>0</v>
      </c>
    </row>
    <row r="1182" spans="1:9" x14ac:dyDescent="0.25">
      <c r="A1182" s="42" t="s">
        <v>1355</v>
      </c>
      <c r="B1182" s="42" t="s">
        <v>35</v>
      </c>
      <c r="C1182" s="24">
        <v>611419</v>
      </c>
      <c r="D1182" s="20">
        <v>41149</v>
      </c>
      <c r="E1182" s="25">
        <v>465</v>
      </c>
      <c r="F1182" s="25">
        <v>0</v>
      </c>
      <c r="G1182" s="25">
        <v>0</v>
      </c>
      <c r="H1182" s="25">
        <v>0</v>
      </c>
      <c r="I1182" s="25">
        <v>0</v>
      </c>
    </row>
    <row r="1183" spans="1:9" x14ac:dyDescent="0.25">
      <c r="A1183" s="42" t="s">
        <v>1355</v>
      </c>
      <c r="B1183" s="42" t="s">
        <v>35</v>
      </c>
      <c r="C1183" s="24">
        <v>611419</v>
      </c>
      <c r="D1183" s="20">
        <v>41138</v>
      </c>
      <c r="E1183" s="25">
        <v>478</v>
      </c>
      <c r="F1183" s="25">
        <v>0</v>
      </c>
      <c r="G1183" s="25">
        <v>0</v>
      </c>
      <c r="H1183" s="25">
        <v>0</v>
      </c>
      <c r="I1183" s="25">
        <v>0</v>
      </c>
    </row>
    <row r="1184" spans="1:9" x14ac:dyDescent="0.25">
      <c r="A1184" s="42" t="s">
        <v>1356</v>
      </c>
      <c r="B1184" s="42" t="s">
        <v>38</v>
      </c>
      <c r="C1184" s="24">
        <v>610340</v>
      </c>
      <c r="D1184" s="20">
        <v>41148</v>
      </c>
      <c r="E1184" s="25">
        <v>467</v>
      </c>
      <c r="F1184" s="25">
        <v>0</v>
      </c>
      <c r="G1184" s="25">
        <v>0</v>
      </c>
      <c r="H1184" s="25">
        <v>0</v>
      </c>
      <c r="I1184" s="25">
        <v>0</v>
      </c>
    </row>
    <row r="1185" spans="1:9" x14ac:dyDescent="0.25">
      <c r="A1185" s="42" t="s">
        <v>1355</v>
      </c>
      <c r="B1185" s="42" t="s">
        <v>35</v>
      </c>
      <c r="C1185" s="24">
        <v>611419</v>
      </c>
      <c r="D1185" s="20">
        <v>41152</v>
      </c>
      <c r="E1185" s="25">
        <v>477</v>
      </c>
      <c r="F1185" s="25">
        <v>11</v>
      </c>
      <c r="G1185" s="25">
        <v>3000</v>
      </c>
      <c r="H1185" s="25">
        <v>0</v>
      </c>
      <c r="I1185" s="25">
        <v>0</v>
      </c>
    </row>
    <row r="1186" spans="1:9" x14ac:dyDescent="0.25">
      <c r="A1186" s="42" t="s">
        <v>1356</v>
      </c>
      <c r="B1186" s="42" t="s">
        <v>37</v>
      </c>
      <c r="C1186" s="24">
        <v>610208</v>
      </c>
      <c r="D1186" s="20">
        <v>41133</v>
      </c>
      <c r="E1186" s="25">
        <v>481</v>
      </c>
      <c r="F1186" s="25">
        <v>0</v>
      </c>
      <c r="G1186" s="25">
        <v>0</v>
      </c>
      <c r="H1186" s="25">
        <v>0</v>
      </c>
      <c r="I1186" s="25">
        <v>0</v>
      </c>
    </row>
    <row r="1187" spans="1:9" x14ac:dyDescent="0.25">
      <c r="A1187" s="42" t="s">
        <v>1355</v>
      </c>
      <c r="B1187" s="42" t="s">
        <v>35</v>
      </c>
      <c r="C1187" s="24">
        <v>611419</v>
      </c>
      <c r="D1187" s="20">
        <v>41143</v>
      </c>
      <c r="E1187" s="25">
        <v>466</v>
      </c>
      <c r="F1187" s="25">
        <v>21</v>
      </c>
      <c r="G1187" s="25">
        <v>4506</v>
      </c>
      <c r="H1187" s="25">
        <v>4</v>
      </c>
      <c r="I1187" s="25">
        <v>1797</v>
      </c>
    </row>
    <row r="1188" spans="1:9" x14ac:dyDescent="0.25">
      <c r="A1188" s="42" t="s">
        <v>1356</v>
      </c>
      <c r="B1188" s="42" t="s">
        <v>38</v>
      </c>
      <c r="C1188" s="24">
        <v>610340</v>
      </c>
      <c r="D1188" s="20">
        <v>41126</v>
      </c>
      <c r="E1188" s="25">
        <v>790</v>
      </c>
      <c r="F1188" s="25">
        <v>0</v>
      </c>
      <c r="G1188" s="25">
        <v>0</v>
      </c>
      <c r="H1188" s="25">
        <v>0</v>
      </c>
      <c r="I1188" s="25">
        <v>0</v>
      </c>
    </row>
    <row r="1189" spans="1:9" x14ac:dyDescent="0.25">
      <c r="A1189" s="42" t="s">
        <v>1355</v>
      </c>
      <c r="B1189" s="42" t="s">
        <v>35</v>
      </c>
      <c r="C1189" s="24">
        <v>611419</v>
      </c>
      <c r="D1189" s="20">
        <v>41144</v>
      </c>
      <c r="E1189" s="25">
        <v>478</v>
      </c>
      <c r="F1189" s="25">
        <v>1</v>
      </c>
      <c r="G1189" s="25">
        <v>191</v>
      </c>
      <c r="H1189" s="25">
        <v>0</v>
      </c>
      <c r="I1189" s="25">
        <v>158</v>
      </c>
    </row>
    <row r="1190" spans="1:9" x14ac:dyDescent="0.25">
      <c r="A1190" s="42" t="s">
        <v>1355</v>
      </c>
      <c r="B1190" s="42" t="s">
        <v>35</v>
      </c>
      <c r="C1190" s="24">
        <v>611419</v>
      </c>
      <c r="D1190" s="20">
        <v>41142</v>
      </c>
      <c r="E1190" s="25">
        <v>480</v>
      </c>
      <c r="F1190" s="25">
        <v>4</v>
      </c>
      <c r="G1190" s="25">
        <v>1564</v>
      </c>
      <c r="H1190" s="25">
        <v>0</v>
      </c>
      <c r="I1190" s="25">
        <v>41</v>
      </c>
    </row>
    <row r="1191" spans="1:9" x14ac:dyDescent="0.25">
      <c r="A1191" s="42" t="s">
        <v>1355</v>
      </c>
      <c r="B1191" s="42" t="s">
        <v>34</v>
      </c>
      <c r="C1191" s="24">
        <v>613447</v>
      </c>
      <c r="D1191" s="20">
        <v>41135</v>
      </c>
      <c r="E1191" s="25">
        <v>478</v>
      </c>
      <c r="F1191" s="25">
        <v>38</v>
      </c>
      <c r="G1191" s="25">
        <v>12243</v>
      </c>
      <c r="H1191" s="25">
        <v>7</v>
      </c>
      <c r="I1191" s="25">
        <v>360</v>
      </c>
    </row>
    <row r="1192" spans="1:9" x14ac:dyDescent="0.25">
      <c r="A1192" s="42" t="s">
        <v>1355</v>
      </c>
      <c r="B1192" s="42" t="s">
        <v>35</v>
      </c>
      <c r="C1192" s="24">
        <v>611419</v>
      </c>
      <c r="D1192" s="20">
        <v>41146</v>
      </c>
      <c r="E1192" s="25">
        <v>480</v>
      </c>
      <c r="F1192" s="25">
        <v>7</v>
      </c>
      <c r="G1192" s="25">
        <v>1291</v>
      </c>
      <c r="H1192" s="25">
        <v>12</v>
      </c>
      <c r="I1192" s="25">
        <v>12</v>
      </c>
    </row>
    <row r="1193" spans="1:9" x14ac:dyDescent="0.25">
      <c r="A1193" s="42" t="s">
        <v>1356</v>
      </c>
      <c r="B1193" s="42" t="s">
        <v>38</v>
      </c>
      <c r="C1193" s="24">
        <v>610340</v>
      </c>
      <c r="D1193" s="20">
        <v>41124</v>
      </c>
      <c r="E1193" s="25">
        <v>85</v>
      </c>
      <c r="F1193" s="25">
        <v>0</v>
      </c>
      <c r="G1193" s="25">
        <v>0</v>
      </c>
      <c r="H1193" s="25">
        <v>0</v>
      </c>
      <c r="I1193" s="25">
        <v>0</v>
      </c>
    </row>
    <row r="1194" spans="1:9" x14ac:dyDescent="0.25">
      <c r="A1194" s="42" t="s">
        <v>1355</v>
      </c>
      <c r="B1194" s="42" t="s">
        <v>34</v>
      </c>
      <c r="C1194" s="24">
        <v>613447</v>
      </c>
      <c r="D1194" s="20">
        <v>41142</v>
      </c>
      <c r="E1194" s="25">
        <v>467</v>
      </c>
      <c r="F1194" s="25">
        <v>0</v>
      </c>
      <c r="G1194" s="25">
        <v>0</v>
      </c>
      <c r="H1194" s="25">
        <v>0</v>
      </c>
      <c r="I1194" s="25">
        <v>0</v>
      </c>
    </row>
    <row r="1195" spans="1:9" x14ac:dyDescent="0.25">
      <c r="A1195" s="42" t="s">
        <v>1355</v>
      </c>
      <c r="B1195" s="42" t="s">
        <v>35</v>
      </c>
      <c r="C1195" s="24">
        <v>611419</v>
      </c>
      <c r="D1195" s="20">
        <v>41148</v>
      </c>
      <c r="E1195" s="25">
        <v>480</v>
      </c>
      <c r="F1195" s="25">
        <v>8</v>
      </c>
      <c r="G1195" s="25">
        <v>1997</v>
      </c>
      <c r="H1195" s="25">
        <v>23</v>
      </c>
      <c r="I1195" s="25">
        <v>71</v>
      </c>
    </row>
    <row r="1196" spans="1:9" x14ac:dyDescent="0.25">
      <c r="A1196" s="42" t="s">
        <v>1355</v>
      </c>
      <c r="B1196" s="42" t="s">
        <v>35</v>
      </c>
      <c r="C1196" s="24">
        <v>611419</v>
      </c>
      <c r="D1196" s="20">
        <v>41122</v>
      </c>
      <c r="E1196" s="25">
        <v>790</v>
      </c>
      <c r="F1196" s="25">
        <v>0</v>
      </c>
      <c r="G1196" s="25">
        <v>0</v>
      </c>
      <c r="H1196" s="25">
        <v>0</v>
      </c>
      <c r="I1196" s="25">
        <v>0</v>
      </c>
    </row>
    <row r="1197" spans="1:9" x14ac:dyDescent="0.25">
      <c r="A1197" s="42" t="s">
        <v>1355</v>
      </c>
      <c r="B1197" s="42" t="s">
        <v>34</v>
      </c>
      <c r="C1197" s="24">
        <v>613447</v>
      </c>
      <c r="D1197" s="20">
        <v>41128</v>
      </c>
      <c r="E1197" s="25">
        <v>481</v>
      </c>
      <c r="F1197" s="25">
        <v>9</v>
      </c>
      <c r="G1197" s="25">
        <v>2386</v>
      </c>
      <c r="H1197" s="25">
        <v>0</v>
      </c>
      <c r="I1197" s="25">
        <v>61</v>
      </c>
    </row>
    <row r="1198" spans="1:9" x14ac:dyDescent="0.25">
      <c r="A1198" s="42" t="s">
        <v>1355</v>
      </c>
      <c r="B1198" s="42" t="s">
        <v>36</v>
      </c>
      <c r="C1198" s="24">
        <v>610832</v>
      </c>
      <c r="D1198" s="20">
        <v>41145</v>
      </c>
      <c r="E1198" s="25">
        <v>478</v>
      </c>
      <c r="F1198" s="25">
        <v>0</v>
      </c>
      <c r="G1198" s="25">
        <v>0</v>
      </c>
      <c r="H1198" s="25">
        <v>0</v>
      </c>
      <c r="I1198" s="25">
        <v>0</v>
      </c>
    </row>
    <row r="1199" spans="1:9" x14ac:dyDescent="0.25">
      <c r="A1199" s="42" t="s">
        <v>1355</v>
      </c>
      <c r="B1199" s="42" t="s">
        <v>34</v>
      </c>
      <c r="C1199" s="24">
        <v>613447</v>
      </c>
      <c r="D1199" s="20">
        <v>41124</v>
      </c>
      <c r="E1199" s="25">
        <v>477</v>
      </c>
      <c r="F1199" s="25">
        <v>20</v>
      </c>
      <c r="G1199" s="25">
        <v>8092</v>
      </c>
      <c r="H1199" s="25">
        <v>3</v>
      </c>
      <c r="I1199" s="25">
        <v>151</v>
      </c>
    </row>
    <row r="1200" spans="1:9" x14ac:dyDescent="0.25">
      <c r="A1200" s="42" t="s">
        <v>1356</v>
      </c>
      <c r="B1200" s="42" t="s">
        <v>38</v>
      </c>
      <c r="C1200" s="24">
        <v>610340</v>
      </c>
      <c r="D1200" s="20">
        <v>41127</v>
      </c>
      <c r="E1200" s="25">
        <v>477</v>
      </c>
      <c r="F1200" s="25">
        <v>46</v>
      </c>
      <c r="G1200" s="25">
        <v>12387</v>
      </c>
      <c r="H1200" s="25">
        <v>0</v>
      </c>
      <c r="I1200" s="25">
        <v>0</v>
      </c>
    </row>
    <row r="1201" spans="1:9" x14ac:dyDescent="0.25">
      <c r="A1201" s="42" t="s">
        <v>1355</v>
      </c>
      <c r="B1201" s="42" t="s">
        <v>36</v>
      </c>
      <c r="C1201" s="24">
        <v>610832</v>
      </c>
      <c r="D1201" s="20">
        <v>41148</v>
      </c>
      <c r="E1201" s="25">
        <v>465</v>
      </c>
      <c r="F1201" s="25">
        <v>2</v>
      </c>
      <c r="G1201" s="25">
        <v>532</v>
      </c>
      <c r="H1201" s="25">
        <v>0</v>
      </c>
      <c r="I1201" s="25">
        <v>0</v>
      </c>
    </row>
    <row r="1202" spans="1:9" x14ac:dyDescent="0.25">
      <c r="A1202" s="42" t="s">
        <v>1356</v>
      </c>
      <c r="B1202" s="42" t="s">
        <v>38</v>
      </c>
      <c r="C1202" s="24">
        <v>610340</v>
      </c>
      <c r="D1202" s="20">
        <v>41150</v>
      </c>
      <c r="E1202" s="25">
        <v>477</v>
      </c>
      <c r="F1202" s="25">
        <v>1</v>
      </c>
      <c r="G1202" s="25">
        <v>270</v>
      </c>
      <c r="H1202" s="25">
        <v>0</v>
      </c>
      <c r="I1202" s="25">
        <v>0</v>
      </c>
    </row>
    <row r="1203" spans="1:9" x14ac:dyDescent="0.25">
      <c r="A1203" s="42" t="s">
        <v>1356</v>
      </c>
      <c r="B1203" s="42" t="s">
        <v>38</v>
      </c>
      <c r="C1203" s="24">
        <v>610340</v>
      </c>
      <c r="D1203" s="20">
        <v>41151</v>
      </c>
      <c r="E1203" s="25">
        <v>466</v>
      </c>
      <c r="F1203" s="25">
        <v>0</v>
      </c>
      <c r="G1203" s="25">
        <v>0</v>
      </c>
      <c r="H1203" s="25">
        <v>0</v>
      </c>
      <c r="I1203" s="25">
        <v>0</v>
      </c>
    </row>
    <row r="1204" spans="1:9" x14ac:dyDescent="0.25">
      <c r="A1204" s="42" t="s">
        <v>1356</v>
      </c>
      <c r="B1204" s="42" t="s">
        <v>37</v>
      </c>
      <c r="C1204" s="24">
        <v>610208</v>
      </c>
      <c r="D1204" s="20">
        <v>41122</v>
      </c>
      <c r="E1204" s="25">
        <v>477</v>
      </c>
      <c r="F1204" s="25">
        <v>42</v>
      </c>
      <c r="G1204" s="25">
        <v>14777</v>
      </c>
      <c r="H1204" s="25">
        <v>12</v>
      </c>
      <c r="I1204" s="25">
        <v>0</v>
      </c>
    </row>
    <row r="1205" spans="1:9" x14ac:dyDescent="0.25">
      <c r="A1205" s="42" t="s">
        <v>1356</v>
      </c>
      <c r="B1205" s="42" t="s">
        <v>38</v>
      </c>
      <c r="C1205" s="24">
        <v>610340</v>
      </c>
      <c r="D1205" s="20">
        <v>41134</v>
      </c>
      <c r="E1205" s="25">
        <v>477</v>
      </c>
      <c r="F1205" s="25">
        <v>44</v>
      </c>
      <c r="G1205" s="25">
        <v>12052</v>
      </c>
      <c r="H1205" s="25">
        <v>26</v>
      </c>
      <c r="I1205" s="25">
        <v>0</v>
      </c>
    </row>
    <row r="1206" spans="1:9" x14ac:dyDescent="0.25">
      <c r="A1206" s="42" t="s">
        <v>1356</v>
      </c>
      <c r="B1206" s="42" t="s">
        <v>38</v>
      </c>
      <c r="C1206" s="24">
        <v>610340</v>
      </c>
      <c r="D1206" s="20">
        <v>41131</v>
      </c>
      <c r="E1206" s="25">
        <v>477</v>
      </c>
      <c r="F1206" s="25">
        <v>44</v>
      </c>
      <c r="G1206" s="25">
        <v>12188</v>
      </c>
      <c r="H1206" s="25">
        <v>0</v>
      </c>
      <c r="I1206" s="25">
        <v>26</v>
      </c>
    </row>
    <row r="1207" spans="1:9" x14ac:dyDescent="0.25">
      <c r="A1207" s="42" t="s">
        <v>1356</v>
      </c>
      <c r="B1207" s="43" t="s">
        <v>39</v>
      </c>
      <c r="C1207" s="24">
        <v>611704</v>
      </c>
      <c r="D1207" s="20">
        <v>41141</v>
      </c>
      <c r="E1207" s="25">
        <v>467</v>
      </c>
      <c r="F1207" s="25">
        <v>0</v>
      </c>
      <c r="G1207" s="25">
        <v>0</v>
      </c>
      <c r="H1207" s="25">
        <v>0</v>
      </c>
      <c r="I1207" s="25">
        <v>0</v>
      </c>
    </row>
    <row r="1208" spans="1:9" x14ac:dyDescent="0.25">
      <c r="A1208" s="42" t="s">
        <v>1355</v>
      </c>
      <c r="B1208" s="42" t="s">
        <v>35</v>
      </c>
      <c r="C1208" s="24">
        <v>611419</v>
      </c>
      <c r="D1208" s="20">
        <v>41126</v>
      </c>
      <c r="E1208" s="25">
        <v>477</v>
      </c>
      <c r="F1208" s="25">
        <v>61</v>
      </c>
      <c r="G1208" s="25">
        <v>14114</v>
      </c>
      <c r="H1208" s="25">
        <v>37</v>
      </c>
      <c r="I1208" s="25">
        <v>79</v>
      </c>
    </row>
    <row r="1209" spans="1:9" x14ac:dyDescent="0.25">
      <c r="A1209" s="42" t="s">
        <v>1356</v>
      </c>
      <c r="B1209" s="42" t="s">
        <v>37</v>
      </c>
      <c r="C1209" s="24">
        <v>610208</v>
      </c>
      <c r="D1209" s="20">
        <v>41138</v>
      </c>
      <c r="E1209" s="25">
        <v>480</v>
      </c>
      <c r="F1209" s="25">
        <v>3</v>
      </c>
      <c r="G1209" s="25">
        <v>351</v>
      </c>
      <c r="H1209" s="25">
        <v>0</v>
      </c>
      <c r="I1209" s="25">
        <v>0</v>
      </c>
    </row>
    <row r="1210" spans="1:9" x14ac:dyDescent="0.25">
      <c r="A1210" s="42" t="s">
        <v>1355</v>
      </c>
      <c r="B1210" s="42" t="s">
        <v>34</v>
      </c>
      <c r="C1210" s="24">
        <v>613447</v>
      </c>
      <c r="D1210" s="20">
        <v>41138</v>
      </c>
      <c r="E1210" s="25">
        <v>478</v>
      </c>
      <c r="F1210" s="25">
        <v>4</v>
      </c>
      <c r="G1210" s="25">
        <v>1139</v>
      </c>
      <c r="H1210" s="25">
        <v>0</v>
      </c>
      <c r="I1210" s="25">
        <v>108</v>
      </c>
    </row>
    <row r="1211" spans="1:9" x14ac:dyDescent="0.25">
      <c r="A1211" s="42" t="s">
        <v>1356</v>
      </c>
      <c r="B1211" s="42" t="s">
        <v>37</v>
      </c>
      <c r="C1211" s="24">
        <v>610208</v>
      </c>
      <c r="D1211" s="20">
        <v>41143</v>
      </c>
      <c r="E1211" s="25">
        <v>466</v>
      </c>
      <c r="F1211" s="25">
        <v>30</v>
      </c>
      <c r="G1211" s="25">
        <v>8708</v>
      </c>
      <c r="H1211" s="25">
        <v>2</v>
      </c>
      <c r="I1211" s="25">
        <v>0</v>
      </c>
    </row>
    <row r="1212" spans="1:9" x14ac:dyDescent="0.25">
      <c r="A1212" s="42" t="s">
        <v>1355</v>
      </c>
      <c r="B1212" s="42" t="s">
        <v>34</v>
      </c>
      <c r="C1212" s="24">
        <v>613447</v>
      </c>
      <c r="D1212" s="20">
        <v>41151</v>
      </c>
      <c r="E1212" s="25">
        <v>466</v>
      </c>
      <c r="F1212" s="25">
        <v>0</v>
      </c>
      <c r="G1212" s="25">
        <v>0</v>
      </c>
      <c r="H1212" s="25">
        <v>0</v>
      </c>
      <c r="I1212" s="25">
        <v>0</v>
      </c>
    </row>
    <row r="1213" spans="1:9" x14ac:dyDescent="0.25">
      <c r="A1213" s="42" t="s">
        <v>1355</v>
      </c>
      <c r="B1213" s="42" t="s">
        <v>35</v>
      </c>
      <c r="C1213" s="24">
        <v>611419</v>
      </c>
      <c r="D1213" s="20">
        <v>41145</v>
      </c>
      <c r="E1213" s="25">
        <v>482</v>
      </c>
      <c r="F1213" s="25">
        <v>10</v>
      </c>
      <c r="G1213" s="25">
        <v>3068</v>
      </c>
      <c r="H1213" s="25">
        <v>9</v>
      </c>
      <c r="I1213" s="25">
        <v>147</v>
      </c>
    </row>
    <row r="1214" spans="1:9" x14ac:dyDescent="0.25">
      <c r="A1214" s="42" t="s">
        <v>1355</v>
      </c>
      <c r="B1214" s="42" t="s">
        <v>36</v>
      </c>
      <c r="C1214" s="24">
        <v>610832</v>
      </c>
      <c r="D1214" s="20">
        <v>41136</v>
      </c>
      <c r="E1214" s="25">
        <v>467</v>
      </c>
      <c r="F1214" s="25">
        <v>0</v>
      </c>
      <c r="G1214" s="25">
        <v>0</v>
      </c>
      <c r="H1214" s="25">
        <v>0</v>
      </c>
      <c r="I1214" s="25">
        <v>0</v>
      </c>
    </row>
    <row r="1215" spans="1:9" x14ac:dyDescent="0.25">
      <c r="A1215" s="42" t="s">
        <v>1356</v>
      </c>
      <c r="B1215" s="42" t="s">
        <v>37</v>
      </c>
      <c r="C1215" s="24">
        <v>610208</v>
      </c>
      <c r="D1215" s="20">
        <v>41141</v>
      </c>
      <c r="E1215" s="25">
        <v>477</v>
      </c>
      <c r="F1215" s="25">
        <v>19</v>
      </c>
      <c r="G1215" s="25">
        <v>4823</v>
      </c>
      <c r="H1215" s="25">
        <v>1</v>
      </c>
      <c r="I1215" s="25">
        <v>0</v>
      </c>
    </row>
    <row r="1216" spans="1:9" x14ac:dyDescent="0.25">
      <c r="A1216" s="42" t="s">
        <v>1356</v>
      </c>
      <c r="B1216" s="42" t="s">
        <v>38</v>
      </c>
      <c r="C1216" s="24">
        <v>610340</v>
      </c>
      <c r="D1216" s="20">
        <v>41122</v>
      </c>
      <c r="E1216" s="25">
        <v>85</v>
      </c>
      <c r="F1216" s="25">
        <v>0</v>
      </c>
      <c r="G1216" s="25">
        <v>0</v>
      </c>
      <c r="H1216" s="25">
        <v>0</v>
      </c>
      <c r="I1216" s="25">
        <v>0</v>
      </c>
    </row>
    <row r="1217" spans="1:9" x14ac:dyDescent="0.25">
      <c r="A1217" s="42" t="s">
        <v>1355</v>
      </c>
      <c r="B1217" s="42" t="s">
        <v>36</v>
      </c>
      <c r="C1217" s="24">
        <v>610832</v>
      </c>
      <c r="D1217" s="20">
        <v>41136</v>
      </c>
      <c r="E1217" s="25">
        <v>478</v>
      </c>
      <c r="F1217" s="25">
        <v>9</v>
      </c>
      <c r="G1217" s="25">
        <v>2206</v>
      </c>
      <c r="H1217" s="25">
        <v>1</v>
      </c>
      <c r="I1217" s="25">
        <v>13</v>
      </c>
    </row>
    <row r="1218" spans="1:9" x14ac:dyDescent="0.25">
      <c r="A1218" s="42" t="s">
        <v>1356</v>
      </c>
      <c r="B1218" s="42" t="s">
        <v>38</v>
      </c>
      <c r="C1218" s="24">
        <v>610340</v>
      </c>
      <c r="D1218" s="20">
        <v>41129</v>
      </c>
      <c r="E1218" s="25">
        <v>478</v>
      </c>
      <c r="F1218" s="25">
        <v>8</v>
      </c>
      <c r="G1218" s="25">
        <v>2531</v>
      </c>
      <c r="H1218" s="25">
        <v>0</v>
      </c>
      <c r="I1218" s="25">
        <v>0</v>
      </c>
    </row>
    <row r="1219" spans="1:9" x14ac:dyDescent="0.25">
      <c r="A1219" s="42" t="s">
        <v>1356</v>
      </c>
      <c r="B1219" s="42" t="s">
        <v>38</v>
      </c>
      <c r="C1219" s="24">
        <v>610340</v>
      </c>
      <c r="D1219" s="20">
        <v>41145</v>
      </c>
      <c r="E1219" s="25">
        <v>85</v>
      </c>
      <c r="F1219" s="25">
        <v>0</v>
      </c>
      <c r="G1219" s="25">
        <v>0</v>
      </c>
      <c r="H1219" s="25">
        <v>0</v>
      </c>
      <c r="I1219" s="25">
        <v>0</v>
      </c>
    </row>
    <row r="1220" spans="1:9" x14ac:dyDescent="0.25">
      <c r="A1220" s="42" t="s">
        <v>1355</v>
      </c>
      <c r="B1220" s="42" t="s">
        <v>35</v>
      </c>
      <c r="C1220" s="24">
        <v>611419</v>
      </c>
      <c r="D1220" s="20">
        <v>41123</v>
      </c>
      <c r="E1220" s="25">
        <v>478</v>
      </c>
      <c r="F1220" s="25">
        <v>23</v>
      </c>
      <c r="G1220" s="25">
        <v>5569</v>
      </c>
      <c r="H1220" s="25">
        <v>21</v>
      </c>
      <c r="I1220" s="25">
        <v>0</v>
      </c>
    </row>
    <row r="1221" spans="1:9" x14ac:dyDescent="0.25">
      <c r="A1221" s="42" t="s">
        <v>1355</v>
      </c>
      <c r="B1221" s="42" t="s">
        <v>35</v>
      </c>
      <c r="C1221" s="24">
        <v>611419</v>
      </c>
      <c r="D1221" s="20">
        <v>41138</v>
      </c>
      <c r="E1221" s="25">
        <v>466</v>
      </c>
      <c r="F1221" s="25">
        <v>27</v>
      </c>
      <c r="G1221" s="25">
        <v>6120</v>
      </c>
      <c r="H1221" s="25">
        <v>16</v>
      </c>
      <c r="I1221" s="25">
        <v>187</v>
      </c>
    </row>
    <row r="1222" spans="1:9" x14ac:dyDescent="0.25">
      <c r="A1222" s="42" t="s">
        <v>1355</v>
      </c>
      <c r="B1222" s="42" t="s">
        <v>36</v>
      </c>
      <c r="C1222" s="24">
        <v>610832</v>
      </c>
      <c r="D1222" s="20">
        <v>41139</v>
      </c>
      <c r="E1222" s="25">
        <v>482</v>
      </c>
      <c r="F1222" s="25">
        <v>35</v>
      </c>
      <c r="G1222" s="25">
        <v>10144</v>
      </c>
      <c r="H1222" s="25">
        <v>1</v>
      </c>
      <c r="I1222" s="25">
        <v>19</v>
      </c>
    </row>
  </sheetData>
  <mergeCells count="21">
    <mergeCell ref="C18:D18"/>
    <mergeCell ref="E18:F18"/>
    <mergeCell ref="A1:M1"/>
    <mergeCell ref="C13:D13"/>
    <mergeCell ref="E13:F13"/>
    <mergeCell ref="C14:D14"/>
    <mergeCell ref="E14:F14"/>
    <mergeCell ref="C16:D16"/>
    <mergeCell ref="E16:F16"/>
    <mergeCell ref="C8:D8"/>
    <mergeCell ref="E8:F8"/>
    <mergeCell ref="C10:D10"/>
    <mergeCell ref="E10:F10"/>
    <mergeCell ref="C12:D12"/>
    <mergeCell ref="E12:F12"/>
    <mergeCell ref="C5:D5"/>
    <mergeCell ref="E5:F5"/>
    <mergeCell ref="C6:D6"/>
    <mergeCell ref="E6:F6"/>
    <mergeCell ref="C7:D7"/>
    <mergeCell ref="E7:F7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03">
    <tabColor theme="0" tint="-0.14999847407452621"/>
  </sheetPr>
  <dimension ref="A1:AA30"/>
  <sheetViews>
    <sheetView showGridLines="0" workbookViewId="0">
      <selection activeCell="E16" sqref="E16:J16"/>
    </sheetView>
  </sheetViews>
  <sheetFormatPr defaultRowHeight="15" x14ac:dyDescent="0.25"/>
  <cols>
    <col min="1" max="1" width="11.85546875" style="86" bestFit="1" customWidth="1"/>
    <col min="2" max="2" width="11.140625" style="86" bestFit="1" customWidth="1"/>
    <col min="3" max="3" width="11.85546875" style="86" bestFit="1" customWidth="1"/>
    <col min="4" max="4" width="0.7109375" style="86" customWidth="1"/>
    <col min="5" max="5" width="10.7109375" style="86" bestFit="1" customWidth="1"/>
    <col min="6" max="6" width="5.5703125" style="86" bestFit="1" customWidth="1"/>
    <col min="7" max="7" width="5.5703125" style="86" customWidth="1"/>
    <col min="8" max="8" width="0.7109375" style="86" customWidth="1"/>
    <col min="9" max="10" width="5.5703125" style="86" bestFit="1" customWidth="1"/>
    <col min="11" max="11" width="5.5703125" style="86" customWidth="1"/>
    <col min="12" max="12" width="0.7109375" style="86" customWidth="1"/>
    <col min="13" max="14" width="5.5703125" style="86" bestFit="1" customWidth="1"/>
    <col min="15" max="15" width="5.5703125" style="86" customWidth="1"/>
    <col min="16" max="16" width="11.85546875" style="86" bestFit="1" customWidth="1"/>
    <col min="17" max="17" width="28.28515625" style="86" bestFit="1" customWidth="1"/>
    <col min="18" max="18" width="15.85546875" bestFit="1" customWidth="1"/>
    <col min="19" max="19" width="12.42578125" customWidth="1"/>
    <col min="20" max="21" width="18.5703125" bestFit="1" customWidth="1"/>
    <col min="22" max="22" width="15.85546875" bestFit="1" customWidth="1"/>
    <col min="23" max="24" width="13.7109375" bestFit="1" customWidth="1"/>
    <col min="25" max="25" width="19.7109375" customWidth="1"/>
  </cols>
  <sheetData>
    <row r="1" spans="1:19" ht="138.75" customHeight="1" thickBot="1" x14ac:dyDescent="0.3">
      <c r="A1" s="134" t="s">
        <v>1384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6"/>
    </row>
    <row r="2" spans="1:19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19" x14ac:dyDescent="0.25">
      <c r="A3" s="13" t="s">
        <v>29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9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9" ht="15" customHeight="1" x14ac:dyDescent="0.25">
      <c r="A5"/>
      <c r="B5" s="144" t="s">
        <v>1373</v>
      </c>
      <c r="C5" s="144"/>
      <c r="D5"/>
      <c r="E5" s="151" t="s">
        <v>1378</v>
      </c>
      <c r="F5" s="152"/>
      <c r="G5" s="152"/>
      <c r="H5" s="152"/>
      <c r="I5" s="152"/>
      <c r="J5" s="153"/>
      <c r="K5"/>
      <c r="L5"/>
      <c r="M5"/>
      <c r="N5"/>
      <c r="O5"/>
      <c r="P5"/>
      <c r="Q5"/>
    </row>
    <row r="6" spans="1:19" x14ac:dyDescent="0.25">
      <c r="A6" s="38" t="s">
        <v>34</v>
      </c>
      <c r="B6" s="138">
        <f>IF(1-SUMIF($Q$20:$Q$29,$K6,$S$20:$S$29)/VLOOKUP($K6,$A$19:$P$23,16,0)&lt;0,0,1-SUMIF($Q$20:$Q$29,$K6,$S$20:$S$29)/VLOOKUP($K6,$A$19:$P$23,16,0))</f>
        <v>1.8749999999999933E-2</v>
      </c>
      <c r="C6" s="138"/>
      <c r="D6"/>
      <c r="E6" s="148">
        <f>SUMIF($Q$20:$Q$29,$K6,$Z$20:$Z$29)/VLOOKUP($K6,$A$19:$P$23,16,0)</f>
        <v>0.93684210527694389</v>
      </c>
      <c r="F6" s="149"/>
      <c r="G6" s="149"/>
      <c r="H6" s="149"/>
      <c r="I6" s="149"/>
      <c r="J6" s="150"/>
      <c r="K6" s="62">
        <v>610274</v>
      </c>
      <c r="L6"/>
      <c r="M6"/>
      <c r="N6"/>
      <c r="O6"/>
      <c r="P6"/>
      <c r="Q6"/>
    </row>
    <row r="7" spans="1:19" x14ac:dyDescent="0.25">
      <c r="A7" s="38" t="s">
        <v>35</v>
      </c>
      <c r="B7" s="138">
        <f>IF(1-SUMIF($Q$20:$Q$29,$K7,$S$20:$S$29)/VLOOKUP($K7,$A$19:$P$23,16,0)&lt;0,0,1-SUMIF($Q$20:$Q$29,$K7,$S$20:$S$29)/VLOOKUP($K7,$A$19:$P$23,16,0))</f>
        <v>8.5818713450292572E-2</v>
      </c>
      <c r="C7" s="138"/>
      <c r="D7"/>
      <c r="E7" s="148">
        <f>SUMIF($Q$20:$Q$29,$K7,$Z$20:$Z$29)/VLOOKUP($K7,$A$19:$P$23,16,0)</f>
        <v>0.80450292398917544</v>
      </c>
      <c r="F7" s="149"/>
      <c r="G7" s="149"/>
      <c r="H7" s="149"/>
      <c r="I7" s="149"/>
      <c r="J7" s="150"/>
      <c r="K7" s="62">
        <v>611668</v>
      </c>
      <c r="L7"/>
      <c r="M7"/>
      <c r="N7"/>
      <c r="O7"/>
      <c r="P7"/>
      <c r="Q7"/>
    </row>
    <row r="8" spans="1:19" ht="3" customHeight="1" x14ac:dyDescent="0.25">
      <c r="A8" s="13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9" x14ac:dyDescent="0.25">
      <c r="A9" s="38" t="s">
        <v>1355</v>
      </c>
      <c r="B9" s="138">
        <f>1-SUMIF($AA$20:$AA$29,$A9,$S$20:$S$29)/SUMIF($C$20:$C$23,$A9,$P$20:$P$23)</f>
        <v>5.8991228070175539E-2</v>
      </c>
      <c r="C9" s="138"/>
      <c r="D9"/>
      <c r="E9" s="148">
        <f>SUMIF($AA$20:$AA$29,$A9,$Z$20:$Z$29)/SUMIF($C$20:$C$23,$A9,$P$20:$P$23)</f>
        <v>0.85743859650428278</v>
      </c>
      <c r="F9" s="149"/>
      <c r="G9" s="149"/>
      <c r="H9" s="149"/>
      <c r="I9" s="149"/>
      <c r="J9" s="150"/>
      <c r="K9"/>
      <c r="L9"/>
      <c r="M9"/>
      <c r="N9"/>
      <c r="O9"/>
      <c r="P9"/>
      <c r="Q9" s="166"/>
      <c r="R9" s="166"/>
    </row>
    <row r="10" spans="1:19" ht="7.5" customHeight="1" x14ac:dyDescent="0.25">
      <c r="A10" s="13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9" x14ac:dyDescent="0.25">
      <c r="A11" s="38" t="s">
        <v>38</v>
      </c>
      <c r="B11" s="138">
        <f>IF(1-SUMIF($Q$20:$Q$29,$K11,$S$20:$S$29)/VLOOKUP($K11,$A$19:$P$23,16,0)&lt;0,0,1-SUMIF($Q$20:$Q$29,$K11,$S$20:$S$29)/VLOOKUP($K11,$A$19:$P$23,16,0))</f>
        <v>0</v>
      </c>
      <c r="C11" s="138"/>
      <c r="D11"/>
      <c r="E11" s="148">
        <f>SUMIF($Q$20:$Q$29,$K11,$Z$20:$Z$29)/VLOOKUP($K11,$A$19:$P$23,16,0)</f>
        <v>0.93437499999704121</v>
      </c>
      <c r="F11" s="149"/>
      <c r="G11" s="149"/>
      <c r="H11" s="149"/>
      <c r="I11" s="149"/>
      <c r="J11" s="150"/>
      <c r="K11" s="62">
        <v>612650</v>
      </c>
      <c r="L11"/>
      <c r="M11"/>
      <c r="N11"/>
      <c r="O11"/>
      <c r="P11" s="13"/>
      <c r="Q11"/>
    </row>
    <row r="12" spans="1:19" ht="15.75" thickBot="1" x14ac:dyDescent="0.3">
      <c r="A12" s="38" t="s">
        <v>39</v>
      </c>
      <c r="B12" s="138">
        <f>IF(1-SUMIF($Q$20:$Q$29,$K12,$S$20:$S$29)/VLOOKUP($K12,$A$19:$P$23,16,0)&lt;0,0,1-SUMIF($Q$20:$Q$29,$K12,$S$20:$S$29)/VLOOKUP($K12,$A$19:$P$23,16,0))</f>
        <v>0.22426900584795328</v>
      </c>
      <c r="C12" s="138"/>
      <c r="D12"/>
      <c r="E12" s="148">
        <f>SUMIF($Q$20:$Q$29,$K12,$Z$20:$Z$29)/VLOOKUP($K12,$A$19:$P$23,16,0)</f>
        <v>0.77134502923466008</v>
      </c>
      <c r="F12" s="149"/>
      <c r="G12" s="149"/>
      <c r="H12" s="149"/>
      <c r="I12" s="149"/>
      <c r="J12" s="150"/>
      <c r="K12" s="65">
        <v>613605</v>
      </c>
      <c r="L12"/>
      <c r="M12"/>
      <c r="N12"/>
      <c r="O12"/>
      <c r="P12"/>
      <c r="Q12" s="167"/>
    </row>
    <row r="13" spans="1:19" ht="3" customHeight="1" x14ac:dyDescent="0.25">
      <c r="A13" s="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9" x14ac:dyDescent="0.25">
      <c r="A14" s="38" t="s">
        <v>1356</v>
      </c>
      <c r="B14" s="138">
        <f>1-SUMIF($AA$20:$AA$29,$A14,$S$20:$S$29)/SUMIF($C$20:$C$23,$A14,$P$20:$P$23)</f>
        <v>7.8539325842696739E-2</v>
      </c>
      <c r="C14" s="138"/>
      <c r="D14"/>
      <c r="E14" s="148">
        <f>SUMIF($AA$20:$AA$29,$A14,$Z$20:$Z$29)/SUMIF($C$20:$C$23,$A14,$P$20:$P$23)</f>
        <v>0.82996254681214543</v>
      </c>
      <c r="F14" s="149"/>
      <c r="G14" s="149"/>
      <c r="H14" s="149"/>
      <c r="I14" s="149"/>
      <c r="J14" s="150"/>
      <c r="K14"/>
      <c r="L14"/>
      <c r="M14"/>
      <c r="N14"/>
      <c r="O14"/>
      <c r="P14"/>
      <c r="Q14"/>
    </row>
    <row r="15" spans="1:19" ht="7.5" customHeight="1" x14ac:dyDescent="0.25">
      <c r="A15" s="13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9" x14ac:dyDescent="0.25">
      <c r="A16" s="38" t="s">
        <v>1357</v>
      </c>
      <c r="B16" s="138">
        <f>1-SUM(S20:S29)/SUM(P20:P23)</f>
        <v>6.8446557971014621E-2</v>
      </c>
      <c r="C16" s="138"/>
      <c r="D16"/>
      <c r="E16" s="148">
        <f>SUM(Z20:Z29)/SUM(P20:P23)</f>
        <v>0.84414855072928152</v>
      </c>
      <c r="F16" s="149"/>
      <c r="G16" s="149"/>
      <c r="H16" s="149"/>
      <c r="I16" s="149"/>
      <c r="J16" s="150"/>
      <c r="K16"/>
      <c r="L16"/>
      <c r="M16"/>
      <c r="N16"/>
      <c r="O16"/>
      <c r="P16"/>
      <c r="Q16"/>
    </row>
    <row r="17" spans="1:27" ht="15.75" thickBo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27" ht="137.25" thickBot="1" x14ac:dyDescent="0.3">
      <c r="A18" s="13" t="s">
        <v>1371</v>
      </c>
      <c r="B18"/>
      <c r="C18"/>
      <c r="D18"/>
      <c r="E18" s="46" t="s">
        <v>1362</v>
      </c>
      <c r="F18" s="47" t="s">
        <v>1363</v>
      </c>
      <c r="G18" s="48" t="s">
        <v>1364</v>
      </c>
      <c r="H18" s="44"/>
      <c r="I18" s="46" t="s">
        <v>1362</v>
      </c>
      <c r="J18" s="47" t="s">
        <v>1363</v>
      </c>
      <c r="K18" s="48" t="s">
        <v>1364</v>
      </c>
      <c r="L18" s="44"/>
      <c r="M18" s="46" t="s">
        <v>1362</v>
      </c>
      <c r="N18" s="47" t="s">
        <v>1363</v>
      </c>
      <c r="O18" s="48" t="s">
        <v>1364</v>
      </c>
      <c r="P18"/>
      <c r="Q18" s="13" t="s">
        <v>1372</v>
      </c>
      <c r="V18" t="s">
        <v>1448</v>
      </c>
      <c r="W18" t="s">
        <v>1448</v>
      </c>
    </row>
    <row r="19" spans="1:27" ht="30" customHeight="1" x14ac:dyDescent="0.25">
      <c r="A19" s="67" t="s">
        <v>1369</v>
      </c>
      <c r="B19" s="68" t="s">
        <v>1367</v>
      </c>
      <c r="C19" s="69" t="s">
        <v>1368</v>
      </c>
      <c r="D19"/>
      <c r="E19" s="145">
        <v>41153</v>
      </c>
      <c r="F19" s="146"/>
      <c r="G19" s="147"/>
      <c r="H19"/>
      <c r="I19" s="145">
        <v>41154</v>
      </c>
      <c r="J19" s="146"/>
      <c r="K19" s="147"/>
      <c r="L19"/>
      <c r="M19" s="145">
        <v>41155</v>
      </c>
      <c r="N19" s="146"/>
      <c r="O19" s="147"/>
      <c r="P19" t="s">
        <v>1432</v>
      </c>
      <c r="Q19" s="70" t="s">
        <v>1369</v>
      </c>
      <c r="R19" s="70" t="s">
        <v>20</v>
      </c>
      <c r="S19" s="70" t="s">
        <v>1370</v>
      </c>
      <c r="T19" s="70" t="s">
        <v>1379</v>
      </c>
      <c r="U19" s="70" t="s">
        <v>1380</v>
      </c>
      <c r="V19" s="168" t="s">
        <v>1446</v>
      </c>
      <c r="W19" s="168" t="s">
        <v>1447</v>
      </c>
      <c r="X19" s="168" t="s">
        <v>1448</v>
      </c>
      <c r="Y19" s="168" t="s">
        <v>1448</v>
      </c>
      <c r="Z19" s="168" t="s">
        <v>1449</v>
      </c>
      <c r="AA19" s="168" t="s">
        <v>1450</v>
      </c>
    </row>
    <row r="20" spans="1:27" x14ac:dyDescent="0.25">
      <c r="A20" s="62">
        <v>610274</v>
      </c>
      <c r="B20" s="63" t="s">
        <v>34</v>
      </c>
      <c r="C20" s="64" t="s">
        <v>1355</v>
      </c>
      <c r="D20"/>
      <c r="E20" s="49">
        <v>0.2638888888888889</v>
      </c>
      <c r="F20" s="50">
        <v>0.3125</v>
      </c>
      <c r="G20" s="51" t="s">
        <v>1365</v>
      </c>
      <c r="H20" s="45"/>
      <c r="I20" s="49">
        <v>0.2638888888888889</v>
      </c>
      <c r="J20" s="50">
        <v>0.3125</v>
      </c>
      <c r="K20" s="57" t="s">
        <v>1366</v>
      </c>
      <c r="L20" s="45"/>
      <c r="M20" s="55">
        <v>0.2638888888888889</v>
      </c>
      <c r="N20" s="56">
        <v>0.3125</v>
      </c>
      <c r="O20" s="57" t="s">
        <v>1365</v>
      </c>
      <c r="P20" s="127">
        <f>E20*2</f>
        <v>0.52777777777777779</v>
      </c>
      <c r="Q20" s="115">
        <v>610274</v>
      </c>
      <c r="R20" s="116">
        <v>41153</v>
      </c>
      <c r="S20" s="117">
        <v>0.26649305555555558</v>
      </c>
      <c r="T20" s="126">
        <v>41153.322916666664</v>
      </c>
      <c r="U20" s="126">
        <f>T20+S20</f>
        <v>41153.589409722219</v>
      </c>
      <c r="V20" s="126">
        <f>$R20+F20</f>
        <v>41153.3125</v>
      </c>
      <c r="W20" s="126">
        <f>V20+E20</f>
        <v>41153.576388888891</v>
      </c>
      <c r="X20" s="126">
        <f>IF(V20&lt;=T20,T20-V20,0)</f>
        <v>1.0416666664241347E-2</v>
      </c>
      <c r="Y20" s="126">
        <f>IF(W20&lt;=U20,U20-W20,0)</f>
        <v>1.3020833328482695E-2</v>
      </c>
      <c r="Z20" s="169">
        <f>S20-X20-Y20</f>
        <v>0.24305555556283154</v>
      </c>
      <c r="AA20" t="str">
        <f>VLOOKUP(Q20,$A$19:$C$23,3,0)</f>
        <v>Supervisor 1</v>
      </c>
    </row>
    <row r="21" spans="1:27" x14ac:dyDescent="0.25">
      <c r="A21" s="62">
        <v>611668</v>
      </c>
      <c r="B21" s="63" t="s">
        <v>35</v>
      </c>
      <c r="C21" s="64" t="s">
        <v>1355</v>
      </c>
      <c r="D21"/>
      <c r="E21" s="49">
        <v>0.2638888888888889</v>
      </c>
      <c r="F21" s="50">
        <v>0.375</v>
      </c>
      <c r="G21" s="51" t="s">
        <v>1365</v>
      </c>
      <c r="H21" s="45"/>
      <c r="I21" s="55">
        <v>0.2638888888888889</v>
      </c>
      <c r="J21" s="56">
        <v>0.375</v>
      </c>
      <c r="K21" s="57" t="s">
        <v>1365</v>
      </c>
      <c r="L21" s="45"/>
      <c r="M21" s="55">
        <v>0.2638888888888889</v>
      </c>
      <c r="N21" s="56">
        <v>0.375</v>
      </c>
      <c r="O21" s="57" t="s">
        <v>1365</v>
      </c>
      <c r="P21" s="127">
        <f>E21*3</f>
        <v>0.79166666666666674</v>
      </c>
      <c r="Q21" s="115">
        <v>610274</v>
      </c>
      <c r="R21" s="116">
        <v>41155</v>
      </c>
      <c r="S21" s="117">
        <v>0.25138888888888888</v>
      </c>
      <c r="T21" s="126">
        <v>41155.291666666664</v>
      </c>
      <c r="U21" s="126">
        <f t="shared" ref="U21:U29" si="0">T21+S21</f>
        <v>41155.54305555555</v>
      </c>
      <c r="V21" s="126">
        <f>$R21+N20</f>
        <v>41155.3125</v>
      </c>
      <c r="W21" s="126">
        <f>V21+M20</f>
        <v>41155.576388888891</v>
      </c>
      <c r="X21" s="126">
        <f t="shared" ref="X21:X29" si="1">IF(V21&lt;=T21,T21-V21,0)</f>
        <v>0</v>
      </c>
      <c r="Y21" s="126">
        <f t="shared" ref="Y21:Y29" si="2">IF(W21&lt;=U21,U21-W21,0)</f>
        <v>0</v>
      </c>
      <c r="Z21" s="169">
        <f>S21-X21-Y21</f>
        <v>0.25138888888888888</v>
      </c>
      <c r="AA21" t="str">
        <f t="shared" ref="AA21:AA29" si="3">VLOOKUP(Q21,$A$19:$C$23,3,0)</f>
        <v>Supervisor 1</v>
      </c>
    </row>
    <row r="22" spans="1:27" x14ac:dyDescent="0.25">
      <c r="A22" s="62">
        <v>612650</v>
      </c>
      <c r="B22" s="63" t="s">
        <v>38</v>
      </c>
      <c r="C22" s="64" t="s">
        <v>1356</v>
      </c>
      <c r="D22"/>
      <c r="E22" s="49">
        <v>0.22222222222222221</v>
      </c>
      <c r="F22" s="50">
        <v>0.375</v>
      </c>
      <c r="G22" s="51" t="s">
        <v>1365</v>
      </c>
      <c r="H22" s="45"/>
      <c r="I22" s="49">
        <v>0.22222222222222221</v>
      </c>
      <c r="J22" s="50">
        <v>0.375</v>
      </c>
      <c r="K22" s="57" t="s">
        <v>1366</v>
      </c>
      <c r="L22" s="45"/>
      <c r="M22" s="55">
        <v>0.22222222222222221</v>
      </c>
      <c r="N22" s="56">
        <v>0.375</v>
      </c>
      <c r="O22" s="57" t="s">
        <v>1365</v>
      </c>
      <c r="P22" s="127">
        <f>E22*2</f>
        <v>0.44444444444444442</v>
      </c>
      <c r="Q22" s="115">
        <v>611668</v>
      </c>
      <c r="R22" s="116">
        <v>41153</v>
      </c>
      <c r="S22" s="117">
        <v>0.19798611111111111</v>
      </c>
      <c r="T22" s="126">
        <v>41153.375</v>
      </c>
      <c r="U22" s="126">
        <f t="shared" si="0"/>
        <v>41153.57298611111</v>
      </c>
      <c r="V22" s="126">
        <f>$R22+F21</f>
        <v>41153.375</v>
      </c>
      <c r="W22" s="126">
        <f>V22+E21</f>
        <v>41153.638888888891</v>
      </c>
      <c r="X22" s="126">
        <f t="shared" si="1"/>
        <v>0</v>
      </c>
      <c r="Y22" s="126">
        <f t="shared" si="2"/>
        <v>0</v>
      </c>
      <c r="Z22" s="169">
        <f>S22-X22-Y22</f>
        <v>0.19798611111111111</v>
      </c>
      <c r="AA22" t="str">
        <f t="shared" si="3"/>
        <v>Supervisor 1</v>
      </c>
    </row>
    <row r="23" spans="1:27" ht="15.75" thickBot="1" x14ac:dyDescent="0.3">
      <c r="A23" s="65">
        <v>613605</v>
      </c>
      <c r="B23" s="59" t="s">
        <v>39</v>
      </c>
      <c r="C23" s="66" t="s">
        <v>1356</v>
      </c>
      <c r="D23"/>
      <c r="E23" s="52">
        <v>0.2638888888888889</v>
      </c>
      <c r="F23" s="53">
        <v>0.98611111111111116</v>
      </c>
      <c r="G23" s="54" t="s">
        <v>1365</v>
      </c>
      <c r="H23"/>
      <c r="I23" s="52">
        <v>0.2638888888888889</v>
      </c>
      <c r="J23" s="60">
        <v>0.98611111111111116</v>
      </c>
      <c r="K23" s="61" t="s">
        <v>1365</v>
      </c>
      <c r="L23"/>
      <c r="M23" s="58">
        <v>0.2638888888888889</v>
      </c>
      <c r="N23" s="60">
        <v>0.98611111111111116</v>
      </c>
      <c r="O23" s="61" t="s">
        <v>1365</v>
      </c>
      <c r="P23" s="127">
        <f>E23*3</f>
        <v>0.79166666666666674</v>
      </c>
      <c r="Q23" s="115">
        <v>611668</v>
      </c>
      <c r="R23" s="116">
        <v>41154</v>
      </c>
      <c r="S23" s="117">
        <v>0.26738425925925924</v>
      </c>
      <c r="T23" s="126">
        <v>41154.416666666664</v>
      </c>
      <c r="U23" s="126">
        <f t="shared" si="0"/>
        <v>41154.68405092592</v>
      </c>
      <c r="V23" s="126">
        <f>$R23+J21</f>
        <v>41154.375</v>
      </c>
      <c r="W23" s="126">
        <f>V23+I21</f>
        <v>41154.638888888891</v>
      </c>
      <c r="X23" s="126">
        <f t="shared" si="1"/>
        <v>4.1666666664241347E-2</v>
      </c>
      <c r="Y23" s="126">
        <f t="shared" si="2"/>
        <v>4.5162037029513158E-2</v>
      </c>
      <c r="Z23" s="169">
        <f>S23-X23-Y23</f>
        <v>0.18055555556550473</v>
      </c>
      <c r="AA23" t="str">
        <f t="shared" si="3"/>
        <v>Supervisor 1</v>
      </c>
    </row>
    <row r="24" spans="1:27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71"/>
      <c r="Q24" s="115">
        <v>611668</v>
      </c>
      <c r="R24" s="116">
        <v>41155</v>
      </c>
      <c r="S24" s="117">
        <v>0.25835648148148149</v>
      </c>
      <c r="T24" s="126">
        <v>41155.375</v>
      </c>
      <c r="U24" s="126">
        <f t="shared" si="0"/>
        <v>41155.633356481485</v>
      </c>
      <c r="V24" s="126">
        <f>$R24+N21</f>
        <v>41155.375</v>
      </c>
      <c r="W24" s="126">
        <f>V24+M21</f>
        <v>41155.638888888891</v>
      </c>
      <c r="X24" s="126">
        <f t="shared" si="1"/>
        <v>0</v>
      </c>
      <c r="Y24" s="126">
        <f t="shared" si="2"/>
        <v>0</v>
      </c>
      <c r="Z24" s="169">
        <f>S24-X24-Y24</f>
        <v>0.25835648148148149</v>
      </c>
      <c r="AA24" t="str">
        <f t="shared" si="3"/>
        <v>Supervisor 1</v>
      </c>
    </row>
    <row r="25" spans="1:27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71"/>
      <c r="Q25" s="119">
        <v>612650</v>
      </c>
      <c r="R25" s="116">
        <v>41153</v>
      </c>
      <c r="S25" s="117">
        <v>0.26405092592592594</v>
      </c>
      <c r="T25" s="126">
        <v>41153.375</v>
      </c>
      <c r="U25" s="126">
        <f t="shared" si="0"/>
        <v>41153.639050925929</v>
      </c>
      <c r="V25" s="126">
        <f>$R25+F22</f>
        <v>41153.375</v>
      </c>
      <c r="W25" s="126">
        <f>V25+E22</f>
        <v>41153.597222222219</v>
      </c>
      <c r="X25" s="126">
        <f t="shared" si="1"/>
        <v>0</v>
      </c>
      <c r="Y25" s="126">
        <f t="shared" si="2"/>
        <v>4.182870371005265E-2</v>
      </c>
      <c r="Z25" s="169">
        <f>S25-X25-Y25</f>
        <v>0.22222222221587329</v>
      </c>
      <c r="AA25" t="str">
        <f t="shared" si="3"/>
        <v>Supervisor 2</v>
      </c>
    </row>
    <row r="26" spans="1:27" x14ac:dyDescent="0.25">
      <c r="A26" s="120"/>
      <c r="B26" s="120"/>
      <c r="C26" s="120"/>
      <c r="E26" s="121"/>
      <c r="F26" s="121"/>
      <c r="G26" s="121"/>
      <c r="H26" s="121"/>
      <c r="P26" s="122"/>
      <c r="Q26" s="123">
        <v>612650</v>
      </c>
      <c r="R26" s="118">
        <v>41155</v>
      </c>
      <c r="S26" s="117">
        <v>0.26085648148148149</v>
      </c>
      <c r="T26" s="126">
        <v>41155.38958333333</v>
      </c>
      <c r="U26" s="126">
        <f t="shared" si="0"/>
        <v>41155.65043981481</v>
      </c>
      <c r="V26" s="126">
        <f>$R26+N22</f>
        <v>41155.375</v>
      </c>
      <c r="W26" s="126">
        <f>V26+M22</f>
        <v>41155.597222222219</v>
      </c>
      <c r="X26" s="126">
        <f t="shared" si="1"/>
        <v>1.4583333329937886E-2</v>
      </c>
      <c r="Y26" s="126">
        <f t="shared" si="2"/>
        <v>5.3217592590954155E-2</v>
      </c>
      <c r="Z26" s="169">
        <f>S26-X26-Y26</f>
        <v>0.19305555556058945</v>
      </c>
      <c r="AA26" t="str">
        <f t="shared" si="3"/>
        <v>Supervisor 2</v>
      </c>
    </row>
    <row r="27" spans="1:27" x14ac:dyDescent="0.25">
      <c r="A27" s="124"/>
      <c r="P27" s="122"/>
      <c r="Q27" s="123">
        <v>613605</v>
      </c>
      <c r="R27" s="118">
        <v>41153</v>
      </c>
      <c r="S27" s="117">
        <v>0.265625</v>
      </c>
      <c r="T27" s="126">
        <v>41153.958333333336</v>
      </c>
      <c r="U27" s="126">
        <f t="shared" si="0"/>
        <v>41154.223958333336</v>
      </c>
      <c r="V27" s="126">
        <f>$R27+F23</f>
        <v>41153.986111111109</v>
      </c>
      <c r="W27" s="126">
        <f>V27+E23</f>
        <v>41154.25</v>
      </c>
      <c r="X27" s="126">
        <f t="shared" si="1"/>
        <v>0</v>
      </c>
      <c r="Y27" s="126">
        <f t="shared" si="2"/>
        <v>0</v>
      </c>
      <c r="Z27" s="169">
        <f>S27-X27-Y27</f>
        <v>0.265625</v>
      </c>
      <c r="AA27" t="str">
        <f t="shared" si="3"/>
        <v>Supervisor 2</v>
      </c>
    </row>
    <row r="28" spans="1:27" x14ac:dyDescent="0.25">
      <c r="A28" s="124"/>
      <c r="P28" s="122"/>
      <c r="Q28" s="123">
        <v>613605</v>
      </c>
      <c r="R28" s="118">
        <v>41154</v>
      </c>
      <c r="S28" s="117">
        <v>0.25040509259259258</v>
      </c>
      <c r="T28" s="126">
        <v>41154.989583333336</v>
      </c>
      <c r="U28" s="126">
        <f t="shared" si="0"/>
        <v>41155.239988425928</v>
      </c>
      <c r="V28" s="126">
        <f>$R28+J23</f>
        <v>41154.986111111109</v>
      </c>
      <c r="W28" s="126">
        <f>V28+I23</f>
        <v>41155.25</v>
      </c>
      <c r="X28" s="126">
        <f t="shared" si="1"/>
        <v>3.4722222262644209E-3</v>
      </c>
      <c r="Y28" s="126">
        <f t="shared" si="2"/>
        <v>0</v>
      </c>
      <c r="Z28" s="169">
        <f>S28-X28-Y28</f>
        <v>0.24693287036632816</v>
      </c>
      <c r="AA28" t="str">
        <f t="shared" si="3"/>
        <v>Supervisor 2</v>
      </c>
    </row>
    <row r="29" spans="1:27" x14ac:dyDescent="0.25">
      <c r="A29" s="124"/>
      <c r="P29" s="122"/>
      <c r="Q29" s="123">
        <v>613605</v>
      </c>
      <c r="R29" s="118">
        <v>41155</v>
      </c>
      <c r="S29" s="117">
        <v>9.8090277777777776E-2</v>
      </c>
      <c r="T29" s="126">
        <v>41155.986111111109</v>
      </c>
      <c r="U29" s="126">
        <f t="shared" si="0"/>
        <v>41156.084201388891</v>
      </c>
      <c r="V29" s="126">
        <f>$R29+N23</f>
        <v>41155.986111111109</v>
      </c>
      <c r="W29" s="126">
        <f>V29+M23</f>
        <v>41156.25</v>
      </c>
      <c r="X29" s="126">
        <f t="shared" si="1"/>
        <v>0</v>
      </c>
      <c r="Y29" s="126">
        <f t="shared" si="2"/>
        <v>0</v>
      </c>
      <c r="Z29" s="169">
        <f>S29-X29-Y29</f>
        <v>9.8090277777777776E-2</v>
      </c>
      <c r="AA29" t="str">
        <f t="shared" si="3"/>
        <v>Supervisor 2</v>
      </c>
    </row>
    <row r="30" spans="1:27" x14ac:dyDescent="0.25">
      <c r="A30" s="124"/>
      <c r="N30" s="125"/>
    </row>
  </sheetData>
  <mergeCells count="20">
    <mergeCell ref="E7:J7"/>
    <mergeCell ref="A1:S1"/>
    <mergeCell ref="B5:C5"/>
    <mergeCell ref="B6:C6"/>
    <mergeCell ref="B7:C7"/>
    <mergeCell ref="E6:J6"/>
    <mergeCell ref="E5:J5"/>
    <mergeCell ref="E19:G19"/>
    <mergeCell ref="I19:K19"/>
    <mergeCell ref="M19:O19"/>
    <mergeCell ref="B9:C9"/>
    <mergeCell ref="B11:C11"/>
    <mergeCell ref="B14:C14"/>
    <mergeCell ref="B16:C16"/>
    <mergeCell ref="B12:C12"/>
    <mergeCell ref="E16:J16"/>
    <mergeCell ref="E14:J14"/>
    <mergeCell ref="E12:J12"/>
    <mergeCell ref="E11:J11"/>
    <mergeCell ref="E9:J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04">
    <tabColor theme="2" tint="-0.249977111117893"/>
  </sheetPr>
  <dimension ref="A1:AC483"/>
  <sheetViews>
    <sheetView showGridLines="0" zoomScaleNormal="100" workbookViewId="0">
      <selection sqref="A1:I1"/>
    </sheetView>
  </sheetViews>
  <sheetFormatPr defaultRowHeight="15" x14ac:dyDescent="0.25"/>
  <cols>
    <col min="1" max="1" width="12" bestFit="1" customWidth="1"/>
    <col min="2" max="2" width="16.42578125" bestFit="1" customWidth="1"/>
    <col min="3" max="3" width="11" bestFit="1" customWidth="1"/>
    <col min="4" max="4" width="10.7109375" bestFit="1" customWidth="1"/>
    <col min="5" max="5" width="12.7109375" bestFit="1" customWidth="1"/>
    <col min="6" max="6" width="14.140625" bestFit="1" customWidth="1"/>
    <col min="7" max="7" width="9.85546875" bestFit="1" customWidth="1"/>
    <col min="8" max="8" width="10" bestFit="1" customWidth="1"/>
    <col min="9" max="9" width="12" bestFit="1" customWidth="1"/>
    <col min="11" max="11" width="18" customWidth="1"/>
    <col min="12" max="12" width="22.42578125" bestFit="1" customWidth="1"/>
    <col min="13" max="13" width="22.140625" bestFit="1" customWidth="1"/>
    <col min="14" max="14" width="44.28515625" bestFit="1" customWidth="1"/>
    <col min="15" max="15" width="22.42578125" bestFit="1" customWidth="1"/>
    <col min="16" max="16" width="22.140625" customWidth="1"/>
    <col min="17" max="17" width="44.28515625" bestFit="1" customWidth="1"/>
    <col min="18" max="18" width="22.42578125" bestFit="1" customWidth="1"/>
    <col min="19" max="19" width="22.140625" bestFit="1" customWidth="1"/>
    <col min="20" max="20" width="44.28515625" bestFit="1" customWidth="1"/>
    <col min="21" max="21" width="22.42578125" bestFit="1" customWidth="1"/>
    <col min="22" max="22" width="22.140625" customWidth="1"/>
    <col min="23" max="23" width="44.28515625" bestFit="1" customWidth="1"/>
    <col min="24" max="24" width="22.42578125" bestFit="1" customWidth="1"/>
    <col min="25" max="25" width="22.140625" bestFit="1" customWidth="1"/>
    <col min="26" max="26" width="44.28515625" bestFit="1" customWidth="1"/>
    <col min="27" max="27" width="27.42578125" bestFit="1" customWidth="1"/>
    <col min="28" max="28" width="27.140625" bestFit="1" customWidth="1"/>
    <col min="29" max="29" width="49.28515625" bestFit="1" customWidth="1"/>
  </cols>
  <sheetData>
    <row r="1" spans="1:29" ht="156.75" customHeight="1" thickBot="1" x14ac:dyDescent="0.3">
      <c r="A1" s="134" t="s">
        <v>1360</v>
      </c>
      <c r="B1" s="135"/>
      <c r="C1" s="135"/>
      <c r="D1" s="135"/>
      <c r="E1" s="135"/>
      <c r="F1" s="135"/>
      <c r="G1" s="135"/>
      <c r="H1" s="135"/>
      <c r="I1" s="136"/>
    </row>
    <row r="3" spans="1:29" x14ac:dyDescent="0.25">
      <c r="A3" s="1" t="s">
        <v>0</v>
      </c>
      <c r="B3" s="1" t="s">
        <v>1</v>
      </c>
      <c r="C3" s="1" t="s">
        <v>9</v>
      </c>
      <c r="D3" s="1" t="s">
        <v>10</v>
      </c>
      <c r="E3" s="1" t="s">
        <v>15</v>
      </c>
      <c r="F3" s="1" t="s">
        <v>2</v>
      </c>
      <c r="G3" s="1" t="s">
        <v>3</v>
      </c>
      <c r="H3" s="1" t="s">
        <v>4</v>
      </c>
      <c r="I3" s="1" t="s">
        <v>5</v>
      </c>
    </row>
    <row r="4" spans="1:29" x14ac:dyDescent="0.25">
      <c r="A4" s="2" t="s">
        <v>6</v>
      </c>
      <c r="B4" s="2" t="s">
        <v>7</v>
      </c>
      <c r="C4" s="6">
        <v>41091</v>
      </c>
      <c r="D4" s="7">
        <v>0.33333333333333331</v>
      </c>
      <c r="E4" s="8">
        <v>721</v>
      </c>
      <c r="F4" s="8">
        <v>1215</v>
      </c>
      <c r="G4" s="8">
        <v>1152</v>
      </c>
      <c r="H4" s="8">
        <v>63</v>
      </c>
      <c r="I4" s="8">
        <v>0</v>
      </c>
      <c r="K4" s="128" t="s">
        <v>1</v>
      </c>
      <c r="L4" t="s">
        <v>1433</v>
      </c>
    </row>
    <row r="5" spans="1:29" x14ac:dyDescent="0.25">
      <c r="A5" s="2" t="s">
        <v>6</v>
      </c>
      <c r="B5" s="2" t="s">
        <v>7</v>
      </c>
      <c r="C5" s="6">
        <v>41091</v>
      </c>
      <c r="D5" s="7">
        <v>0.35416666666666669</v>
      </c>
      <c r="E5" s="8">
        <v>764</v>
      </c>
      <c r="F5" s="8">
        <v>1678</v>
      </c>
      <c r="G5" s="8">
        <v>1617</v>
      </c>
      <c r="H5" s="8">
        <v>61</v>
      </c>
      <c r="I5" s="8">
        <v>0</v>
      </c>
    </row>
    <row r="6" spans="1:29" x14ac:dyDescent="0.25">
      <c r="A6" s="2" t="s">
        <v>6</v>
      </c>
      <c r="B6" s="2" t="s">
        <v>7</v>
      </c>
      <c r="C6" s="6">
        <v>41091</v>
      </c>
      <c r="D6" s="7">
        <v>0.375</v>
      </c>
      <c r="E6" s="8">
        <v>256</v>
      </c>
      <c r="F6" s="8">
        <v>2124</v>
      </c>
      <c r="G6" s="8">
        <v>2095</v>
      </c>
      <c r="H6" s="8">
        <v>29</v>
      </c>
      <c r="I6" s="8">
        <v>0</v>
      </c>
      <c r="L6" s="128" t="s">
        <v>1436</v>
      </c>
    </row>
    <row r="7" spans="1:29" x14ac:dyDescent="0.25">
      <c r="A7" s="2" t="s">
        <v>6</v>
      </c>
      <c r="B7" s="2" t="s">
        <v>7</v>
      </c>
      <c r="C7" s="6">
        <v>41091</v>
      </c>
      <c r="D7" s="7">
        <v>0.39583333333333331</v>
      </c>
      <c r="E7" s="8">
        <v>257</v>
      </c>
      <c r="F7" s="8">
        <v>2724</v>
      </c>
      <c r="G7" s="8">
        <v>2686</v>
      </c>
      <c r="H7" s="8">
        <v>38</v>
      </c>
      <c r="I7" s="8">
        <v>0</v>
      </c>
      <c r="L7" s="104">
        <v>41091</v>
      </c>
      <c r="O7" s="104">
        <v>41092</v>
      </c>
      <c r="R7" s="104">
        <v>41093</v>
      </c>
      <c r="U7" s="104">
        <v>41094</v>
      </c>
      <c r="X7" s="104">
        <v>41095</v>
      </c>
      <c r="AA7" s="104" t="s">
        <v>1438</v>
      </c>
      <c r="AB7" s="104" t="s">
        <v>1439</v>
      </c>
      <c r="AC7" s="104" t="s">
        <v>1441</v>
      </c>
    </row>
    <row r="8" spans="1:29" x14ac:dyDescent="0.25">
      <c r="A8" s="2" t="s">
        <v>6</v>
      </c>
      <c r="B8" s="2" t="s">
        <v>7</v>
      </c>
      <c r="C8" s="6">
        <v>41091</v>
      </c>
      <c r="D8" s="7">
        <v>0.41666666666666669</v>
      </c>
      <c r="E8" s="8">
        <v>244</v>
      </c>
      <c r="F8" s="8">
        <v>3066</v>
      </c>
      <c r="G8" s="8">
        <v>2902</v>
      </c>
      <c r="H8" s="8">
        <v>164</v>
      </c>
      <c r="I8" s="8">
        <v>0</v>
      </c>
      <c r="K8" s="128" t="s">
        <v>1434</v>
      </c>
      <c r="L8" t="s">
        <v>1437</v>
      </c>
      <c r="M8" t="s">
        <v>1440</v>
      </c>
      <c r="N8" t="s">
        <v>1442</v>
      </c>
      <c r="O8" t="s">
        <v>1437</v>
      </c>
      <c r="P8" t="s">
        <v>1440</v>
      </c>
      <c r="Q8" t="s">
        <v>1442</v>
      </c>
      <c r="R8" t="s">
        <v>1437</v>
      </c>
      <c r="S8" t="s">
        <v>1440</v>
      </c>
      <c r="T8" t="s">
        <v>1442</v>
      </c>
      <c r="U8" t="s">
        <v>1437</v>
      </c>
      <c r="V8" t="s">
        <v>1440</v>
      </c>
      <c r="W8" t="s">
        <v>1442</v>
      </c>
      <c r="X8" t="s">
        <v>1437</v>
      </c>
      <c r="Y8" t="s">
        <v>1440</v>
      </c>
      <c r="Z8" t="s">
        <v>1442</v>
      </c>
    </row>
    <row r="9" spans="1:29" x14ac:dyDescent="0.25">
      <c r="A9" s="2" t="s">
        <v>6</v>
      </c>
      <c r="B9" s="2" t="s">
        <v>7</v>
      </c>
      <c r="C9" s="6">
        <v>41091</v>
      </c>
      <c r="D9" s="7">
        <v>0.4375</v>
      </c>
      <c r="E9" s="8">
        <v>247</v>
      </c>
      <c r="F9" s="8">
        <v>3622</v>
      </c>
      <c r="G9" s="8">
        <v>3271</v>
      </c>
      <c r="H9" s="8">
        <v>351</v>
      </c>
      <c r="I9" s="8">
        <v>0</v>
      </c>
      <c r="K9" s="129">
        <v>0.33333333333333331</v>
      </c>
      <c r="L9" s="130">
        <v>1565</v>
      </c>
      <c r="M9" s="132">
        <v>400.25</v>
      </c>
      <c r="N9" s="131">
        <v>5.5591054313099041E-2</v>
      </c>
      <c r="O9" s="130">
        <v>7291</v>
      </c>
      <c r="P9" s="132">
        <v>430.25</v>
      </c>
      <c r="Q9" s="131">
        <v>4.4575504046084215E-2</v>
      </c>
      <c r="R9" s="130">
        <v>7611</v>
      </c>
      <c r="S9" s="132">
        <v>425.25</v>
      </c>
      <c r="T9" s="131">
        <v>4.2307186966233083E-2</v>
      </c>
      <c r="U9" s="130">
        <v>7096</v>
      </c>
      <c r="V9" s="132">
        <v>460.75</v>
      </c>
      <c r="W9" s="131">
        <v>2.5507328072153324E-2</v>
      </c>
      <c r="X9" s="130">
        <v>6189</v>
      </c>
      <c r="Y9" s="132">
        <v>491.5</v>
      </c>
      <c r="Z9" s="131">
        <v>2.6983357569882047E-2</v>
      </c>
      <c r="AA9" s="130">
        <v>29752</v>
      </c>
      <c r="AB9" s="132">
        <v>441.6</v>
      </c>
      <c r="AC9" s="131">
        <v>3.6367303038451197E-2</v>
      </c>
    </row>
    <row r="10" spans="1:29" x14ac:dyDescent="0.25">
      <c r="A10" s="2" t="s">
        <v>6</v>
      </c>
      <c r="B10" s="2" t="s">
        <v>7</v>
      </c>
      <c r="C10" s="6">
        <v>41091</v>
      </c>
      <c r="D10" s="7">
        <v>0.45833333333333331</v>
      </c>
      <c r="E10" s="8">
        <v>255</v>
      </c>
      <c r="F10" s="8">
        <v>3767</v>
      </c>
      <c r="G10" s="8">
        <v>3170</v>
      </c>
      <c r="H10" s="8">
        <v>597</v>
      </c>
      <c r="I10" s="8">
        <v>0</v>
      </c>
      <c r="K10" s="129">
        <v>0.35416666666666669</v>
      </c>
      <c r="L10" s="130">
        <v>2096</v>
      </c>
      <c r="M10" s="132">
        <v>469.25</v>
      </c>
      <c r="N10" s="131">
        <v>3.3874045801526718E-2</v>
      </c>
      <c r="O10" s="130">
        <v>10787</v>
      </c>
      <c r="P10" s="132">
        <v>569.5</v>
      </c>
      <c r="Q10" s="131">
        <v>3.7359784926300176E-2</v>
      </c>
      <c r="R10" s="130">
        <v>11503</v>
      </c>
      <c r="S10" s="132">
        <v>551.5</v>
      </c>
      <c r="T10" s="131">
        <v>4.9117621490046073E-2</v>
      </c>
      <c r="U10" s="130">
        <v>10317</v>
      </c>
      <c r="V10" s="132">
        <v>534.25</v>
      </c>
      <c r="W10" s="131">
        <v>4.6428225259280802E-2</v>
      </c>
      <c r="X10" s="130">
        <v>9150</v>
      </c>
      <c r="Y10" s="132">
        <v>527</v>
      </c>
      <c r="Z10" s="131">
        <v>3.3661202185792348E-2</v>
      </c>
      <c r="AA10" s="130">
        <v>43853</v>
      </c>
      <c r="AB10" s="132">
        <v>530.29999999999995</v>
      </c>
      <c r="AC10" s="131">
        <v>4.16391124894534E-2</v>
      </c>
    </row>
    <row r="11" spans="1:29" x14ac:dyDescent="0.25">
      <c r="A11" s="2" t="s">
        <v>6</v>
      </c>
      <c r="B11" s="2" t="s">
        <v>7</v>
      </c>
      <c r="C11" s="6">
        <v>41091</v>
      </c>
      <c r="D11" s="7">
        <v>0.47916666666666669</v>
      </c>
      <c r="E11" s="8">
        <v>262</v>
      </c>
      <c r="F11" s="8">
        <v>4226</v>
      </c>
      <c r="G11" s="8">
        <v>3599</v>
      </c>
      <c r="H11" s="8">
        <v>627</v>
      </c>
      <c r="I11" s="8">
        <v>0</v>
      </c>
      <c r="K11" s="129">
        <v>0.375</v>
      </c>
      <c r="L11" s="130">
        <v>2807</v>
      </c>
      <c r="M11" s="132">
        <v>351</v>
      </c>
      <c r="N11" s="131">
        <v>1.5318845742785893E-2</v>
      </c>
      <c r="O11" s="130">
        <v>16509</v>
      </c>
      <c r="P11" s="132">
        <v>633.25</v>
      </c>
      <c r="Q11" s="131">
        <v>4.8094978496577623E-2</v>
      </c>
      <c r="R11" s="130">
        <v>17231</v>
      </c>
      <c r="S11" s="132">
        <v>617.25</v>
      </c>
      <c r="T11" s="131">
        <v>5.3856421565782603E-2</v>
      </c>
      <c r="U11" s="130">
        <v>16686</v>
      </c>
      <c r="V11" s="132">
        <v>597.25</v>
      </c>
      <c r="W11" s="131">
        <v>5.0641256142874264E-2</v>
      </c>
      <c r="X11" s="130">
        <v>16286</v>
      </c>
      <c r="Y11" s="132">
        <v>606</v>
      </c>
      <c r="Z11" s="131">
        <v>8.7805477096893042E-2</v>
      </c>
      <c r="AA11" s="130">
        <v>69519</v>
      </c>
      <c r="AB11" s="132">
        <v>560.95000000000005</v>
      </c>
      <c r="AC11" s="131">
        <v>5.8113609229131606E-2</v>
      </c>
    </row>
    <row r="12" spans="1:29" x14ac:dyDescent="0.25">
      <c r="A12" s="2" t="s">
        <v>6</v>
      </c>
      <c r="B12" s="2" t="s">
        <v>7</v>
      </c>
      <c r="C12" s="6">
        <v>41091</v>
      </c>
      <c r="D12" s="7">
        <v>0.5</v>
      </c>
      <c r="E12" s="8">
        <v>248</v>
      </c>
      <c r="F12" s="8">
        <v>4115</v>
      </c>
      <c r="G12" s="8">
        <v>3528</v>
      </c>
      <c r="H12" s="8">
        <v>587</v>
      </c>
      <c r="I12" s="8">
        <v>0</v>
      </c>
      <c r="K12" s="129">
        <v>0.39583333333333331</v>
      </c>
      <c r="L12" s="130">
        <v>3782</v>
      </c>
      <c r="M12" s="132">
        <v>362.5</v>
      </c>
      <c r="N12" s="131">
        <v>2.1946060285563194E-2</v>
      </c>
      <c r="O12" s="130">
        <v>20182</v>
      </c>
      <c r="P12" s="132">
        <v>656.5</v>
      </c>
      <c r="Q12" s="131">
        <v>5.1283321771875931E-2</v>
      </c>
      <c r="R12" s="130">
        <v>20971</v>
      </c>
      <c r="S12" s="132">
        <v>641.75</v>
      </c>
      <c r="T12" s="131">
        <v>5.6935768442134375E-2</v>
      </c>
      <c r="U12" s="130">
        <v>20056</v>
      </c>
      <c r="V12" s="132">
        <v>613.75</v>
      </c>
      <c r="W12" s="131">
        <v>6.5616274431591542E-2</v>
      </c>
      <c r="X12" s="130">
        <v>18803</v>
      </c>
      <c r="Y12" s="132">
        <v>621.75</v>
      </c>
      <c r="Z12" s="131">
        <v>5.8341753975429456E-2</v>
      </c>
      <c r="AA12" s="130">
        <v>83794</v>
      </c>
      <c r="AB12" s="132">
        <v>579.25</v>
      </c>
      <c r="AC12" s="131">
        <v>5.6388285557438481E-2</v>
      </c>
    </row>
    <row r="13" spans="1:29" x14ac:dyDescent="0.25">
      <c r="A13" s="2" t="s">
        <v>6</v>
      </c>
      <c r="B13" s="2" t="s">
        <v>7</v>
      </c>
      <c r="C13" s="6">
        <v>41091</v>
      </c>
      <c r="D13" s="7">
        <v>0.52083333333333337</v>
      </c>
      <c r="E13" s="8">
        <v>210</v>
      </c>
      <c r="F13" s="8">
        <v>3702</v>
      </c>
      <c r="G13" s="8">
        <v>3302</v>
      </c>
      <c r="H13" s="8">
        <v>400</v>
      </c>
      <c r="I13" s="8">
        <v>0</v>
      </c>
      <c r="K13" s="129">
        <v>0.41666666666666669</v>
      </c>
      <c r="L13" s="130">
        <v>4394</v>
      </c>
      <c r="M13" s="132">
        <v>345.75</v>
      </c>
      <c r="N13" s="131">
        <v>5.3937187073281746E-2</v>
      </c>
      <c r="O13" s="130">
        <v>21775</v>
      </c>
      <c r="P13" s="132">
        <v>652.75</v>
      </c>
      <c r="Q13" s="131">
        <v>5.4144661308840415E-2</v>
      </c>
      <c r="R13" s="130">
        <v>21847</v>
      </c>
      <c r="S13" s="132">
        <v>640.5</v>
      </c>
      <c r="T13" s="131">
        <v>5.5064768618116905E-2</v>
      </c>
      <c r="U13" s="130">
        <v>20729</v>
      </c>
      <c r="V13" s="132">
        <v>619</v>
      </c>
      <c r="W13" s="131">
        <v>6.7538231463167536E-2</v>
      </c>
      <c r="X13" s="130">
        <v>20096</v>
      </c>
      <c r="Y13" s="132">
        <v>579.25</v>
      </c>
      <c r="Z13" s="131">
        <v>5.4936305732484078E-2</v>
      </c>
      <c r="AA13" s="130">
        <v>88841</v>
      </c>
      <c r="AB13" s="132">
        <v>567.45000000000005</v>
      </c>
      <c r="AC13" s="131">
        <v>5.7664816920115713E-2</v>
      </c>
    </row>
    <row r="14" spans="1:29" x14ac:dyDescent="0.25">
      <c r="A14" s="2" t="s">
        <v>6</v>
      </c>
      <c r="B14" s="2" t="s">
        <v>7</v>
      </c>
      <c r="C14" s="6">
        <v>41091</v>
      </c>
      <c r="D14" s="7">
        <v>0.54166666666666663</v>
      </c>
      <c r="E14" s="8">
        <v>203</v>
      </c>
      <c r="F14" s="8">
        <v>3909</v>
      </c>
      <c r="G14" s="8">
        <v>3274</v>
      </c>
      <c r="H14" s="8">
        <v>635</v>
      </c>
      <c r="I14" s="8">
        <v>0</v>
      </c>
      <c r="K14" s="129">
        <v>0.4375</v>
      </c>
      <c r="L14" s="130">
        <v>5145</v>
      </c>
      <c r="M14" s="132">
        <v>352.25</v>
      </c>
      <c r="N14" s="131">
        <v>9.4071914480077748E-2</v>
      </c>
      <c r="O14" s="130">
        <v>22839</v>
      </c>
      <c r="P14" s="132">
        <v>657.5</v>
      </c>
      <c r="Q14" s="131">
        <v>5.3548754323744473E-2</v>
      </c>
      <c r="R14" s="130">
        <v>22855</v>
      </c>
      <c r="S14" s="132">
        <v>639.5</v>
      </c>
      <c r="T14" s="131">
        <v>4.9792168015751474E-2</v>
      </c>
      <c r="U14" s="130">
        <v>22203</v>
      </c>
      <c r="V14" s="132">
        <v>630.5</v>
      </c>
      <c r="W14" s="131">
        <v>6.107282799621673E-2</v>
      </c>
      <c r="X14" s="130">
        <v>20467</v>
      </c>
      <c r="Y14" s="132">
        <v>580</v>
      </c>
      <c r="Z14" s="131">
        <v>5.0666927248741875E-2</v>
      </c>
      <c r="AA14" s="130">
        <v>93509</v>
      </c>
      <c r="AB14" s="132">
        <v>571.95000000000005</v>
      </c>
      <c r="AC14" s="131">
        <v>5.601599846004128E-2</v>
      </c>
    </row>
    <row r="15" spans="1:29" x14ac:dyDescent="0.25">
      <c r="A15" s="2" t="s">
        <v>6</v>
      </c>
      <c r="B15" s="2" t="s">
        <v>7</v>
      </c>
      <c r="C15" s="6">
        <v>41091</v>
      </c>
      <c r="D15" s="7">
        <v>0.5625</v>
      </c>
      <c r="E15" s="8">
        <v>203</v>
      </c>
      <c r="F15" s="8">
        <v>3961</v>
      </c>
      <c r="G15" s="8">
        <v>3237</v>
      </c>
      <c r="H15" s="8">
        <v>724</v>
      </c>
      <c r="I15" s="8">
        <v>0</v>
      </c>
      <c r="K15" s="129">
        <v>0.45833333333333331</v>
      </c>
      <c r="L15" s="130">
        <v>5411</v>
      </c>
      <c r="M15" s="132">
        <v>354.25</v>
      </c>
      <c r="N15" s="131">
        <v>0.12992053224912214</v>
      </c>
      <c r="O15" s="130">
        <v>23374</v>
      </c>
      <c r="P15" s="132">
        <v>661.5</v>
      </c>
      <c r="Q15" s="131">
        <v>5.5275091982544711E-2</v>
      </c>
      <c r="R15" s="130">
        <v>22403</v>
      </c>
      <c r="S15" s="132">
        <v>648.5</v>
      </c>
      <c r="T15" s="131">
        <v>6.5303753961523006E-2</v>
      </c>
      <c r="U15" s="130">
        <v>22217</v>
      </c>
      <c r="V15" s="132">
        <v>621.25</v>
      </c>
      <c r="W15" s="131">
        <v>6.6390601791420978E-2</v>
      </c>
      <c r="X15" s="130">
        <v>20694</v>
      </c>
      <c r="Y15" s="132">
        <v>595</v>
      </c>
      <c r="Z15" s="131">
        <v>5.7987822557262973E-2</v>
      </c>
      <c r="AA15" s="130">
        <v>94099</v>
      </c>
      <c r="AB15" s="132">
        <v>576.1</v>
      </c>
      <c r="AC15" s="131">
        <v>6.5176038002529246E-2</v>
      </c>
    </row>
    <row r="16" spans="1:29" x14ac:dyDescent="0.25">
      <c r="A16" s="2" t="s">
        <v>6</v>
      </c>
      <c r="B16" s="2" t="s">
        <v>7</v>
      </c>
      <c r="C16" s="6">
        <v>41091</v>
      </c>
      <c r="D16" s="7">
        <v>0.58333333333333337</v>
      </c>
      <c r="E16" s="8">
        <v>208</v>
      </c>
      <c r="F16" s="8">
        <v>3974</v>
      </c>
      <c r="G16" s="8">
        <v>3477</v>
      </c>
      <c r="H16" s="8">
        <v>497</v>
      </c>
      <c r="I16" s="8">
        <v>0</v>
      </c>
      <c r="K16" s="129">
        <v>0.47916666666666669</v>
      </c>
      <c r="L16" s="130">
        <v>5925</v>
      </c>
      <c r="M16" s="132">
        <v>338</v>
      </c>
      <c r="N16" s="131">
        <v>0.12962025316455697</v>
      </c>
      <c r="O16" s="130">
        <v>23779</v>
      </c>
      <c r="P16" s="132">
        <v>665</v>
      </c>
      <c r="Q16" s="131">
        <v>5.6983052273014007E-2</v>
      </c>
      <c r="R16" s="130">
        <v>23399</v>
      </c>
      <c r="S16" s="132">
        <v>665.25</v>
      </c>
      <c r="T16" s="131">
        <v>6.8122569340570108E-2</v>
      </c>
      <c r="U16" s="130">
        <v>22376</v>
      </c>
      <c r="V16" s="132">
        <v>622.5</v>
      </c>
      <c r="W16" s="131">
        <v>5.8678941723274938E-2</v>
      </c>
      <c r="X16" s="130">
        <v>21129</v>
      </c>
      <c r="Y16" s="132">
        <v>666.75</v>
      </c>
      <c r="Z16" s="131">
        <v>5.8213829334090583E-2</v>
      </c>
      <c r="AA16" s="130">
        <v>96608</v>
      </c>
      <c r="AB16" s="132">
        <v>591.5</v>
      </c>
      <c r="AC16" s="131">
        <v>6.4797946339847631E-2</v>
      </c>
    </row>
    <row r="17" spans="1:29" x14ac:dyDescent="0.25">
      <c r="A17" s="2" t="s">
        <v>6</v>
      </c>
      <c r="B17" s="2" t="s">
        <v>7</v>
      </c>
      <c r="C17" s="6">
        <v>41091</v>
      </c>
      <c r="D17" s="7">
        <v>0.60416666666666663</v>
      </c>
      <c r="E17" s="8">
        <v>218</v>
      </c>
      <c r="F17" s="8">
        <v>3555</v>
      </c>
      <c r="G17" s="8">
        <v>3143</v>
      </c>
      <c r="H17" s="8">
        <v>412</v>
      </c>
      <c r="I17" s="8">
        <v>0</v>
      </c>
      <c r="K17" s="129">
        <v>0.5</v>
      </c>
      <c r="L17" s="130">
        <v>5729</v>
      </c>
      <c r="M17" s="132">
        <v>324</v>
      </c>
      <c r="N17" s="131">
        <v>0.12585093384534823</v>
      </c>
      <c r="O17" s="130">
        <v>21782</v>
      </c>
      <c r="P17" s="132">
        <v>669.5</v>
      </c>
      <c r="Q17" s="131">
        <v>6.1197318887154531E-2</v>
      </c>
      <c r="R17" s="130">
        <v>21037</v>
      </c>
      <c r="S17" s="132">
        <v>655.75</v>
      </c>
      <c r="T17" s="131">
        <v>6.6692018823976809E-2</v>
      </c>
      <c r="U17" s="130">
        <v>19947</v>
      </c>
      <c r="V17" s="132">
        <v>658</v>
      </c>
      <c r="W17" s="131">
        <v>5.5096004411690984E-2</v>
      </c>
      <c r="X17" s="130">
        <v>18805</v>
      </c>
      <c r="Y17" s="132">
        <v>652.25</v>
      </c>
      <c r="Z17" s="131">
        <v>6.290880085083754E-2</v>
      </c>
      <c r="AA17" s="130">
        <v>87300</v>
      </c>
      <c r="AB17" s="132">
        <v>591.9</v>
      </c>
      <c r="AC17" s="131">
        <v>6.5738831615120272E-2</v>
      </c>
    </row>
    <row r="18" spans="1:29" x14ac:dyDescent="0.25">
      <c r="A18" s="2" t="s">
        <v>6</v>
      </c>
      <c r="B18" s="2" t="s">
        <v>7</v>
      </c>
      <c r="C18" s="6">
        <v>41091</v>
      </c>
      <c r="D18" s="7">
        <v>0.625</v>
      </c>
      <c r="E18" s="8">
        <v>209</v>
      </c>
      <c r="F18" s="8">
        <v>4473</v>
      </c>
      <c r="G18" s="8">
        <v>3933</v>
      </c>
      <c r="H18" s="8">
        <v>540</v>
      </c>
      <c r="I18" s="8">
        <v>0</v>
      </c>
      <c r="K18" s="129">
        <v>0.52083333333333337</v>
      </c>
      <c r="L18" s="130">
        <v>5153</v>
      </c>
      <c r="M18" s="132">
        <v>312.75</v>
      </c>
      <c r="N18" s="131">
        <v>0.10556957112361731</v>
      </c>
      <c r="O18" s="130">
        <v>20962</v>
      </c>
      <c r="P18" s="132">
        <v>653.5</v>
      </c>
      <c r="Q18" s="131">
        <v>6.0108768247304649E-2</v>
      </c>
      <c r="R18" s="130">
        <v>20572</v>
      </c>
      <c r="S18" s="132">
        <v>624</v>
      </c>
      <c r="T18" s="131">
        <v>7.1164689869725836E-2</v>
      </c>
      <c r="U18" s="130">
        <v>18980</v>
      </c>
      <c r="V18" s="132">
        <v>629</v>
      </c>
      <c r="W18" s="131">
        <v>6.912539515279241E-2</v>
      </c>
      <c r="X18" s="130">
        <v>17883</v>
      </c>
      <c r="Y18" s="132">
        <v>628.25</v>
      </c>
      <c r="Z18" s="131">
        <v>5.7932114298495777E-2</v>
      </c>
      <c r="AA18" s="130">
        <v>83550</v>
      </c>
      <c r="AB18" s="132">
        <v>569.5</v>
      </c>
      <c r="AC18" s="131">
        <v>6.7217235188509875E-2</v>
      </c>
    </row>
    <row r="19" spans="1:29" x14ac:dyDescent="0.25">
      <c r="A19" s="2" t="s">
        <v>6</v>
      </c>
      <c r="B19" s="2" t="s">
        <v>7</v>
      </c>
      <c r="C19" s="6">
        <v>41091</v>
      </c>
      <c r="D19" s="7">
        <v>0.64583333333333337</v>
      </c>
      <c r="E19" s="8">
        <v>216</v>
      </c>
      <c r="F19" s="8">
        <v>3148</v>
      </c>
      <c r="G19" s="8">
        <v>2986</v>
      </c>
      <c r="H19" s="8">
        <v>162</v>
      </c>
      <c r="I19" s="8">
        <v>0</v>
      </c>
      <c r="K19" s="129">
        <v>0.54166666666666663</v>
      </c>
      <c r="L19" s="130">
        <v>5363</v>
      </c>
      <c r="M19" s="132">
        <v>317.5</v>
      </c>
      <c r="N19" s="131">
        <v>0.14450867052023122</v>
      </c>
      <c r="O19" s="130">
        <v>19575</v>
      </c>
      <c r="P19" s="132">
        <v>638.75</v>
      </c>
      <c r="Q19" s="131">
        <v>5.6143039591315454E-2</v>
      </c>
      <c r="R19" s="130">
        <v>19917</v>
      </c>
      <c r="S19" s="132">
        <v>635.5</v>
      </c>
      <c r="T19" s="131">
        <v>7.671838128232164E-2</v>
      </c>
      <c r="U19" s="130">
        <v>20306</v>
      </c>
      <c r="V19" s="132">
        <v>640.75</v>
      </c>
      <c r="W19" s="131">
        <v>6.6236580321087368E-2</v>
      </c>
      <c r="X19" s="130">
        <v>17008</v>
      </c>
      <c r="Y19" s="132">
        <v>633.5</v>
      </c>
      <c r="Z19" s="131">
        <v>4.7977422389463779E-2</v>
      </c>
      <c r="AA19" s="130">
        <v>82169</v>
      </c>
      <c r="AB19" s="132">
        <v>573.20000000000005</v>
      </c>
      <c r="AC19" s="131">
        <v>6.7701931385315633E-2</v>
      </c>
    </row>
    <row r="20" spans="1:29" x14ac:dyDescent="0.25">
      <c r="A20" s="2" t="s">
        <v>6</v>
      </c>
      <c r="B20" s="2" t="s">
        <v>7</v>
      </c>
      <c r="C20" s="6">
        <v>41091</v>
      </c>
      <c r="D20" s="7">
        <v>0.66666666666666663</v>
      </c>
      <c r="E20" s="8">
        <v>209</v>
      </c>
      <c r="F20" s="8">
        <v>3052</v>
      </c>
      <c r="G20" s="8">
        <v>2998</v>
      </c>
      <c r="H20" s="8">
        <v>54</v>
      </c>
      <c r="I20" s="8">
        <v>0</v>
      </c>
      <c r="K20" s="129">
        <v>0.5625</v>
      </c>
      <c r="L20" s="130">
        <v>5456</v>
      </c>
      <c r="M20" s="132">
        <v>314.5</v>
      </c>
      <c r="N20" s="131">
        <v>0.16055718475073313</v>
      </c>
      <c r="O20" s="130">
        <v>20959</v>
      </c>
      <c r="P20" s="132">
        <v>656.75</v>
      </c>
      <c r="Q20" s="131">
        <v>6.2741543012548306E-2</v>
      </c>
      <c r="R20" s="130">
        <v>21748</v>
      </c>
      <c r="S20" s="132">
        <v>639.25</v>
      </c>
      <c r="T20" s="131">
        <v>7.8398013610446932E-2</v>
      </c>
      <c r="U20" s="130">
        <v>21163</v>
      </c>
      <c r="V20" s="132">
        <v>571.25</v>
      </c>
      <c r="W20" s="131">
        <v>8.3164012663611023E-2</v>
      </c>
      <c r="X20" s="130">
        <v>18769</v>
      </c>
      <c r="Y20" s="132">
        <v>650.25</v>
      </c>
      <c r="Z20" s="131">
        <v>4.9549789546592789E-2</v>
      </c>
      <c r="AA20" s="130">
        <v>88095</v>
      </c>
      <c r="AB20" s="132">
        <v>566.4</v>
      </c>
      <c r="AC20" s="131">
        <v>7.4760202054600142E-2</v>
      </c>
    </row>
    <row r="21" spans="1:29" x14ac:dyDescent="0.25">
      <c r="A21" s="2" t="s">
        <v>6</v>
      </c>
      <c r="B21" s="2" t="s">
        <v>7</v>
      </c>
      <c r="C21" s="6">
        <v>41091</v>
      </c>
      <c r="D21" s="7">
        <v>0.6875</v>
      </c>
      <c r="E21" s="8">
        <v>192</v>
      </c>
      <c r="F21" s="8">
        <v>3017</v>
      </c>
      <c r="G21" s="8">
        <v>2959</v>
      </c>
      <c r="H21" s="8">
        <v>58</v>
      </c>
      <c r="I21" s="8">
        <v>0</v>
      </c>
      <c r="K21" s="129">
        <v>0.58333333333333337</v>
      </c>
      <c r="L21" s="130">
        <v>5440</v>
      </c>
      <c r="M21" s="132">
        <v>318.5</v>
      </c>
      <c r="N21" s="131">
        <v>0.12113970588235294</v>
      </c>
      <c r="O21" s="130">
        <v>21572</v>
      </c>
      <c r="P21" s="132">
        <v>674</v>
      </c>
      <c r="Q21" s="131">
        <v>8.2977934359354716E-2</v>
      </c>
      <c r="R21" s="130">
        <v>22463</v>
      </c>
      <c r="S21" s="132">
        <v>660.5</v>
      </c>
      <c r="T21" s="131">
        <v>9.7760762142189372E-2</v>
      </c>
      <c r="U21" s="130">
        <v>21248</v>
      </c>
      <c r="V21" s="132">
        <v>575.5</v>
      </c>
      <c r="W21" s="131">
        <v>0.10132718373493976</v>
      </c>
      <c r="X21" s="130">
        <v>19374</v>
      </c>
      <c r="Y21" s="132">
        <v>628</v>
      </c>
      <c r="Z21" s="131">
        <v>6.5087230308661093E-2</v>
      </c>
      <c r="AA21" s="130">
        <v>90097</v>
      </c>
      <c r="AB21" s="132">
        <v>571.29999999999995</v>
      </c>
      <c r="AC21" s="131">
        <v>8.9448039335382978E-2</v>
      </c>
    </row>
    <row r="22" spans="1:29" x14ac:dyDescent="0.25">
      <c r="A22" s="2" t="s">
        <v>6</v>
      </c>
      <c r="B22" s="2" t="s">
        <v>7</v>
      </c>
      <c r="C22" s="6">
        <v>41091</v>
      </c>
      <c r="D22" s="7">
        <v>0.70833333333333337</v>
      </c>
      <c r="E22" s="8">
        <v>175</v>
      </c>
      <c r="F22" s="8">
        <v>2850</v>
      </c>
      <c r="G22" s="8">
        <v>2809</v>
      </c>
      <c r="H22" s="8">
        <v>41</v>
      </c>
      <c r="I22" s="8">
        <v>0</v>
      </c>
      <c r="K22" s="129">
        <v>0.60416666666666663</v>
      </c>
      <c r="L22" s="130">
        <v>4892</v>
      </c>
      <c r="M22" s="132">
        <v>337</v>
      </c>
      <c r="N22" s="131">
        <v>0.12346688470973018</v>
      </c>
      <c r="O22" s="130">
        <v>22152</v>
      </c>
      <c r="P22" s="132">
        <v>651.5</v>
      </c>
      <c r="Q22" s="131">
        <v>8.2927049476345258E-2</v>
      </c>
      <c r="R22" s="130">
        <v>22222</v>
      </c>
      <c r="S22" s="132">
        <v>640.75</v>
      </c>
      <c r="T22" s="131">
        <v>8.1810818108181083E-2</v>
      </c>
      <c r="U22" s="130">
        <v>21142</v>
      </c>
      <c r="V22" s="132">
        <v>578</v>
      </c>
      <c r="W22" s="131">
        <v>8.7550846655945508E-2</v>
      </c>
      <c r="X22" s="130">
        <v>19218</v>
      </c>
      <c r="Y22" s="132">
        <v>653.25</v>
      </c>
      <c r="Z22" s="131">
        <v>8.1434072223956711E-2</v>
      </c>
      <c r="AA22" s="130">
        <v>89626</v>
      </c>
      <c r="AB22" s="132">
        <v>572.1</v>
      </c>
      <c r="AC22" s="131">
        <v>8.5633633097538658E-2</v>
      </c>
    </row>
    <row r="23" spans="1:29" x14ac:dyDescent="0.25">
      <c r="A23" s="2" t="s">
        <v>6</v>
      </c>
      <c r="B23" s="2" t="s">
        <v>7</v>
      </c>
      <c r="C23" s="6">
        <v>41091</v>
      </c>
      <c r="D23" s="7">
        <v>0.72916666666666663</v>
      </c>
      <c r="E23" s="8">
        <v>194</v>
      </c>
      <c r="F23" s="8">
        <v>2917</v>
      </c>
      <c r="G23" s="8">
        <v>2870</v>
      </c>
      <c r="H23" s="8">
        <v>47</v>
      </c>
      <c r="I23" s="8">
        <v>0</v>
      </c>
      <c r="K23" s="129">
        <v>0.625</v>
      </c>
      <c r="L23" s="130">
        <v>5874</v>
      </c>
      <c r="M23" s="132">
        <v>352</v>
      </c>
      <c r="N23" s="131">
        <v>0.11797752808988764</v>
      </c>
      <c r="O23" s="130">
        <v>20060</v>
      </c>
      <c r="P23" s="132">
        <v>621.25</v>
      </c>
      <c r="Q23" s="131">
        <v>8.005982053838484E-2</v>
      </c>
      <c r="R23" s="130">
        <v>19724</v>
      </c>
      <c r="S23" s="132">
        <v>641.25</v>
      </c>
      <c r="T23" s="131">
        <v>6.7836138714256741E-2</v>
      </c>
      <c r="U23" s="130">
        <v>19442</v>
      </c>
      <c r="V23" s="132">
        <v>583.5</v>
      </c>
      <c r="W23" s="131">
        <v>8.9496965332784686E-2</v>
      </c>
      <c r="X23" s="130">
        <v>18268</v>
      </c>
      <c r="Y23" s="132">
        <v>649.25</v>
      </c>
      <c r="Z23" s="131">
        <v>7.5213488066564485E-2</v>
      </c>
      <c r="AA23" s="130">
        <v>83368</v>
      </c>
      <c r="AB23" s="132">
        <v>569.45000000000005</v>
      </c>
      <c r="AC23" s="131">
        <v>8.0978313021782933E-2</v>
      </c>
    </row>
    <row r="24" spans="1:29" x14ac:dyDescent="0.25">
      <c r="A24" s="2" t="s">
        <v>6</v>
      </c>
      <c r="B24" s="2" t="s">
        <v>7</v>
      </c>
      <c r="C24" s="6">
        <v>41091</v>
      </c>
      <c r="D24" s="7">
        <v>0.75</v>
      </c>
      <c r="E24" s="8">
        <v>196</v>
      </c>
      <c r="F24" s="8">
        <v>4083</v>
      </c>
      <c r="G24" s="8">
        <v>3849</v>
      </c>
      <c r="H24" s="8">
        <v>234</v>
      </c>
      <c r="I24" s="8">
        <v>0</v>
      </c>
      <c r="K24" s="129">
        <v>0.64583333333333337</v>
      </c>
      <c r="L24" s="130">
        <v>4488</v>
      </c>
      <c r="M24" s="132">
        <v>324.5</v>
      </c>
      <c r="N24" s="131">
        <v>6.3502673796791448E-2</v>
      </c>
      <c r="O24" s="130">
        <v>22157</v>
      </c>
      <c r="P24" s="132">
        <v>626.25</v>
      </c>
      <c r="Q24" s="131">
        <v>6.9097802049013862E-2</v>
      </c>
      <c r="R24" s="130">
        <v>21789</v>
      </c>
      <c r="S24" s="132">
        <v>612.75</v>
      </c>
      <c r="T24" s="131">
        <v>8.981596218275277E-2</v>
      </c>
      <c r="U24" s="130">
        <v>20921</v>
      </c>
      <c r="V24" s="132">
        <v>589.25</v>
      </c>
      <c r="W24" s="131">
        <v>9.6936092920988481E-2</v>
      </c>
      <c r="X24" s="130">
        <v>19118</v>
      </c>
      <c r="Y24" s="132">
        <v>641.75</v>
      </c>
      <c r="Z24" s="131">
        <v>8.6829166230777272E-2</v>
      </c>
      <c r="AA24" s="130">
        <v>88473</v>
      </c>
      <c r="AB24" s="132">
        <v>558.9</v>
      </c>
      <c r="AC24" s="131">
        <v>8.433081279034281E-2</v>
      </c>
    </row>
    <row r="25" spans="1:29" x14ac:dyDescent="0.25">
      <c r="A25" s="2" t="s">
        <v>6</v>
      </c>
      <c r="B25" s="2" t="s">
        <v>7</v>
      </c>
      <c r="C25" s="6">
        <v>41091</v>
      </c>
      <c r="D25" s="7">
        <v>0.77083333333333337</v>
      </c>
      <c r="E25" s="8">
        <v>188</v>
      </c>
      <c r="F25" s="8">
        <v>3538</v>
      </c>
      <c r="G25" s="8">
        <v>3309</v>
      </c>
      <c r="H25" s="8">
        <v>229</v>
      </c>
      <c r="I25" s="8">
        <v>0</v>
      </c>
      <c r="K25" s="129">
        <v>0.66666666666666663</v>
      </c>
      <c r="L25" s="130">
        <v>4350</v>
      </c>
      <c r="M25" s="132">
        <v>307.5</v>
      </c>
      <c r="N25" s="131">
        <v>3.8390804597701146E-2</v>
      </c>
      <c r="O25" s="130">
        <v>22880</v>
      </c>
      <c r="P25" s="132">
        <v>609.75</v>
      </c>
      <c r="Q25" s="131">
        <v>8.6713286713286708E-2</v>
      </c>
      <c r="R25" s="130">
        <v>22624</v>
      </c>
      <c r="S25" s="132">
        <v>571.25</v>
      </c>
      <c r="T25" s="131">
        <v>9.5076025459688823E-2</v>
      </c>
      <c r="U25" s="130">
        <v>20848</v>
      </c>
      <c r="V25" s="132">
        <v>619.75</v>
      </c>
      <c r="W25" s="131">
        <v>7.4203760552570996E-2</v>
      </c>
      <c r="X25" s="130">
        <v>19433</v>
      </c>
      <c r="Y25" s="132">
        <v>603</v>
      </c>
      <c r="Z25" s="131">
        <v>7.7239746822415481E-2</v>
      </c>
      <c r="AA25" s="130">
        <v>90135</v>
      </c>
      <c r="AB25" s="132">
        <v>542.25</v>
      </c>
      <c r="AC25" s="131">
        <v>8.1544350141454489E-2</v>
      </c>
    </row>
    <row r="26" spans="1:29" x14ac:dyDescent="0.25">
      <c r="A26" s="2" t="s">
        <v>6</v>
      </c>
      <c r="B26" s="2" t="s">
        <v>7</v>
      </c>
      <c r="C26" s="6">
        <v>41091</v>
      </c>
      <c r="D26" s="7">
        <v>0.79166666666666663</v>
      </c>
      <c r="E26" s="8">
        <v>217</v>
      </c>
      <c r="F26" s="8">
        <v>3255</v>
      </c>
      <c r="G26" s="8">
        <v>2929</v>
      </c>
      <c r="H26" s="8">
        <v>326</v>
      </c>
      <c r="I26" s="8">
        <v>0</v>
      </c>
      <c r="K26" s="129">
        <v>0.6875</v>
      </c>
      <c r="L26" s="130">
        <v>4426</v>
      </c>
      <c r="M26" s="132">
        <v>302.75</v>
      </c>
      <c r="N26" s="131">
        <v>4.1572525982828741E-2</v>
      </c>
      <c r="O26" s="130">
        <v>23050</v>
      </c>
      <c r="P26" s="132">
        <v>591</v>
      </c>
      <c r="Q26" s="131">
        <v>9.3145336225596523E-2</v>
      </c>
      <c r="R26" s="130">
        <v>21884</v>
      </c>
      <c r="S26" s="132">
        <v>571.5</v>
      </c>
      <c r="T26" s="131">
        <v>8.8329373057941876E-2</v>
      </c>
      <c r="U26" s="130">
        <v>21859</v>
      </c>
      <c r="V26" s="132">
        <v>606.75</v>
      </c>
      <c r="W26" s="131">
        <v>0.10343565579395214</v>
      </c>
      <c r="X26" s="130">
        <v>19842</v>
      </c>
      <c r="Y26" s="132">
        <v>606</v>
      </c>
      <c r="Z26" s="131">
        <v>8.7037597016429796E-2</v>
      </c>
      <c r="AA26" s="130">
        <v>91061</v>
      </c>
      <c r="AB26" s="132">
        <v>535.6</v>
      </c>
      <c r="AC26" s="131">
        <v>9.0620573022479431E-2</v>
      </c>
    </row>
    <row r="27" spans="1:29" x14ac:dyDescent="0.25">
      <c r="A27" s="2" t="s">
        <v>6</v>
      </c>
      <c r="B27" s="2" t="s">
        <v>7</v>
      </c>
      <c r="C27" s="6">
        <v>41091</v>
      </c>
      <c r="D27" s="7">
        <v>0.8125</v>
      </c>
      <c r="E27" s="8">
        <v>216</v>
      </c>
      <c r="F27" s="8">
        <v>3034</v>
      </c>
      <c r="G27" s="8">
        <v>2841</v>
      </c>
      <c r="H27" s="8">
        <v>193</v>
      </c>
      <c r="I27" s="8">
        <v>0</v>
      </c>
      <c r="K27" s="129">
        <v>0.70833333333333337</v>
      </c>
      <c r="L27" s="130">
        <v>4129</v>
      </c>
      <c r="M27" s="132">
        <v>313</v>
      </c>
      <c r="N27" s="131">
        <v>3.3664325502542988E-2</v>
      </c>
      <c r="O27" s="130">
        <v>21633</v>
      </c>
      <c r="P27" s="132">
        <v>589.25</v>
      </c>
      <c r="Q27" s="131">
        <v>8.7320297693338877E-2</v>
      </c>
      <c r="R27" s="130">
        <v>20856</v>
      </c>
      <c r="S27" s="132">
        <v>583</v>
      </c>
      <c r="T27" s="131">
        <v>8.8751438434982732E-2</v>
      </c>
      <c r="U27" s="130">
        <v>20292</v>
      </c>
      <c r="V27" s="132">
        <v>614.5</v>
      </c>
      <c r="W27" s="131">
        <v>0.11280307510348905</v>
      </c>
      <c r="X27" s="130">
        <v>19256</v>
      </c>
      <c r="Y27" s="132">
        <v>602</v>
      </c>
      <c r="Z27" s="131">
        <v>0.1006439551308683</v>
      </c>
      <c r="AA27" s="130">
        <v>86166</v>
      </c>
      <c r="AB27" s="132">
        <v>540.35</v>
      </c>
      <c r="AC27" s="131">
        <v>9.4074228814149438E-2</v>
      </c>
    </row>
    <row r="28" spans="1:29" x14ac:dyDescent="0.25">
      <c r="A28" s="2" t="s">
        <v>6</v>
      </c>
      <c r="B28" s="2" t="s">
        <v>7</v>
      </c>
      <c r="C28" s="6">
        <v>41092</v>
      </c>
      <c r="D28" s="7">
        <v>0.33333333333333331</v>
      </c>
      <c r="E28" s="8">
        <v>223</v>
      </c>
      <c r="F28" s="8">
        <v>2578</v>
      </c>
      <c r="G28" s="8">
        <v>2511</v>
      </c>
      <c r="H28" s="8">
        <v>67</v>
      </c>
      <c r="I28" s="8">
        <v>0</v>
      </c>
      <c r="K28" s="129">
        <v>0.72916666666666663</v>
      </c>
      <c r="L28" s="130">
        <v>4124</v>
      </c>
      <c r="M28" s="132">
        <v>337.75</v>
      </c>
      <c r="N28" s="131">
        <v>2.7158098933074686E-2</v>
      </c>
      <c r="O28" s="130">
        <v>22283</v>
      </c>
      <c r="P28" s="132">
        <v>575</v>
      </c>
      <c r="Q28" s="131">
        <v>0.12116860386841988</v>
      </c>
      <c r="R28" s="130">
        <v>21456</v>
      </c>
      <c r="S28" s="132">
        <v>547.75</v>
      </c>
      <c r="T28" s="131">
        <v>8.710850111856823E-2</v>
      </c>
      <c r="U28" s="130">
        <v>18920</v>
      </c>
      <c r="V28" s="132">
        <v>589.5</v>
      </c>
      <c r="W28" s="131">
        <v>0.10380549682875265</v>
      </c>
      <c r="X28" s="130">
        <v>18015</v>
      </c>
      <c r="Y28" s="132">
        <v>588.25</v>
      </c>
      <c r="Z28" s="131">
        <v>0.10419095198445739</v>
      </c>
      <c r="AA28" s="130">
        <v>84798</v>
      </c>
      <c r="AB28" s="132">
        <v>527.65</v>
      </c>
      <c r="AC28" s="131">
        <v>0.10049765324653884</v>
      </c>
    </row>
    <row r="29" spans="1:29" x14ac:dyDescent="0.25">
      <c r="A29" s="2" t="s">
        <v>6</v>
      </c>
      <c r="B29" s="2" t="s">
        <v>7</v>
      </c>
      <c r="C29" s="6">
        <v>41092</v>
      </c>
      <c r="D29" s="7">
        <v>0.35416666666666669</v>
      </c>
      <c r="E29" s="8">
        <v>307</v>
      </c>
      <c r="F29" s="8">
        <v>3548</v>
      </c>
      <c r="G29" s="8">
        <v>3467</v>
      </c>
      <c r="H29" s="8">
        <v>81</v>
      </c>
      <c r="I29" s="8">
        <v>0</v>
      </c>
      <c r="K29" s="129">
        <v>0.75</v>
      </c>
      <c r="L29" s="130">
        <v>5609</v>
      </c>
      <c r="M29" s="132">
        <v>308.75</v>
      </c>
      <c r="N29" s="131">
        <v>6.1151720449277948E-2</v>
      </c>
      <c r="O29" s="130">
        <v>17164</v>
      </c>
      <c r="P29" s="132">
        <v>498.75</v>
      </c>
      <c r="Q29" s="131">
        <v>7.9352132370076905E-2</v>
      </c>
      <c r="R29" s="130">
        <v>17692</v>
      </c>
      <c r="S29" s="132">
        <v>496.5</v>
      </c>
      <c r="T29" s="131">
        <v>0.10010174089984174</v>
      </c>
      <c r="U29" s="130">
        <v>16069</v>
      </c>
      <c r="V29" s="132">
        <v>529.5</v>
      </c>
      <c r="W29" s="131">
        <v>8.3079220860041075E-2</v>
      </c>
      <c r="X29" s="130">
        <v>15873</v>
      </c>
      <c r="Y29" s="132">
        <v>530</v>
      </c>
      <c r="Z29" s="131">
        <v>8.6940086940086939E-2</v>
      </c>
      <c r="AA29" s="130">
        <v>72407</v>
      </c>
      <c r="AB29" s="132">
        <v>472.7</v>
      </c>
      <c r="AC29" s="131">
        <v>8.5502782880108277E-2</v>
      </c>
    </row>
    <row r="30" spans="1:29" x14ac:dyDescent="0.25">
      <c r="A30" s="2" t="s">
        <v>6</v>
      </c>
      <c r="B30" s="2" t="s">
        <v>7</v>
      </c>
      <c r="C30" s="6">
        <v>41092</v>
      </c>
      <c r="D30" s="7">
        <v>0.375</v>
      </c>
      <c r="E30" s="8">
        <v>345</v>
      </c>
      <c r="F30" s="8">
        <v>5349</v>
      </c>
      <c r="G30" s="8">
        <v>5123</v>
      </c>
      <c r="H30" s="8">
        <v>133</v>
      </c>
      <c r="I30" s="8">
        <v>93</v>
      </c>
      <c r="K30" s="129">
        <v>0.77083333333333337</v>
      </c>
      <c r="L30" s="130">
        <v>4998</v>
      </c>
      <c r="M30" s="132">
        <v>300</v>
      </c>
      <c r="N30" s="131">
        <v>6.4825930372148857E-2</v>
      </c>
      <c r="O30" s="130">
        <v>19110</v>
      </c>
      <c r="P30" s="132">
        <v>451</v>
      </c>
      <c r="Q30" s="131">
        <v>0.12333856619570906</v>
      </c>
      <c r="R30" s="130">
        <v>16832</v>
      </c>
      <c r="S30" s="132">
        <v>463</v>
      </c>
      <c r="T30" s="131">
        <v>9.5829372623574147E-2</v>
      </c>
      <c r="U30" s="130">
        <v>15245</v>
      </c>
      <c r="V30" s="132">
        <v>481.5</v>
      </c>
      <c r="W30" s="131">
        <v>9.5113151853066583E-2</v>
      </c>
      <c r="X30" s="130">
        <v>15200</v>
      </c>
      <c r="Y30" s="132">
        <v>477</v>
      </c>
      <c r="Z30" s="131">
        <v>8.4868421052631579E-2</v>
      </c>
      <c r="AA30" s="130">
        <v>71385</v>
      </c>
      <c r="AB30" s="132">
        <v>434.5</v>
      </c>
      <c r="AC30" s="131">
        <v>9.8536107025285424E-2</v>
      </c>
    </row>
    <row r="31" spans="1:29" x14ac:dyDescent="0.25">
      <c r="A31" s="2" t="s">
        <v>6</v>
      </c>
      <c r="B31" s="2" t="s">
        <v>7</v>
      </c>
      <c r="C31" s="6">
        <v>41092</v>
      </c>
      <c r="D31" s="7">
        <v>0.39583333333333331</v>
      </c>
      <c r="E31" s="8">
        <v>330</v>
      </c>
      <c r="F31" s="8">
        <v>6996</v>
      </c>
      <c r="G31" s="8">
        <v>6633</v>
      </c>
      <c r="H31" s="8">
        <v>209</v>
      </c>
      <c r="I31" s="8">
        <v>154</v>
      </c>
      <c r="K31" s="129">
        <v>0.79166666666666663</v>
      </c>
      <c r="L31" s="130">
        <v>4581</v>
      </c>
      <c r="M31" s="132">
        <v>305.75</v>
      </c>
      <c r="N31" s="131">
        <v>9.8013534162846541E-2</v>
      </c>
      <c r="O31" s="130">
        <v>17283</v>
      </c>
      <c r="P31" s="132">
        <v>465.25</v>
      </c>
      <c r="Q31" s="131">
        <v>0.12468900075218423</v>
      </c>
      <c r="R31" s="130">
        <v>14682</v>
      </c>
      <c r="S31" s="132">
        <v>464.5</v>
      </c>
      <c r="T31" s="131">
        <v>8.8884348181446665E-2</v>
      </c>
      <c r="U31" s="130">
        <v>13555</v>
      </c>
      <c r="V31" s="132">
        <v>445.25</v>
      </c>
      <c r="W31" s="131">
        <v>8.9561047583917378E-2</v>
      </c>
      <c r="X31" s="130">
        <v>13981</v>
      </c>
      <c r="Y31" s="132">
        <v>451.5</v>
      </c>
      <c r="Z31" s="131">
        <v>9.3984693512624271E-2</v>
      </c>
      <c r="AA31" s="130">
        <v>64082</v>
      </c>
      <c r="AB31" s="132">
        <v>426.45</v>
      </c>
      <c r="AC31" s="131">
        <v>0.10044942417527543</v>
      </c>
    </row>
    <row r="32" spans="1:29" x14ac:dyDescent="0.25">
      <c r="A32" s="2" t="s">
        <v>6</v>
      </c>
      <c r="B32" s="2" t="s">
        <v>7</v>
      </c>
      <c r="C32" s="6">
        <v>41092</v>
      </c>
      <c r="D32" s="7">
        <v>0.41666666666666669</v>
      </c>
      <c r="E32" s="8">
        <v>323</v>
      </c>
      <c r="F32" s="8">
        <v>7771</v>
      </c>
      <c r="G32" s="8">
        <v>7303</v>
      </c>
      <c r="H32" s="8">
        <v>300</v>
      </c>
      <c r="I32" s="8">
        <v>168</v>
      </c>
      <c r="K32" s="129">
        <v>0.8125</v>
      </c>
      <c r="L32" s="130">
        <v>4386</v>
      </c>
      <c r="M32" s="132">
        <v>292.25</v>
      </c>
      <c r="N32" s="131">
        <v>6.953944368445053E-2</v>
      </c>
      <c r="O32" s="130">
        <v>15734</v>
      </c>
      <c r="P32" s="132">
        <v>432</v>
      </c>
      <c r="Q32" s="131">
        <v>8.8280157620439809E-2</v>
      </c>
      <c r="R32" s="130">
        <v>14644</v>
      </c>
      <c r="S32" s="132">
        <v>444.5</v>
      </c>
      <c r="T32" s="131">
        <v>0.10912319038514068</v>
      </c>
      <c r="U32" s="130">
        <v>13790</v>
      </c>
      <c r="V32" s="132">
        <v>430.75</v>
      </c>
      <c r="W32" s="131">
        <v>0.11718636693255982</v>
      </c>
      <c r="X32" s="130">
        <v>13459</v>
      </c>
      <c r="Y32" s="132">
        <v>433.5</v>
      </c>
      <c r="Z32" s="131">
        <v>9.614384426777621E-2</v>
      </c>
      <c r="AA32" s="130">
        <v>62013</v>
      </c>
      <c r="AB32" s="132">
        <v>406.6</v>
      </c>
      <c r="AC32" s="131">
        <v>0.10001128795575122</v>
      </c>
    </row>
    <row r="33" spans="1:29" x14ac:dyDescent="0.25">
      <c r="A33" s="2" t="s">
        <v>6</v>
      </c>
      <c r="B33" s="2" t="s">
        <v>7</v>
      </c>
      <c r="C33" s="6">
        <v>41092</v>
      </c>
      <c r="D33" s="7">
        <v>0.4375</v>
      </c>
      <c r="E33" s="8">
        <v>321</v>
      </c>
      <c r="F33" s="8">
        <v>8025</v>
      </c>
      <c r="G33" s="8">
        <v>7544</v>
      </c>
      <c r="H33" s="8">
        <v>307</v>
      </c>
      <c r="I33" s="8">
        <v>174</v>
      </c>
      <c r="K33" s="129" t="s">
        <v>1435</v>
      </c>
      <c r="L33" s="130">
        <v>110123</v>
      </c>
      <c r="M33" s="132">
        <v>335.07291666666669</v>
      </c>
      <c r="N33" s="131">
        <v>8.7683771782461423E-2</v>
      </c>
      <c r="O33" s="130">
        <v>474892</v>
      </c>
      <c r="P33" s="132">
        <v>597.07291666666663</v>
      </c>
      <c r="Q33" s="131">
        <v>7.4459034896355386E-2</v>
      </c>
      <c r="R33" s="130">
        <v>467962</v>
      </c>
      <c r="S33" s="132">
        <v>586.71875</v>
      </c>
      <c r="T33" s="131">
        <v>7.6730589235878124E-2</v>
      </c>
      <c r="U33" s="130">
        <v>445407</v>
      </c>
      <c r="V33" s="132">
        <v>576.75</v>
      </c>
      <c r="W33" s="131">
        <v>7.9318466032190782E-2</v>
      </c>
      <c r="X33" s="130">
        <v>416316</v>
      </c>
      <c r="Y33" s="132">
        <v>587.29166666666663</v>
      </c>
      <c r="Z33" s="131">
        <v>7.1385678186761975E-2</v>
      </c>
      <c r="AA33" s="130">
        <v>1914700</v>
      </c>
      <c r="AB33" s="132">
        <v>536.58124999999995</v>
      </c>
      <c r="AC33" s="131">
        <v>7.6237008408627988E-2</v>
      </c>
    </row>
    <row r="34" spans="1:29" x14ac:dyDescent="0.25">
      <c r="A34" s="2" t="s">
        <v>6</v>
      </c>
      <c r="B34" s="2" t="s">
        <v>7</v>
      </c>
      <c r="C34" s="6">
        <v>41092</v>
      </c>
      <c r="D34" s="7">
        <v>0.45833333333333331</v>
      </c>
      <c r="E34" s="8">
        <v>301</v>
      </c>
      <c r="F34" s="8">
        <v>8422</v>
      </c>
      <c r="G34" s="8">
        <v>7966</v>
      </c>
      <c r="H34" s="8">
        <v>239</v>
      </c>
      <c r="I34" s="8">
        <v>217</v>
      </c>
    </row>
    <row r="35" spans="1:29" x14ac:dyDescent="0.25">
      <c r="A35" s="2" t="s">
        <v>6</v>
      </c>
      <c r="B35" s="2" t="s">
        <v>7</v>
      </c>
      <c r="C35" s="6">
        <v>41092</v>
      </c>
      <c r="D35" s="7">
        <v>0.47916666666666669</v>
      </c>
      <c r="E35" s="8">
        <v>298</v>
      </c>
      <c r="F35" s="8">
        <v>9052</v>
      </c>
      <c r="G35" s="8">
        <v>8603</v>
      </c>
      <c r="H35" s="8">
        <v>267</v>
      </c>
      <c r="I35" s="8">
        <v>182</v>
      </c>
    </row>
    <row r="36" spans="1:29" x14ac:dyDescent="0.25">
      <c r="A36" s="2" t="s">
        <v>6</v>
      </c>
      <c r="B36" s="2" t="s">
        <v>7</v>
      </c>
      <c r="C36" s="6">
        <v>41092</v>
      </c>
      <c r="D36" s="7">
        <v>0.5</v>
      </c>
      <c r="E36" s="8">
        <v>287</v>
      </c>
      <c r="F36" s="8">
        <v>8529</v>
      </c>
      <c r="G36" s="8">
        <v>8070</v>
      </c>
      <c r="H36" s="8">
        <v>286</v>
      </c>
      <c r="I36" s="8">
        <v>173</v>
      </c>
    </row>
    <row r="37" spans="1:29" x14ac:dyDescent="0.25">
      <c r="A37" s="2" t="s">
        <v>6</v>
      </c>
      <c r="B37" s="2" t="s">
        <v>7</v>
      </c>
      <c r="C37" s="6">
        <v>41092</v>
      </c>
      <c r="D37" s="7">
        <v>0.52083333333333337</v>
      </c>
      <c r="E37" s="8">
        <v>339</v>
      </c>
      <c r="F37" s="8">
        <v>8341</v>
      </c>
      <c r="G37" s="8">
        <v>7945</v>
      </c>
      <c r="H37" s="8">
        <v>252</v>
      </c>
      <c r="I37" s="8">
        <v>144</v>
      </c>
    </row>
    <row r="38" spans="1:29" x14ac:dyDescent="0.25">
      <c r="A38" s="2" t="s">
        <v>6</v>
      </c>
      <c r="B38" s="2" t="s">
        <v>7</v>
      </c>
      <c r="C38" s="6">
        <v>41092</v>
      </c>
      <c r="D38" s="7">
        <v>0.54166666666666663</v>
      </c>
      <c r="E38" s="8">
        <v>296</v>
      </c>
      <c r="F38" s="8">
        <v>8268</v>
      </c>
      <c r="G38" s="8">
        <v>7758</v>
      </c>
      <c r="H38" s="8">
        <v>333</v>
      </c>
      <c r="I38" s="8">
        <v>177</v>
      </c>
    </row>
    <row r="39" spans="1:29" x14ac:dyDescent="0.25">
      <c r="A39" s="2" t="s">
        <v>6</v>
      </c>
      <c r="B39" s="2" t="s">
        <v>7</v>
      </c>
      <c r="C39" s="6">
        <v>41092</v>
      </c>
      <c r="D39" s="7">
        <v>0.5625</v>
      </c>
      <c r="E39" s="8">
        <v>312</v>
      </c>
      <c r="F39" s="8">
        <v>8549</v>
      </c>
      <c r="G39" s="8">
        <v>8015</v>
      </c>
      <c r="H39" s="8">
        <v>346</v>
      </c>
      <c r="I39" s="8">
        <v>188</v>
      </c>
    </row>
    <row r="40" spans="1:29" x14ac:dyDescent="0.25">
      <c r="A40" s="2" t="s">
        <v>6</v>
      </c>
      <c r="B40" s="2" t="s">
        <v>7</v>
      </c>
      <c r="C40" s="6">
        <v>41092</v>
      </c>
      <c r="D40" s="7">
        <v>0.58333333333333337</v>
      </c>
      <c r="E40" s="8">
        <v>360</v>
      </c>
      <c r="F40" s="8">
        <v>7936</v>
      </c>
      <c r="G40" s="8">
        <v>7335</v>
      </c>
      <c r="H40" s="8">
        <v>481</v>
      </c>
      <c r="I40" s="8">
        <v>120</v>
      </c>
    </row>
    <row r="41" spans="1:29" x14ac:dyDescent="0.25">
      <c r="A41" s="2" t="s">
        <v>6</v>
      </c>
      <c r="B41" s="2" t="s">
        <v>7</v>
      </c>
      <c r="C41" s="6">
        <v>41092</v>
      </c>
      <c r="D41" s="7">
        <v>0.60416666666666663</v>
      </c>
      <c r="E41" s="8">
        <v>334</v>
      </c>
      <c r="F41" s="8">
        <v>8548</v>
      </c>
      <c r="G41" s="8">
        <v>7699</v>
      </c>
      <c r="H41" s="8">
        <v>618</v>
      </c>
      <c r="I41" s="8">
        <v>231</v>
      </c>
    </row>
    <row r="42" spans="1:29" x14ac:dyDescent="0.25">
      <c r="A42" s="2" t="s">
        <v>6</v>
      </c>
      <c r="B42" s="2" t="s">
        <v>7</v>
      </c>
      <c r="C42" s="6">
        <v>41092</v>
      </c>
      <c r="D42" s="7">
        <v>0.625</v>
      </c>
      <c r="E42" s="8">
        <v>282</v>
      </c>
      <c r="F42" s="8">
        <v>7405</v>
      </c>
      <c r="G42" s="8">
        <v>6943</v>
      </c>
      <c r="H42" s="8">
        <v>415</v>
      </c>
      <c r="I42" s="8">
        <v>47</v>
      </c>
    </row>
    <row r="43" spans="1:29" x14ac:dyDescent="0.25">
      <c r="A43" s="2" t="s">
        <v>6</v>
      </c>
      <c r="B43" s="2" t="s">
        <v>7</v>
      </c>
      <c r="C43" s="6">
        <v>41092</v>
      </c>
      <c r="D43" s="7">
        <v>0.64583333333333337</v>
      </c>
      <c r="E43" s="8">
        <v>351</v>
      </c>
      <c r="F43" s="8">
        <v>8647</v>
      </c>
      <c r="G43" s="8">
        <v>8063</v>
      </c>
      <c r="H43" s="8">
        <v>379</v>
      </c>
      <c r="I43" s="8">
        <v>205</v>
      </c>
    </row>
    <row r="44" spans="1:29" x14ac:dyDescent="0.25">
      <c r="A44" s="2" t="s">
        <v>6</v>
      </c>
      <c r="B44" s="2" t="s">
        <v>7</v>
      </c>
      <c r="C44" s="6">
        <v>41092</v>
      </c>
      <c r="D44" s="7">
        <v>0.66666666666666663</v>
      </c>
      <c r="E44" s="8">
        <v>329</v>
      </c>
      <c r="F44" s="8">
        <v>8849</v>
      </c>
      <c r="G44" s="8">
        <v>8352</v>
      </c>
      <c r="H44" s="8">
        <v>274</v>
      </c>
      <c r="I44" s="8">
        <v>223</v>
      </c>
    </row>
    <row r="45" spans="1:29" x14ac:dyDescent="0.25">
      <c r="A45" s="2" t="s">
        <v>6</v>
      </c>
      <c r="B45" s="2" t="s">
        <v>7</v>
      </c>
      <c r="C45" s="6">
        <v>41092</v>
      </c>
      <c r="D45" s="7">
        <v>0.6875</v>
      </c>
      <c r="E45" s="8">
        <v>342</v>
      </c>
      <c r="F45" s="8">
        <v>8705</v>
      </c>
      <c r="G45" s="8">
        <v>8252</v>
      </c>
      <c r="H45" s="8">
        <v>269</v>
      </c>
      <c r="I45" s="8">
        <v>184</v>
      </c>
    </row>
    <row r="46" spans="1:29" x14ac:dyDescent="0.25">
      <c r="A46" s="2" t="s">
        <v>6</v>
      </c>
      <c r="B46" s="2" t="s">
        <v>7</v>
      </c>
      <c r="C46" s="6">
        <v>41092</v>
      </c>
      <c r="D46" s="7">
        <v>0.70833333333333337</v>
      </c>
      <c r="E46" s="8">
        <v>404</v>
      </c>
      <c r="F46" s="8">
        <v>8369</v>
      </c>
      <c r="G46" s="8">
        <v>7922</v>
      </c>
      <c r="H46" s="8">
        <v>307</v>
      </c>
      <c r="I46" s="8">
        <v>140</v>
      </c>
    </row>
    <row r="47" spans="1:29" x14ac:dyDescent="0.25">
      <c r="A47" s="2" t="s">
        <v>6</v>
      </c>
      <c r="B47" s="2" t="s">
        <v>7</v>
      </c>
      <c r="C47" s="6">
        <v>41092</v>
      </c>
      <c r="D47" s="7">
        <v>0.72916666666666663</v>
      </c>
      <c r="E47" s="8">
        <v>358</v>
      </c>
      <c r="F47" s="8">
        <v>8957</v>
      </c>
      <c r="G47" s="8">
        <v>8459</v>
      </c>
      <c r="H47" s="8">
        <v>302</v>
      </c>
      <c r="I47" s="8">
        <v>196</v>
      </c>
    </row>
    <row r="48" spans="1:29" x14ac:dyDescent="0.25">
      <c r="A48" s="2" t="s">
        <v>6</v>
      </c>
      <c r="B48" s="2" t="s">
        <v>7</v>
      </c>
      <c r="C48" s="6">
        <v>41092</v>
      </c>
      <c r="D48" s="7">
        <v>0.75</v>
      </c>
      <c r="E48" s="8">
        <v>354</v>
      </c>
      <c r="F48" s="8">
        <v>8375</v>
      </c>
      <c r="G48" s="8">
        <v>7750</v>
      </c>
      <c r="H48" s="8">
        <v>419</v>
      </c>
      <c r="I48" s="8">
        <v>206</v>
      </c>
    </row>
    <row r="49" spans="1:9" x14ac:dyDescent="0.25">
      <c r="A49" s="2" t="s">
        <v>6</v>
      </c>
      <c r="B49" s="2" t="s">
        <v>7</v>
      </c>
      <c r="C49" s="6">
        <v>41092</v>
      </c>
      <c r="D49" s="7">
        <v>0.77083333333333337</v>
      </c>
      <c r="E49" s="8">
        <v>354</v>
      </c>
      <c r="F49" s="8">
        <v>10247</v>
      </c>
      <c r="G49" s="8">
        <v>8988</v>
      </c>
      <c r="H49" s="8">
        <v>1056</v>
      </c>
      <c r="I49" s="8">
        <v>203</v>
      </c>
    </row>
    <row r="50" spans="1:9" x14ac:dyDescent="0.25">
      <c r="A50" s="2" t="s">
        <v>6</v>
      </c>
      <c r="B50" s="2" t="s">
        <v>7</v>
      </c>
      <c r="C50" s="6">
        <v>41092</v>
      </c>
      <c r="D50" s="7">
        <v>0.79166666666666663</v>
      </c>
      <c r="E50" s="8">
        <v>355</v>
      </c>
      <c r="F50" s="8">
        <v>9008</v>
      </c>
      <c r="G50" s="8">
        <v>7730</v>
      </c>
      <c r="H50" s="8">
        <v>1114</v>
      </c>
      <c r="I50" s="8">
        <v>164</v>
      </c>
    </row>
    <row r="51" spans="1:9" x14ac:dyDescent="0.25">
      <c r="A51" s="2" t="s">
        <v>6</v>
      </c>
      <c r="B51" s="2" t="s">
        <v>7</v>
      </c>
      <c r="C51" s="6">
        <v>41092</v>
      </c>
      <c r="D51" s="7">
        <v>0.8125</v>
      </c>
      <c r="E51" s="8">
        <v>323</v>
      </c>
      <c r="F51" s="8">
        <v>8400</v>
      </c>
      <c r="G51" s="8">
        <v>7672</v>
      </c>
      <c r="H51" s="8">
        <v>589</v>
      </c>
      <c r="I51" s="8">
        <v>139</v>
      </c>
    </row>
    <row r="52" spans="1:9" x14ac:dyDescent="0.25">
      <c r="A52" s="2" t="s">
        <v>6</v>
      </c>
      <c r="B52" s="2" t="s">
        <v>7</v>
      </c>
      <c r="C52" s="6">
        <v>41093</v>
      </c>
      <c r="D52" s="7">
        <v>0.33333333333333331</v>
      </c>
      <c r="E52" s="8">
        <v>216</v>
      </c>
      <c r="F52" s="8">
        <v>2704</v>
      </c>
      <c r="G52" s="8">
        <v>2601</v>
      </c>
      <c r="H52" s="8">
        <v>103</v>
      </c>
      <c r="I52" s="8">
        <v>0</v>
      </c>
    </row>
    <row r="53" spans="1:9" x14ac:dyDescent="0.25">
      <c r="A53" s="2" t="s">
        <v>6</v>
      </c>
      <c r="B53" s="2" t="s">
        <v>7</v>
      </c>
      <c r="C53" s="6">
        <v>41093</v>
      </c>
      <c r="D53" s="7">
        <v>0.35416666666666669</v>
      </c>
      <c r="E53" s="8">
        <v>356</v>
      </c>
      <c r="F53" s="8">
        <v>3921</v>
      </c>
      <c r="G53" s="8">
        <v>3849</v>
      </c>
      <c r="H53" s="8">
        <v>72</v>
      </c>
      <c r="I53" s="8">
        <v>0</v>
      </c>
    </row>
    <row r="54" spans="1:9" x14ac:dyDescent="0.25">
      <c r="A54" s="2" t="s">
        <v>6</v>
      </c>
      <c r="B54" s="2" t="s">
        <v>7</v>
      </c>
      <c r="C54" s="6">
        <v>41093</v>
      </c>
      <c r="D54" s="7">
        <v>0.375</v>
      </c>
      <c r="E54" s="8">
        <v>343</v>
      </c>
      <c r="F54" s="8">
        <v>6237</v>
      </c>
      <c r="G54" s="8">
        <v>6000</v>
      </c>
      <c r="H54" s="8">
        <v>175</v>
      </c>
      <c r="I54" s="8">
        <v>62</v>
      </c>
    </row>
    <row r="55" spans="1:9" x14ac:dyDescent="0.25">
      <c r="A55" s="2" t="s">
        <v>6</v>
      </c>
      <c r="B55" s="2" t="s">
        <v>7</v>
      </c>
      <c r="C55" s="6">
        <v>41093</v>
      </c>
      <c r="D55" s="7">
        <v>0.39583333333333331</v>
      </c>
      <c r="E55" s="8">
        <v>372</v>
      </c>
      <c r="F55" s="8">
        <v>7879</v>
      </c>
      <c r="G55" s="8">
        <v>7323</v>
      </c>
      <c r="H55" s="8">
        <v>399</v>
      </c>
      <c r="I55" s="8">
        <v>157</v>
      </c>
    </row>
    <row r="56" spans="1:9" x14ac:dyDescent="0.25">
      <c r="A56" s="2" t="s">
        <v>6</v>
      </c>
      <c r="B56" s="2" t="s">
        <v>7</v>
      </c>
      <c r="C56" s="6">
        <v>41093</v>
      </c>
      <c r="D56" s="7">
        <v>0.41666666666666669</v>
      </c>
      <c r="E56" s="8">
        <v>318</v>
      </c>
      <c r="F56" s="8">
        <v>8337</v>
      </c>
      <c r="G56" s="8">
        <v>7804</v>
      </c>
      <c r="H56" s="8">
        <v>327</v>
      </c>
      <c r="I56" s="8">
        <v>206</v>
      </c>
    </row>
    <row r="57" spans="1:9" x14ac:dyDescent="0.25">
      <c r="A57" s="2" t="s">
        <v>6</v>
      </c>
      <c r="B57" s="2" t="s">
        <v>7</v>
      </c>
      <c r="C57" s="6">
        <v>41093</v>
      </c>
      <c r="D57" s="7">
        <v>0.4375</v>
      </c>
      <c r="E57" s="8">
        <v>314</v>
      </c>
      <c r="F57" s="8">
        <v>8174</v>
      </c>
      <c r="G57" s="8">
        <v>7682</v>
      </c>
      <c r="H57" s="8">
        <v>281</v>
      </c>
      <c r="I57" s="8">
        <v>211</v>
      </c>
    </row>
    <row r="58" spans="1:9" x14ac:dyDescent="0.25">
      <c r="A58" s="2" t="s">
        <v>6</v>
      </c>
      <c r="B58" s="2" t="s">
        <v>7</v>
      </c>
      <c r="C58" s="6">
        <v>41093</v>
      </c>
      <c r="D58" s="7">
        <v>0.45833333333333331</v>
      </c>
      <c r="E58" s="8">
        <v>317</v>
      </c>
      <c r="F58" s="8">
        <v>8535</v>
      </c>
      <c r="G58" s="8">
        <v>7728</v>
      </c>
      <c r="H58" s="8">
        <v>612</v>
      </c>
      <c r="I58" s="8">
        <v>195</v>
      </c>
    </row>
    <row r="59" spans="1:9" x14ac:dyDescent="0.25">
      <c r="A59" s="2" t="s">
        <v>6</v>
      </c>
      <c r="B59" s="2" t="s">
        <v>7</v>
      </c>
      <c r="C59" s="6">
        <v>41093</v>
      </c>
      <c r="D59" s="7">
        <v>0.47916666666666669</v>
      </c>
      <c r="E59" s="8">
        <v>309</v>
      </c>
      <c r="F59" s="8">
        <v>9788</v>
      </c>
      <c r="G59" s="8">
        <v>8902</v>
      </c>
      <c r="H59" s="8">
        <v>709</v>
      </c>
      <c r="I59" s="8">
        <v>177</v>
      </c>
    </row>
    <row r="60" spans="1:9" x14ac:dyDescent="0.25">
      <c r="A60" s="2" t="s">
        <v>6</v>
      </c>
      <c r="B60" s="2" t="s">
        <v>7</v>
      </c>
      <c r="C60" s="6">
        <v>41093</v>
      </c>
      <c r="D60" s="7">
        <v>0.5</v>
      </c>
      <c r="E60" s="8">
        <v>296</v>
      </c>
      <c r="F60" s="8">
        <v>8584</v>
      </c>
      <c r="G60" s="8">
        <v>7842</v>
      </c>
      <c r="H60" s="8">
        <v>564</v>
      </c>
      <c r="I60" s="8">
        <v>178</v>
      </c>
    </row>
    <row r="61" spans="1:9" x14ac:dyDescent="0.25">
      <c r="A61" s="2" t="s">
        <v>6</v>
      </c>
      <c r="B61" s="2" t="s">
        <v>7</v>
      </c>
      <c r="C61" s="6">
        <v>41093</v>
      </c>
      <c r="D61" s="7">
        <v>0.52083333333333337</v>
      </c>
      <c r="E61" s="8">
        <v>291</v>
      </c>
      <c r="F61" s="8">
        <v>8695</v>
      </c>
      <c r="G61" s="8">
        <v>8015</v>
      </c>
      <c r="H61" s="8">
        <v>502</v>
      </c>
      <c r="I61" s="8">
        <v>178</v>
      </c>
    </row>
    <row r="62" spans="1:9" x14ac:dyDescent="0.25">
      <c r="A62" s="2" t="s">
        <v>6</v>
      </c>
      <c r="B62" s="2" t="s">
        <v>7</v>
      </c>
      <c r="C62" s="6">
        <v>41093</v>
      </c>
      <c r="D62" s="7">
        <v>0.54166666666666663</v>
      </c>
      <c r="E62" s="8">
        <v>319</v>
      </c>
      <c r="F62" s="8">
        <v>8036</v>
      </c>
      <c r="G62" s="8">
        <v>7307</v>
      </c>
      <c r="H62" s="8">
        <v>575</v>
      </c>
      <c r="I62" s="8">
        <v>154</v>
      </c>
    </row>
    <row r="63" spans="1:9" x14ac:dyDescent="0.25">
      <c r="A63" s="2" t="s">
        <v>6</v>
      </c>
      <c r="B63" s="2" t="s">
        <v>7</v>
      </c>
      <c r="C63" s="6">
        <v>41093</v>
      </c>
      <c r="D63" s="7">
        <v>0.5625</v>
      </c>
      <c r="E63" s="8">
        <v>303</v>
      </c>
      <c r="F63" s="8">
        <v>8954</v>
      </c>
      <c r="G63" s="8">
        <v>8262</v>
      </c>
      <c r="H63" s="8">
        <v>542</v>
      </c>
      <c r="I63" s="8">
        <v>150</v>
      </c>
    </row>
    <row r="64" spans="1:9" x14ac:dyDescent="0.25">
      <c r="A64" s="2" t="s">
        <v>6</v>
      </c>
      <c r="B64" s="2" t="s">
        <v>7</v>
      </c>
      <c r="C64" s="6">
        <v>41093</v>
      </c>
      <c r="D64" s="7">
        <v>0.58333333333333337</v>
      </c>
      <c r="E64" s="8">
        <v>316</v>
      </c>
      <c r="F64" s="8">
        <v>8283</v>
      </c>
      <c r="G64" s="8">
        <v>7616</v>
      </c>
      <c r="H64" s="8">
        <v>517</v>
      </c>
      <c r="I64" s="8">
        <v>150</v>
      </c>
    </row>
    <row r="65" spans="1:9" x14ac:dyDescent="0.25">
      <c r="A65" s="2" t="s">
        <v>6</v>
      </c>
      <c r="B65" s="2" t="s">
        <v>7</v>
      </c>
      <c r="C65" s="6">
        <v>41093</v>
      </c>
      <c r="D65" s="7">
        <v>0.60416666666666663</v>
      </c>
      <c r="E65" s="8">
        <v>335</v>
      </c>
      <c r="F65" s="8">
        <v>8108</v>
      </c>
      <c r="G65" s="8">
        <v>7484</v>
      </c>
      <c r="H65" s="8">
        <v>456</v>
      </c>
      <c r="I65" s="8">
        <v>168</v>
      </c>
    </row>
    <row r="66" spans="1:9" x14ac:dyDescent="0.25">
      <c r="A66" s="2" t="s">
        <v>6</v>
      </c>
      <c r="B66" s="2" t="s">
        <v>7</v>
      </c>
      <c r="C66" s="6">
        <v>41093</v>
      </c>
      <c r="D66" s="7">
        <v>0.625</v>
      </c>
      <c r="E66" s="8">
        <v>362</v>
      </c>
      <c r="F66" s="8">
        <v>7526</v>
      </c>
      <c r="G66" s="8">
        <v>7069</v>
      </c>
      <c r="H66" s="8">
        <v>326</v>
      </c>
      <c r="I66" s="8">
        <v>131</v>
      </c>
    </row>
    <row r="67" spans="1:9" x14ac:dyDescent="0.25">
      <c r="A67" s="2" t="s">
        <v>6</v>
      </c>
      <c r="B67" s="2" t="s">
        <v>7</v>
      </c>
      <c r="C67" s="6">
        <v>41093</v>
      </c>
      <c r="D67" s="7">
        <v>0.64583333333333337</v>
      </c>
      <c r="E67" s="8">
        <v>380</v>
      </c>
      <c r="F67" s="8">
        <v>8217</v>
      </c>
      <c r="G67" s="8">
        <v>7552</v>
      </c>
      <c r="H67" s="8">
        <v>427</v>
      </c>
      <c r="I67" s="8">
        <v>238</v>
      </c>
    </row>
    <row r="68" spans="1:9" x14ac:dyDescent="0.25">
      <c r="A68" s="2" t="s">
        <v>6</v>
      </c>
      <c r="B68" s="2" t="s">
        <v>7</v>
      </c>
      <c r="C68" s="6">
        <v>41093</v>
      </c>
      <c r="D68" s="7">
        <v>0.66666666666666663</v>
      </c>
      <c r="E68" s="8">
        <v>346</v>
      </c>
      <c r="F68" s="8">
        <v>8763</v>
      </c>
      <c r="G68" s="8">
        <v>8125</v>
      </c>
      <c r="H68" s="8">
        <v>406</v>
      </c>
      <c r="I68" s="8">
        <v>232</v>
      </c>
    </row>
    <row r="69" spans="1:9" x14ac:dyDescent="0.25">
      <c r="A69" s="2" t="s">
        <v>6</v>
      </c>
      <c r="B69" s="2" t="s">
        <v>7</v>
      </c>
      <c r="C69" s="6">
        <v>41093</v>
      </c>
      <c r="D69" s="7">
        <v>0.6875</v>
      </c>
      <c r="E69" s="8">
        <v>385</v>
      </c>
      <c r="F69" s="8">
        <v>8526</v>
      </c>
      <c r="G69" s="8">
        <v>8018</v>
      </c>
      <c r="H69" s="8">
        <v>312</v>
      </c>
      <c r="I69" s="8">
        <v>196</v>
      </c>
    </row>
    <row r="70" spans="1:9" x14ac:dyDescent="0.25">
      <c r="A70" s="2" t="s">
        <v>6</v>
      </c>
      <c r="B70" s="2" t="s">
        <v>7</v>
      </c>
      <c r="C70" s="6">
        <v>41093</v>
      </c>
      <c r="D70" s="7">
        <v>0.70833333333333337</v>
      </c>
      <c r="E70" s="8">
        <v>392</v>
      </c>
      <c r="F70" s="8">
        <v>8761</v>
      </c>
      <c r="G70" s="8">
        <v>8190</v>
      </c>
      <c r="H70" s="8">
        <v>364</v>
      </c>
      <c r="I70" s="8">
        <v>207</v>
      </c>
    </row>
    <row r="71" spans="1:9" x14ac:dyDescent="0.25">
      <c r="A71" s="2" t="s">
        <v>6</v>
      </c>
      <c r="B71" s="2" t="s">
        <v>7</v>
      </c>
      <c r="C71" s="6">
        <v>41093</v>
      </c>
      <c r="D71" s="7">
        <v>0.72916666666666663</v>
      </c>
      <c r="E71" s="8">
        <v>369</v>
      </c>
      <c r="F71" s="8">
        <v>10580</v>
      </c>
      <c r="G71" s="8">
        <v>9774</v>
      </c>
      <c r="H71" s="8">
        <v>587</v>
      </c>
      <c r="I71" s="8">
        <v>219</v>
      </c>
    </row>
    <row r="72" spans="1:9" x14ac:dyDescent="0.25">
      <c r="A72" s="2" t="s">
        <v>6</v>
      </c>
      <c r="B72" s="2" t="s">
        <v>7</v>
      </c>
      <c r="C72" s="6">
        <v>41093</v>
      </c>
      <c r="D72" s="7">
        <v>0.75</v>
      </c>
      <c r="E72" s="8">
        <v>351</v>
      </c>
      <c r="F72" s="8">
        <v>8451</v>
      </c>
      <c r="G72" s="8">
        <v>7727</v>
      </c>
      <c r="H72" s="8">
        <v>592</v>
      </c>
      <c r="I72" s="8">
        <v>132</v>
      </c>
    </row>
    <row r="73" spans="1:9" x14ac:dyDescent="0.25">
      <c r="A73" s="2" t="s">
        <v>6</v>
      </c>
      <c r="B73" s="2" t="s">
        <v>7</v>
      </c>
      <c r="C73" s="6">
        <v>41093</v>
      </c>
      <c r="D73" s="7">
        <v>0.77083333333333337</v>
      </c>
      <c r="E73" s="8">
        <v>346</v>
      </c>
      <c r="F73" s="8">
        <v>8246</v>
      </c>
      <c r="G73" s="8">
        <v>7689</v>
      </c>
      <c r="H73" s="8">
        <v>398</v>
      </c>
      <c r="I73" s="8">
        <v>159</v>
      </c>
    </row>
    <row r="74" spans="1:9" x14ac:dyDescent="0.25">
      <c r="A74" s="2" t="s">
        <v>6</v>
      </c>
      <c r="B74" s="2" t="s">
        <v>7</v>
      </c>
      <c r="C74" s="6">
        <v>41093</v>
      </c>
      <c r="D74" s="7">
        <v>0.79166666666666663</v>
      </c>
      <c r="E74" s="8">
        <v>343</v>
      </c>
      <c r="F74" s="8">
        <v>7683</v>
      </c>
      <c r="G74" s="8">
        <v>6951</v>
      </c>
      <c r="H74" s="8">
        <v>615</v>
      </c>
      <c r="I74" s="8">
        <v>117</v>
      </c>
    </row>
    <row r="75" spans="1:9" x14ac:dyDescent="0.25">
      <c r="A75" s="2" t="s">
        <v>6</v>
      </c>
      <c r="B75" s="2" t="s">
        <v>7</v>
      </c>
      <c r="C75" s="6">
        <v>41093</v>
      </c>
      <c r="D75" s="7">
        <v>0.8125</v>
      </c>
      <c r="E75" s="8">
        <v>315</v>
      </c>
      <c r="F75" s="8">
        <v>7558</v>
      </c>
      <c r="G75" s="8">
        <v>6681</v>
      </c>
      <c r="H75" s="8">
        <v>745</v>
      </c>
      <c r="I75" s="8">
        <v>132</v>
      </c>
    </row>
    <row r="76" spans="1:9" x14ac:dyDescent="0.25">
      <c r="A76" s="2" t="s">
        <v>6</v>
      </c>
      <c r="B76" s="2" t="s">
        <v>7</v>
      </c>
      <c r="C76" s="6">
        <v>41094</v>
      </c>
      <c r="D76" s="7">
        <v>0.33333333333333331</v>
      </c>
      <c r="E76" s="8">
        <v>219</v>
      </c>
      <c r="F76" s="8">
        <v>2751</v>
      </c>
      <c r="G76" s="8">
        <v>2676</v>
      </c>
      <c r="H76" s="8">
        <v>75</v>
      </c>
      <c r="I76" s="8">
        <v>0</v>
      </c>
    </row>
    <row r="77" spans="1:9" x14ac:dyDescent="0.25">
      <c r="A77" s="2" t="s">
        <v>6</v>
      </c>
      <c r="B77" s="2" t="s">
        <v>7</v>
      </c>
      <c r="C77" s="6">
        <v>41094</v>
      </c>
      <c r="D77" s="7">
        <v>0.35416666666666669</v>
      </c>
      <c r="E77" s="8">
        <v>290</v>
      </c>
      <c r="F77" s="8">
        <v>3742</v>
      </c>
      <c r="G77" s="8">
        <v>3651</v>
      </c>
      <c r="H77" s="8">
        <v>91</v>
      </c>
      <c r="I77" s="8">
        <v>0</v>
      </c>
    </row>
    <row r="78" spans="1:9" x14ac:dyDescent="0.25">
      <c r="A78" s="2" t="s">
        <v>6</v>
      </c>
      <c r="B78" s="2" t="s">
        <v>7</v>
      </c>
      <c r="C78" s="6">
        <v>41094</v>
      </c>
      <c r="D78" s="7">
        <v>0.375</v>
      </c>
      <c r="E78" s="8">
        <v>270</v>
      </c>
      <c r="F78" s="8">
        <v>5935</v>
      </c>
      <c r="G78" s="8">
        <v>5545</v>
      </c>
      <c r="H78" s="8">
        <v>208</v>
      </c>
      <c r="I78" s="8">
        <v>182</v>
      </c>
    </row>
    <row r="79" spans="1:9" x14ac:dyDescent="0.25">
      <c r="A79" s="2" t="s">
        <v>6</v>
      </c>
      <c r="B79" s="2" t="s">
        <v>7</v>
      </c>
      <c r="C79" s="6">
        <v>41094</v>
      </c>
      <c r="D79" s="7">
        <v>0.39583333333333331</v>
      </c>
      <c r="E79" s="8">
        <v>303</v>
      </c>
      <c r="F79" s="8">
        <v>7311</v>
      </c>
      <c r="G79" s="8">
        <v>6618</v>
      </c>
      <c r="H79" s="8">
        <v>459</v>
      </c>
      <c r="I79" s="8">
        <v>234</v>
      </c>
    </row>
    <row r="80" spans="1:9" x14ac:dyDescent="0.25">
      <c r="A80" s="2" t="s">
        <v>6</v>
      </c>
      <c r="B80" s="2" t="s">
        <v>7</v>
      </c>
      <c r="C80" s="6">
        <v>41094</v>
      </c>
      <c r="D80" s="7">
        <v>0.41666666666666669</v>
      </c>
      <c r="E80" s="8">
        <v>262</v>
      </c>
      <c r="F80" s="8">
        <v>7529</v>
      </c>
      <c r="G80" s="8">
        <v>6951</v>
      </c>
      <c r="H80" s="8">
        <v>396</v>
      </c>
      <c r="I80" s="8">
        <v>182</v>
      </c>
    </row>
    <row r="81" spans="1:9" x14ac:dyDescent="0.25">
      <c r="A81" s="2" t="s">
        <v>6</v>
      </c>
      <c r="B81" s="2" t="s">
        <v>7</v>
      </c>
      <c r="C81" s="6">
        <v>41094</v>
      </c>
      <c r="D81" s="7">
        <v>0.4375</v>
      </c>
      <c r="E81" s="8">
        <v>280</v>
      </c>
      <c r="F81" s="8">
        <v>7878</v>
      </c>
      <c r="G81" s="8">
        <v>7328</v>
      </c>
      <c r="H81" s="8">
        <v>348</v>
      </c>
      <c r="I81" s="8">
        <v>202</v>
      </c>
    </row>
    <row r="82" spans="1:9" x14ac:dyDescent="0.25">
      <c r="A82" s="2" t="s">
        <v>6</v>
      </c>
      <c r="B82" s="2" t="s">
        <v>7</v>
      </c>
      <c r="C82" s="6">
        <v>41094</v>
      </c>
      <c r="D82" s="7">
        <v>0.45833333333333331</v>
      </c>
      <c r="E82" s="8">
        <v>294</v>
      </c>
      <c r="F82" s="8">
        <v>8457</v>
      </c>
      <c r="G82" s="8">
        <v>7743</v>
      </c>
      <c r="H82" s="8">
        <v>449</v>
      </c>
      <c r="I82" s="8">
        <v>265</v>
      </c>
    </row>
    <row r="83" spans="1:9" x14ac:dyDescent="0.25">
      <c r="A83" s="2" t="s">
        <v>6</v>
      </c>
      <c r="B83" s="2" t="s">
        <v>7</v>
      </c>
      <c r="C83" s="6">
        <v>41094</v>
      </c>
      <c r="D83" s="7">
        <v>0.47916666666666669</v>
      </c>
      <c r="E83" s="8">
        <v>293</v>
      </c>
      <c r="F83" s="8">
        <v>9068</v>
      </c>
      <c r="G83" s="8">
        <v>8381</v>
      </c>
      <c r="H83" s="8">
        <v>412</v>
      </c>
      <c r="I83" s="8">
        <v>275</v>
      </c>
    </row>
    <row r="84" spans="1:9" x14ac:dyDescent="0.25">
      <c r="A84" s="2" t="s">
        <v>6</v>
      </c>
      <c r="B84" s="2" t="s">
        <v>7</v>
      </c>
      <c r="C84" s="6">
        <v>41094</v>
      </c>
      <c r="D84" s="7">
        <v>0.5</v>
      </c>
      <c r="E84" s="8">
        <v>308</v>
      </c>
      <c r="F84" s="8">
        <v>8214</v>
      </c>
      <c r="G84" s="8">
        <v>7645</v>
      </c>
      <c r="H84" s="8">
        <v>405</v>
      </c>
      <c r="I84" s="8">
        <v>164</v>
      </c>
    </row>
    <row r="85" spans="1:9" x14ac:dyDescent="0.25">
      <c r="A85" s="2" t="s">
        <v>6</v>
      </c>
      <c r="B85" s="2" t="s">
        <v>7</v>
      </c>
      <c r="C85" s="6">
        <v>41094</v>
      </c>
      <c r="D85" s="7">
        <v>0.52083333333333337</v>
      </c>
      <c r="E85" s="8">
        <v>310</v>
      </c>
      <c r="F85" s="8">
        <v>8268</v>
      </c>
      <c r="G85" s="8">
        <v>7564</v>
      </c>
      <c r="H85" s="8">
        <v>509</v>
      </c>
      <c r="I85" s="8">
        <v>195</v>
      </c>
    </row>
    <row r="86" spans="1:9" x14ac:dyDescent="0.25">
      <c r="A86" s="2" t="s">
        <v>6</v>
      </c>
      <c r="B86" s="2" t="s">
        <v>7</v>
      </c>
      <c r="C86" s="6">
        <v>41094</v>
      </c>
      <c r="D86" s="7">
        <v>0.54166666666666663</v>
      </c>
      <c r="E86" s="8">
        <v>325</v>
      </c>
      <c r="F86" s="8">
        <v>9160</v>
      </c>
      <c r="G86" s="8">
        <v>8463</v>
      </c>
      <c r="H86" s="8">
        <v>485</v>
      </c>
      <c r="I86" s="8">
        <v>212</v>
      </c>
    </row>
    <row r="87" spans="1:9" x14ac:dyDescent="0.25">
      <c r="A87" s="2" t="s">
        <v>6</v>
      </c>
      <c r="B87" s="2" t="s">
        <v>7</v>
      </c>
      <c r="C87" s="6">
        <v>41094</v>
      </c>
      <c r="D87" s="7">
        <v>0.5625</v>
      </c>
      <c r="E87" s="8">
        <v>286</v>
      </c>
      <c r="F87" s="8">
        <v>8831</v>
      </c>
      <c r="G87" s="8">
        <v>8147</v>
      </c>
      <c r="H87" s="8">
        <v>529</v>
      </c>
      <c r="I87" s="8">
        <v>155</v>
      </c>
    </row>
    <row r="88" spans="1:9" x14ac:dyDescent="0.25">
      <c r="A88" s="2" t="s">
        <v>6</v>
      </c>
      <c r="B88" s="2" t="s">
        <v>7</v>
      </c>
      <c r="C88" s="6">
        <v>41094</v>
      </c>
      <c r="D88" s="7">
        <v>0.58333333333333337</v>
      </c>
      <c r="E88" s="8">
        <v>291</v>
      </c>
      <c r="F88" s="8">
        <v>8446</v>
      </c>
      <c r="G88" s="8">
        <v>7656</v>
      </c>
      <c r="H88" s="8">
        <v>596</v>
      </c>
      <c r="I88" s="8">
        <v>194</v>
      </c>
    </row>
    <row r="89" spans="1:9" x14ac:dyDescent="0.25">
      <c r="A89" s="2" t="s">
        <v>6</v>
      </c>
      <c r="B89" s="2" t="s">
        <v>7</v>
      </c>
      <c r="C89" s="6">
        <v>41094</v>
      </c>
      <c r="D89" s="7">
        <v>0.60416666666666663</v>
      </c>
      <c r="E89" s="8">
        <v>314</v>
      </c>
      <c r="F89" s="8">
        <v>8311</v>
      </c>
      <c r="G89" s="8">
        <v>7483</v>
      </c>
      <c r="H89" s="8">
        <v>593</v>
      </c>
      <c r="I89" s="8">
        <v>235</v>
      </c>
    </row>
    <row r="90" spans="1:9" x14ac:dyDescent="0.25">
      <c r="A90" s="2" t="s">
        <v>6</v>
      </c>
      <c r="B90" s="2" t="s">
        <v>7</v>
      </c>
      <c r="C90" s="6">
        <v>41094</v>
      </c>
      <c r="D90" s="7">
        <v>0.625</v>
      </c>
      <c r="E90" s="8">
        <v>307</v>
      </c>
      <c r="F90" s="8">
        <v>7454</v>
      </c>
      <c r="G90" s="8">
        <v>7105</v>
      </c>
      <c r="H90" s="8">
        <v>282</v>
      </c>
      <c r="I90" s="8">
        <v>67</v>
      </c>
    </row>
    <row r="91" spans="1:9" x14ac:dyDescent="0.25">
      <c r="A91" s="2" t="s">
        <v>6</v>
      </c>
      <c r="B91" s="2" t="s">
        <v>7</v>
      </c>
      <c r="C91" s="6">
        <v>41094</v>
      </c>
      <c r="D91" s="7">
        <v>0.64583333333333337</v>
      </c>
      <c r="E91" s="8">
        <v>319</v>
      </c>
      <c r="F91" s="8">
        <v>8255</v>
      </c>
      <c r="G91" s="8">
        <v>7703</v>
      </c>
      <c r="H91" s="8">
        <v>347</v>
      </c>
      <c r="I91" s="8">
        <v>205</v>
      </c>
    </row>
    <row r="92" spans="1:9" x14ac:dyDescent="0.25">
      <c r="A92" s="2" t="s">
        <v>6</v>
      </c>
      <c r="B92" s="2" t="s">
        <v>7</v>
      </c>
      <c r="C92" s="6">
        <v>41094</v>
      </c>
      <c r="D92" s="7">
        <v>0.66666666666666663</v>
      </c>
      <c r="E92" s="8">
        <v>290</v>
      </c>
      <c r="F92" s="8">
        <v>8317</v>
      </c>
      <c r="G92" s="8">
        <v>7611</v>
      </c>
      <c r="H92" s="8">
        <v>496</v>
      </c>
      <c r="I92" s="8">
        <v>210</v>
      </c>
    </row>
    <row r="93" spans="1:9" x14ac:dyDescent="0.25">
      <c r="A93" s="2" t="s">
        <v>6</v>
      </c>
      <c r="B93" s="2" t="s">
        <v>7</v>
      </c>
      <c r="C93" s="6">
        <v>41094</v>
      </c>
      <c r="D93" s="7">
        <v>0.6875</v>
      </c>
      <c r="E93" s="8">
        <v>285</v>
      </c>
      <c r="F93" s="8">
        <v>8643</v>
      </c>
      <c r="G93" s="8">
        <v>8046</v>
      </c>
      <c r="H93" s="8">
        <v>438</v>
      </c>
      <c r="I93" s="8">
        <v>159</v>
      </c>
    </row>
    <row r="94" spans="1:9" x14ac:dyDescent="0.25">
      <c r="A94" s="2" t="s">
        <v>6</v>
      </c>
      <c r="B94" s="2" t="s">
        <v>7</v>
      </c>
      <c r="C94" s="6">
        <v>41094</v>
      </c>
      <c r="D94" s="7">
        <v>0.70833333333333337</v>
      </c>
      <c r="E94" s="8">
        <v>391</v>
      </c>
      <c r="F94" s="8">
        <v>8091</v>
      </c>
      <c r="G94" s="8">
        <v>7515</v>
      </c>
      <c r="H94" s="8">
        <v>399</v>
      </c>
      <c r="I94" s="8">
        <v>177</v>
      </c>
    </row>
    <row r="95" spans="1:9" x14ac:dyDescent="0.25">
      <c r="A95" s="2" t="s">
        <v>6</v>
      </c>
      <c r="B95" s="2" t="s">
        <v>7</v>
      </c>
      <c r="C95" s="6">
        <v>41094</v>
      </c>
      <c r="D95" s="7">
        <v>0.72916666666666663</v>
      </c>
      <c r="E95" s="8">
        <v>363</v>
      </c>
      <c r="F95" s="8">
        <v>7966</v>
      </c>
      <c r="G95" s="8">
        <v>7484</v>
      </c>
      <c r="H95" s="8">
        <v>358</v>
      </c>
      <c r="I95" s="8">
        <v>124</v>
      </c>
    </row>
    <row r="96" spans="1:9" x14ac:dyDescent="0.25">
      <c r="A96" s="2" t="s">
        <v>6</v>
      </c>
      <c r="B96" s="2" t="s">
        <v>7</v>
      </c>
      <c r="C96" s="6">
        <v>41094</v>
      </c>
      <c r="D96" s="7">
        <v>0.75</v>
      </c>
      <c r="E96" s="8">
        <v>395</v>
      </c>
      <c r="F96" s="8">
        <v>7780</v>
      </c>
      <c r="G96" s="8">
        <v>7248</v>
      </c>
      <c r="H96" s="8">
        <v>389</v>
      </c>
      <c r="I96" s="8">
        <v>143</v>
      </c>
    </row>
    <row r="97" spans="1:9" x14ac:dyDescent="0.25">
      <c r="A97" s="2" t="s">
        <v>6</v>
      </c>
      <c r="B97" s="2" t="s">
        <v>7</v>
      </c>
      <c r="C97" s="6">
        <v>41094</v>
      </c>
      <c r="D97" s="7">
        <v>0.77083333333333337</v>
      </c>
      <c r="E97" s="8">
        <v>382</v>
      </c>
      <c r="F97" s="8">
        <v>7893</v>
      </c>
      <c r="G97" s="8">
        <v>7238</v>
      </c>
      <c r="H97" s="8">
        <v>434</v>
      </c>
      <c r="I97" s="8">
        <v>221</v>
      </c>
    </row>
    <row r="98" spans="1:9" x14ac:dyDescent="0.25">
      <c r="A98" s="2" t="s">
        <v>6</v>
      </c>
      <c r="B98" s="2" t="s">
        <v>7</v>
      </c>
      <c r="C98" s="6">
        <v>41094</v>
      </c>
      <c r="D98" s="7">
        <v>0.79166666666666663</v>
      </c>
      <c r="E98" s="8">
        <v>308</v>
      </c>
      <c r="F98" s="8">
        <v>7186</v>
      </c>
      <c r="G98" s="8">
        <v>6454</v>
      </c>
      <c r="H98" s="8">
        <v>618</v>
      </c>
      <c r="I98" s="8">
        <v>114</v>
      </c>
    </row>
    <row r="99" spans="1:9" x14ac:dyDescent="0.25">
      <c r="A99" s="2" t="s">
        <v>6</v>
      </c>
      <c r="B99" s="2" t="s">
        <v>7</v>
      </c>
      <c r="C99" s="6">
        <v>41094</v>
      </c>
      <c r="D99" s="7">
        <v>0.8125</v>
      </c>
      <c r="E99" s="8">
        <v>297</v>
      </c>
      <c r="F99" s="8">
        <v>7305</v>
      </c>
      <c r="G99" s="8">
        <v>6483</v>
      </c>
      <c r="H99" s="8">
        <v>659</v>
      </c>
      <c r="I99" s="8">
        <v>163</v>
      </c>
    </row>
    <row r="100" spans="1:9" x14ac:dyDescent="0.25">
      <c r="A100" s="2" t="s">
        <v>6</v>
      </c>
      <c r="B100" s="2" t="s">
        <v>7</v>
      </c>
      <c r="C100" s="6">
        <v>41095</v>
      </c>
      <c r="D100" s="7">
        <v>0.33333333333333331</v>
      </c>
      <c r="E100" s="8">
        <v>209</v>
      </c>
      <c r="F100" s="8">
        <v>2432</v>
      </c>
      <c r="G100" s="8">
        <v>2375</v>
      </c>
      <c r="H100" s="8">
        <v>57</v>
      </c>
      <c r="I100" s="8">
        <v>0</v>
      </c>
    </row>
    <row r="101" spans="1:9" x14ac:dyDescent="0.25">
      <c r="A101" s="2" t="s">
        <v>6</v>
      </c>
      <c r="B101" s="2" t="s">
        <v>7</v>
      </c>
      <c r="C101" s="6">
        <v>41095</v>
      </c>
      <c r="D101" s="7">
        <v>0.35416666666666669</v>
      </c>
      <c r="E101" s="8">
        <v>219</v>
      </c>
      <c r="F101" s="8">
        <v>3473</v>
      </c>
      <c r="G101" s="8">
        <v>3407</v>
      </c>
      <c r="H101" s="8">
        <v>66</v>
      </c>
      <c r="I101" s="8">
        <v>0</v>
      </c>
    </row>
    <row r="102" spans="1:9" x14ac:dyDescent="0.25">
      <c r="A102" s="2" t="s">
        <v>6</v>
      </c>
      <c r="B102" s="2" t="s">
        <v>7</v>
      </c>
      <c r="C102" s="6">
        <v>41095</v>
      </c>
      <c r="D102" s="7">
        <v>0.375</v>
      </c>
      <c r="E102" s="8">
        <v>266</v>
      </c>
      <c r="F102" s="8">
        <v>5755</v>
      </c>
      <c r="G102" s="8">
        <v>5513</v>
      </c>
      <c r="H102" s="8">
        <v>189</v>
      </c>
      <c r="I102" s="8">
        <v>53</v>
      </c>
    </row>
    <row r="103" spans="1:9" x14ac:dyDescent="0.25">
      <c r="A103" s="2" t="s">
        <v>6</v>
      </c>
      <c r="B103" s="2" t="s">
        <v>7</v>
      </c>
      <c r="C103" s="6">
        <v>41095</v>
      </c>
      <c r="D103" s="7">
        <v>0.39583333333333331</v>
      </c>
      <c r="E103" s="8">
        <v>250</v>
      </c>
      <c r="F103" s="8">
        <v>7200</v>
      </c>
      <c r="G103" s="8">
        <v>6634</v>
      </c>
      <c r="H103" s="8">
        <v>357</v>
      </c>
      <c r="I103" s="8">
        <v>209</v>
      </c>
    </row>
    <row r="104" spans="1:9" x14ac:dyDescent="0.25">
      <c r="A104" s="2" t="s">
        <v>6</v>
      </c>
      <c r="B104" s="2" t="s">
        <v>7</v>
      </c>
      <c r="C104" s="6">
        <v>41095</v>
      </c>
      <c r="D104" s="7">
        <v>0.41666666666666669</v>
      </c>
      <c r="E104" s="8">
        <v>267</v>
      </c>
      <c r="F104" s="8">
        <v>7535</v>
      </c>
      <c r="G104" s="8">
        <v>6924</v>
      </c>
      <c r="H104" s="8">
        <v>424</v>
      </c>
      <c r="I104" s="8">
        <v>187</v>
      </c>
    </row>
    <row r="105" spans="1:9" x14ac:dyDescent="0.25">
      <c r="A105" s="2" t="s">
        <v>6</v>
      </c>
      <c r="B105" s="2" t="s">
        <v>7</v>
      </c>
      <c r="C105" s="6">
        <v>41095</v>
      </c>
      <c r="D105" s="7">
        <v>0.4375</v>
      </c>
      <c r="E105" s="8">
        <v>269</v>
      </c>
      <c r="F105" s="8">
        <v>7677</v>
      </c>
      <c r="G105" s="8">
        <v>7265</v>
      </c>
      <c r="H105" s="8">
        <v>260</v>
      </c>
      <c r="I105" s="8">
        <v>152</v>
      </c>
    </row>
    <row r="106" spans="1:9" x14ac:dyDescent="0.25">
      <c r="A106" s="2" t="s">
        <v>6</v>
      </c>
      <c r="B106" s="2" t="s">
        <v>7</v>
      </c>
      <c r="C106" s="6">
        <v>41095</v>
      </c>
      <c r="D106" s="7">
        <v>0.45833333333333331</v>
      </c>
      <c r="E106" s="8">
        <v>279</v>
      </c>
      <c r="F106" s="8">
        <v>8080</v>
      </c>
      <c r="G106" s="8">
        <v>7502</v>
      </c>
      <c r="H106" s="8">
        <v>401</v>
      </c>
      <c r="I106" s="8">
        <v>177</v>
      </c>
    </row>
    <row r="107" spans="1:9" x14ac:dyDescent="0.25">
      <c r="A107" s="2" t="s">
        <v>6</v>
      </c>
      <c r="B107" s="2" t="s">
        <v>7</v>
      </c>
      <c r="C107" s="6">
        <v>41095</v>
      </c>
      <c r="D107" s="7">
        <v>0.47916666666666669</v>
      </c>
      <c r="E107" s="8">
        <v>267</v>
      </c>
      <c r="F107" s="8">
        <v>8530</v>
      </c>
      <c r="G107" s="8">
        <v>8026</v>
      </c>
      <c r="H107" s="8">
        <v>374</v>
      </c>
      <c r="I107" s="8">
        <v>130</v>
      </c>
    </row>
    <row r="108" spans="1:9" x14ac:dyDescent="0.25">
      <c r="A108" s="2" t="s">
        <v>6</v>
      </c>
      <c r="B108" s="2" t="s">
        <v>7</v>
      </c>
      <c r="C108" s="6">
        <v>41095</v>
      </c>
      <c r="D108" s="7">
        <v>0.5</v>
      </c>
      <c r="E108" s="8">
        <v>264</v>
      </c>
      <c r="F108" s="8">
        <v>7622</v>
      </c>
      <c r="G108" s="8">
        <v>6976</v>
      </c>
      <c r="H108" s="8">
        <v>507</v>
      </c>
      <c r="I108" s="8">
        <v>139</v>
      </c>
    </row>
    <row r="109" spans="1:9" x14ac:dyDescent="0.25">
      <c r="A109" s="2" t="s">
        <v>6</v>
      </c>
      <c r="B109" s="2" t="s">
        <v>7</v>
      </c>
      <c r="C109" s="6">
        <v>41095</v>
      </c>
      <c r="D109" s="7">
        <v>0.52083333333333337</v>
      </c>
      <c r="E109" s="8">
        <v>263</v>
      </c>
      <c r="F109" s="8">
        <v>7874</v>
      </c>
      <c r="G109" s="8">
        <v>7216</v>
      </c>
      <c r="H109" s="8">
        <v>525</v>
      </c>
      <c r="I109" s="8">
        <v>133</v>
      </c>
    </row>
    <row r="110" spans="1:9" x14ac:dyDescent="0.25">
      <c r="A110" s="2" t="s">
        <v>6</v>
      </c>
      <c r="B110" s="2" t="s">
        <v>7</v>
      </c>
      <c r="C110" s="6">
        <v>41095</v>
      </c>
      <c r="D110" s="7">
        <v>0.54166666666666663</v>
      </c>
      <c r="E110" s="8">
        <v>264</v>
      </c>
      <c r="F110" s="8">
        <v>7177</v>
      </c>
      <c r="G110" s="8">
        <v>6809</v>
      </c>
      <c r="H110" s="8">
        <v>259</v>
      </c>
      <c r="I110" s="8">
        <v>109</v>
      </c>
    </row>
    <row r="111" spans="1:9" x14ac:dyDescent="0.25">
      <c r="A111" s="2" t="s">
        <v>6</v>
      </c>
      <c r="B111" s="2" t="s">
        <v>7</v>
      </c>
      <c r="C111" s="6">
        <v>41095</v>
      </c>
      <c r="D111" s="7">
        <v>0.5625</v>
      </c>
      <c r="E111" s="8">
        <v>274</v>
      </c>
      <c r="F111" s="8">
        <v>8203</v>
      </c>
      <c r="G111" s="8">
        <v>7747</v>
      </c>
      <c r="H111" s="8">
        <v>321</v>
      </c>
      <c r="I111" s="8">
        <v>135</v>
      </c>
    </row>
    <row r="112" spans="1:9" x14ac:dyDescent="0.25">
      <c r="A112" s="2" t="s">
        <v>6</v>
      </c>
      <c r="B112" s="2" t="s">
        <v>7</v>
      </c>
      <c r="C112" s="6">
        <v>41095</v>
      </c>
      <c r="D112" s="7">
        <v>0.58333333333333337</v>
      </c>
      <c r="E112" s="8">
        <v>267</v>
      </c>
      <c r="F112" s="8">
        <v>7516</v>
      </c>
      <c r="G112" s="8">
        <v>7073</v>
      </c>
      <c r="H112" s="8">
        <v>340</v>
      </c>
      <c r="I112" s="8">
        <v>103</v>
      </c>
    </row>
    <row r="113" spans="1:9" x14ac:dyDescent="0.25">
      <c r="A113" s="2" t="s">
        <v>6</v>
      </c>
      <c r="B113" s="2" t="s">
        <v>7</v>
      </c>
      <c r="C113" s="6">
        <v>41095</v>
      </c>
      <c r="D113" s="7">
        <v>0.60416666666666663</v>
      </c>
      <c r="E113" s="8">
        <v>275</v>
      </c>
      <c r="F113" s="8">
        <v>7570</v>
      </c>
      <c r="G113" s="8">
        <v>6954</v>
      </c>
      <c r="H113" s="8">
        <v>527</v>
      </c>
      <c r="I113" s="8">
        <v>89</v>
      </c>
    </row>
    <row r="114" spans="1:9" x14ac:dyDescent="0.25">
      <c r="A114" s="2" t="s">
        <v>6</v>
      </c>
      <c r="B114" s="2" t="s">
        <v>7</v>
      </c>
      <c r="C114" s="6">
        <v>41095</v>
      </c>
      <c r="D114" s="7">
        <v>0.625</v>
      </c>
      <c r="E114" s="8">
        <v>247</v>
      </c>
      <c r="F114" s="8">
        <v>7564</v>
      </c>
      <c r="G114" s="8">
        <v>7062</v>
      </c>
      <c r="H114" s="8">
        <v>402</v>
      </c>
      <c r="I114" s="8">
        <v>100</v>
      </c>
    </row>
    <row r="115" spans="1:9" x14ac:dyDescent="0.25">
      <c r="A115" s="2" t="s">
        <v>6</v>
      </c>
      <c r="B115" s="2" t="s">
        <v>7</v>
      </c>
      <c r="C115" s="6">
        <v>41095</v>
      </c>
      <c r="D115" s="7">
        <v>0.64583333333333337</v>
      </c>
      <c r="E115" s="8">
        <v>353</v>
      </c>
      <c r="F115" s="8">
        <v>7745</v>
      </c>
      <c r="G115" s="8">
        <v>7142</v>
      </c>
      <c r="H115" s="8">
        <v>373</v>
      </c>
      <c r="I115" s="8">
        <v>230</v>
      </c>
    </row>
    <row r="116" spans="1:9" x14ac:dyDescent="0.25">
      <c r="A116" s="2" t="s">
        <v>6</v>
      </c>
      <c r="B116" s="2" t="s">
        <v>7</v>
      </c>
      <c r="C116" s="6">
        <v>41095</v>
      </c>
      <c r="D116" s="7">
        <v>0.66666666666666663</v>
      </c>
      <c r="E116" s="8">
        <v>321</v>
      </c>
      <c r="F116" s="8">
        <v>7751</v>
      </c>
      <c r="G116" s="8">
        <v>7236</v>
      </c>
      <c r="H116" s="8">
        <v>338</v>
      </c>
      <c r="I116" s="8">
        <v>177</v>
      </c>
    </row>
    <row r="117" spans="1:9" x14ac:dyDescent="0.25">
      <c r="A117" s="2" t="s">
        <v>6</v>
      </c>
      <c r="B117" s="2" t="s">
        <v>7</v>
      </c>
      <c r="C117" s="6">
        <v>41095</v>
      </c>
      <c r="D117" s="7">
        <v>0.6875</v>
      </c>
      <c r="E117" s="8">
        <v>311</v>
      </c>
      <c r="F117" s="8">
        <v>7891</v>
      </c>
      <c r="G117" s="8">
        <v>7339</v>
      </c>
      <c r="H117" s="8">
        <v>339</v>
      </c>
      <c r="I117" s="8">
        <v>213</v>
      </c>
    </row>
    <row r="118" spans="1:9" x14ac:dyDescent="0.25">
      <c r="A118" s="2" t="s">
        <v>6</v>
      </c>
      <c r="B118" s="2" t="s">
        <v>7</v>
      </c>
      <c r="C118" s="6">
        <v>41095</v>
      </c>
      <c r="D118" s="7">
        <v>0.70833333333333337</v>
      </c>
      <c r="E118" s="8">
        <v>405</v>
      </c>
      <c r="F118" s="8">
        <v>7860</v>
      </c>
      <c r="G118" s="8">
        <v>7298</v>
      </c>
      <c r="H118" s="8">
        <v>374</v>
      </c>
      <c r="I118" s="8">
        <v>188</v>
      </c>
    </row>
    <row r="119" spans="1:9" x14ac:dyDescent="0.25">
      <c r="A119" s="2" t="s">
        <v>6</v>
      </c>
      <c r="B119" s="2" t="s">
        <v>7</v>
      </c>
      <c r="C119" s="6">
        <v>41095</v>
      </c>
      <c r="D119" s="7">
        <v>0.72916666666666663</v>
      </c>
      <c r="E119" s="8">
        <v>385</v>
      </c>
      <c r="F119" s="8">
        <v>7733</v>
      </c>
      <c r="G119" s="8">
        <v>7168</v>
      </c>
      <c r="H119" s="8">
        <v>400</v>
      </c>
      <c r="I119" s="8">
        <v>165</v>
      </c>
    </row>
    <row r="120" spans="1:9" x14ac:dyDescent="0.25">
      <c r="A120" s="2" t="s">
        <v>6</v>
      </c>
      <c r="B120" s="2" t="s">
        <v>7</v>
      </c>
      <c r="C120" s="6">
        <v>41095</v>
      </c>
      <c r="D120" s="7">
        <v>0.75</v>
      </c>
      <c r="E120" s="8">
        <v>370</v>
      </c>
      <c r="F120" s="8">
        <v>7637</v>
      </c>
      <c r="G120" s="8">
        <v>6993</v>
      </c>
      <c r="H120" s="8">
        <v>483</v>
      </c>
      <c r="I120" s="8">
        <v>161</v>
      </c>
    </row>
    <row r="121" spans="1:9" x14ac:dyDescent="0.25">
      <c r="A121" s="2" t="s">
        <v>6</v>
      </c>
      <c r="B121" s="2" t="s">
        <v>7</v>
      </c>
      <c r="C121" s="6">
        <v>41095</v>
      </c>
      <c r="D121" s="7">
        <v>0.77083333333333337</v>
      </c>
      <c r="E121" s="8">
        <v>390</v>
      </c>
      <c r="F121" s="8">
        <v>7739</v>
      </c>
      <c r="G121" s="8">
        <v>7166</v>
      </c>
      <c r="H121" s="8">
        <v>409</v>
      </c>
      <c r="I121" s="8">
        <v>164</v>
      </c>
    </row>
    <row r="122" spans="1:9" x14ac:dyDescent="0.25">
      <c r="A122" s="2" t="s">
        <v>6</v>
      </c>
      <c r="B122" s="2" t="s">
        <v>7</v>
      </c>
      <c r="C122" s="6">
        <v>41095</v>
      </c>
      <c r="D122" s="7">
        <v>0.79166666666666663</v>
      </c>
      <c r="E122" s="8">
        <v>300</v>
      </c>
      <c r="F122" s="8">
        <v>7469</v>
      </c>
      <c r="G122" s="8">
        <v>6835</v>
      </c>
      <c r="H122" s="8">
        <v>505</v>
      </c>
      <c r="I122" s="8">
        <v>129</v>
      </c>
    </row>
    <row r="123" spans="1:9" x14ac:dyDescent="0.25">
      <c r="A123" s="2" t="s">
        <v>6</v>
      </c>
      <c r="B123" s="2" t="s">
        <v>7</v>
      </c>
      <c r="C123" s="6">
        <v>41095</v>
      </c>
      <c r="D123" s="7">
        <v>0.8125</v>
      </c>
      <c r="E123" s="8">
        <v>295</v>
      </c>
      <c r="F123" s="8">
        <v>7385</v>
      </c>
      <c r="G123" s="8">
        <v>6799</v>
      </c>
      <c r="H123" s="8">
        <v>432</v>
      </c>
      <c r="I123" s="8">
        <v>154</v>
      </c>
    </row>
    <row r="124" spans="1:9" x14ac:dyDescent="0.25">
      <c r="A124" s="2" t="s">
        <v>6</v>
      </c>
      <c r="B124" s="2" t="s">
        <v>8</v>
      </c>
      <c r="C124" s="6">
        <v>41091</v>
      </c>
      <c r="D124" s="7">
        <v>0.33333333333333331</v>
      </c>
      <c r="E124" s="8">
        <v>440</v>
      </c>
      <c r="F124" s="8">
        <v>128</v>
      </c>
      <c r="G124" s="8">
        <v>125</v>
      </c>
      <c r="H124" s="8">
        <v>3</v>
      </c>
      <c r="I124" s="8">
        <v>0</v>
      </c>
    </row>
    <row r="125" spans="1:9" x14ac:dyDescent="0.25">
      <c r="A125" s="2" t="s">
        <v>6</v>
      </c>
      <c r="B125" s="2" t="s">
        <v>8</v>
      </c>
      <c r="C125" s="6">
        <v>41091</v>
      </c>
      <c r="D125" s="7">
        <v>0.35416666666666669</v>
      </c>
      <c r="E125" s="8">
        <v>633</v>
      </c>
      <c r="F125" s="8">
        <v>151</v>
      </c>
      <c r="G125" s="8">
        <v>151</v>
      </c>
      <c r="H125" s="8">
        <v>0</v>
      </c>
      <c r="I125" s="8">
        <v>0</v>
      </c>
    </row>
    <row r="126" spans="1:9" x14ac:dyDescent="0.25">
      <c r="A126" s="2" t="s">
        <v>6</v>
      </c>
      <c r="B126" s="2" t="s">
        <v>8</v>
      </c>
      <c r="C126" s="6">
        <v>41091</v>
      </c>
      <c r="D126" s="7">
        <v>0.375</v>
      </c>
      <c r="E126" s="8">
        <v>623</v>
      </c>
      <c r="F126" s="8">
        <v>286</v>
      </c>
      <c r="G126" s="8">
        <v>283</v>
      </c>
      <c r="H126" s="8">
        <v>3</v>
      </c>
      <c r="I126" s="8">
        <v>0</v>
      </c>
    </row>
    <row r="127" spans="1:9" x14ac:dyDescent="0.25">
      <c r="A127" s="2" t="s">
        <v>6</v>
      </c>
      <c r="B127" s="2" t="s">
        <v>8</v>
      </c>
      <c r="C127" s="6">
        <v>41091</v>
      </c>
      <c r="D127" s="7">
        <v>0.39583333333333331</v>
      </c>
      <c r="E127" s="8">
        <v>645</v>
      </c>
      <c r="F127" s="8">
        <v>383</v>
      </c>
      <c r="G127" s="8">
        <v>380</v>
      </c>
      <c r="H127" s="8">
        <v>3</v>
      </c>
      <c r="I127" s="8">
        <v>0</v>
      </c>
    </row>
    <row r="128" spans="1:9" x14ac:dyDescent="0.25">
      <c r="A128" s="2" t="s">
        <v>6</v>
      </c>
      <c r="B128" s="2" t="s">
        <v>8</v>
      </c>
      <c r="C128" s="6">
        <v>41091</v>
      </c>
      <c r="D128" s="7">
        <v>0.41666666666666669</v>
      </c>
      <c r="E128" s="8">
        <v>586</v>
      </c>
      <c r="F128" s="8">
        <v>455</v>
      </c>
      <c r="G128" s="8">
        <v>451</v>
      </c>
      <c r="H128" s="8">
        <v>4</v>
      </c>
      <c r="I128" s="8">
        <v>0</v>
      </c>
    </row>
    <row r="129" spans="1:9" x14ac:dyDescent="0.25">
      <c r="A129" s="2" t="s">
        <v>6</v>
      </c>
      <c r="B129" s="2" t="s">
        <v>8</v>
      </c>
      <c r="C129" s="6">
        <v>41091</v>
      </c>
      <c r="D129" s="7">
        <v>0.4375</v>
      </c>
      <c r="E129" s="8">
        <v>599</v>
      </c>
      <c r="F129" s="8">
        <v>528</v>
      </c>
      <c r="G129" s="8">
        <v>522</v>
      </c>
      <c r="H129" s="8">
        <v>6</v>
      </c>
      <c r="I129" s="8">
        <v>0</v>
      </c>
    </row>
    <row r="130" spans="1:9" x14ac:dyDescent="0.25">
      <c r="A130" s="2" t="s">
        <v>6</v>
      </c>
      <c r="B130" s="2" t="s">
        <v>8</v>
      </c>
      <c r="C130" s="6">
        <v>41091</v>
      </c>
      <c r="D130" s="7">
        <v>0.45833333333333331</v>
      </c>
      <c r="E130" s="8">
        <v>576</v>
      </c>
      <c r="F130" s="8">
        <v>568</v>
      </c>
      <c r="G130" s="8">
        <v>561</v>
      </c>
      <c r="H130" s="8">
        <v>7</v>
      </c>
      <c r="I130" s="8">
        <v>0</v>
      </c>
    </row>
    <row r="131" spans="1:9" x14ac:dyDescent="0.25">
      <c r="A131" s="2" t="s">
        <v>6</v>
      </c>
      <c r="B131" s="2" t="s">
        <v>8</v>
      </c>
      <c r="C131" s="6">
        <v>41091</v>
      </c>
      <c r="D131" s="7">
        <v>0.47916666666666669</v>
      </c>
      <c r="E131" s="8">
        <v>510</v>
      </c>
      <c r="F131" s="8">
        <v>584</v>
      </c>
      <c r="G131" s="8">
        <v>578</v>
      </c>
      <c r="H131" s="8">
        <v>6</v>
      </c>
      <c r="I131" s="8">
        <v>0</v>
      </c>
    </row>
    <row r="132" spans="1:9" x14ac:dyDescent="0.25">
      <c r="A132" s="2" t="s">
        <v>6</v>
      </c>
      <c r="B132" s="2" t="s">
        <v>8</v>
      </c>
      <c r="C132" s="6">
        <v>41091</v>
      </c>
      <c r="D132" s="7">
        <v>0.5</v>
      </c>
      <c r="E132" s="8">
        <v>476</v>
      </c>
      <c r="F132" s="8">
        <v>577</v>
      </c>
      <c r="G132" s="8">
        <v>571</v>
      </c>
      <c r="H132" s="8">
        <v>6</v>
      </c>
      <c r="I132" s="8">
        <v>0</v>
      </c>
    </row>
    <row r="133" spans="1:9" x14ac:dyDescent="0.25">
      <c r="A133" s="2" t="s">
        <v>6</v>
      </c>
      <c r="B133" s="2" t="s">
        <v>8</v>
      </c>
      <c r="C133" s="6">
        <v>41091</v>
      </c>
      <c r="D133" s="7">
        <v>0.52083333333333337</v>
      </c>
      <c r="E133" s="8">
        <v>506</v>
      </c>
      <c r="F133" s="8">
        <v>507</v>
      </c>
      <c r="G133" s="8">
        <v>501</v>
      </c>
      <c r="H133" s="8">
        <v>6</v>
      </c>
      <c r="I133" s="8">
        <v>0</v>
      </c>
    </row>
    <row r="134" spans="1:9" x14ac:dyDescent="0.25">
      <c r="A134" s="2" t="s">
        <v>6</v>
      </c>
      <c r="B134" s="2" t="s">
        <v>8</v>
      </c>
      <c r="C134" s="6">
        <v>41091</v>
      </c>
      <c r="D134" s="7">
        <v>0.54166666666666663</v>
      </c>
      <c r="E134" s="8">
        <v>521</v>
      </c>
      <c r="F134" s="8">
        <v>466</v>
      </c>
      <c r="G134" s="8">
        <v>456</v>
      </c>
      <c r="H134" s="8">
        <v>10</v>
      </c>
      <c r="I134" s="8">
        <v>0</v>
      </c>
    </row>
    <row r="135" spans="1:9" x14ac:dyDescent="0.25">
      <c r="A135" s="2" t="s">
        <v>6</v>
      </c>
      <c r="B135" s="2" t="s">
        <v>8</v>
      </c>
      <c r="C135" s="6">
        <v>41091</v>
      </c>
      <c r="D135" s="7">
        <v>0.5625</v>
      </c>
      <c r="E135" s="8">
        <v>475</v>
      </c>
      <c r="F135" s="8">
        <v>455</v>
      </c>
      <c r="G135" s="8">
        <v>455</v>
      </c>
      <c r="H135" s="8">
        <v>0</v>
      </c>
      <c r="I135" s="8">
        <v>0</v>
      </c>
    </row>
    <row r="136" spans="1:9" x14ac:dyDescent="0.25">
      <c r="A136" s="2" t="s">
        <v>6</v>
      </c>
      <c r="B136" s="2" t="s">
        <v>8</v>
      </c>
      <c r="C136" s="6">
        <v>41091</v>
      </c>
      <c r="D136" s="7">
        <v>0.58333333333333337</v>
      </c>
      <c r="E136" s="8">
        <v>471</v>
      </c>
      <c r="F136" s="8">
        <v>503</v>
      </c>
      <c r="G136" s="8">
        <v>498</v>
      </c>
      <c r="H136" s="8">
        <v>5</v>
      </c>
      <c r="I136" s="8">
        <v>0</v>
      </c>
    </row>
    <row r="137" spans="1:9" x14ac:dyDescent="0.25">
      <c r="A137" s="2" t="s">
        <v>6</v>
      </c>
      <c r="B137" s="2" t="s">
        <v>8</v>
      </c>
      <c r="C137" s="6">
        <v>41091</v>
      </c>
      <c r="D137" s="7">
        <v>0.60416666666666663</v>
      </c>
      <c r="E137" s="8">
        <v>458</v>
      </c>
      <c r="F137" s="8">
        <v>431</v>
      </c>
      <c r="G137" s="8">
        <v>416</v>
      </c>
      <c r="H137" s="8">
        <v>15</v>
      </c>
      <c r="I137" s="8">
        <v>0</v>
      </c>
    </row>
    <row r="138" spans="1:9" x14ac:dyDescent="0.25">
      <c r="A138" s="2" t="s">
        <v>6</v>
      </c>
      <c r="B138" s="2" t="s">
        <v>8</v>
      </c>
      <c r="C138" s="6">
        <v>41091</v>
      </c>
      <c r="D138" s="7">
        <v>0.625</v>
      </c>
      <c r="E138" s="8">
        <v>683</v>
      </c>
      <c r="F138" s="8">
        <v>441</v>
      </c>
      <c r="G138" s="8">
        <v>434</v>
      </c>
      <c r="H138" s="8">
        <v>7</v>
      </c>
      <c r="I138" s="8">
        <v>0</v>
      </c>
    </row>
    <row r="139" spans="1:9" x14ac:dyDescent="0.25">
      <c r="A139" s="2" t="s">
        <v>6</v>
      </c>
      <c r="B139" s="2" t="s">
        <v>8</v>
      </c>
      <c r="C139" s="6">
        <v>41091</v>
      </c>
      <c r="D139" s="7">
        <v>0.64583333333333337</v>
      </c>
      <c r="E139" s="8">
        <v>652</v>
      </c>
      <c r="F139" s="8">
        <v>422</v>
      </c>
      <c r="G139" s="8">
        <v>417</v>
      </c>
      <c r="H139" s="8">
        <v>5</v>
      </c>
      <c r="I139" s="8">
        <v>0</v>
      </c>
    </row>
    <row r="140" spans="1:9" x14ac:dyDescent="0.25">
      <c r="A140" s="2" t="s">
        <v>6</v>
      </c>
      <c r="B140" s="2" t="s">
        <v>8</v>
      </c>
      <c r="C140" s="6">
        <v>41091</v>
      </c>
      <c r="D140" s="7">
        <v>0.66666666666666663</v>
      </c>
      <c r="E140" s="8">
        <v>603</v>
      </c>
      <c r="F140" s="8">
        <v>416</v>
      </c>
      <c r="G140" s="8">
        <v>409</v>
      </c>
      <c r="H140" s="8">
        <v>7</v>
      </c>
      <c r="I140" s="8">
        <v>0</v>
      </c>
    </row>
    <row r="141" spans="1:9" x14ac:dyDescent="0.25">
      <c r="A141" s="2" t="s">
        <v>6</v>
      </c>
      <c r="B141" s="2" t="s">
        <v>8</v>
      </c>
      <c r="C141" s="6">
        <v>41091</v>
      </c>
      <c r="D141" s="7">
        <v>0.6875</v>
      </c>
      <c r="E141" s="8">
        <v>608</v>
      </c>
      <c r="F141" s="8">
        <v>449</v>
      </c>
      <c r="G141" s="8">
        <v>438</v>
      </c>
      <c r="H141" s="8">
        <v>11</v>
      </c>
      <c r="I141" s="8">
        <v>0</v>
      </c>
    </row>
    <row r="142" spans="1:9" x14ac:dyDescent="0.25">
      <c r="A142" s="2" t="s">
        <v>6</v>
      </c>
      <c r="B142" s="2" t="s">
        <v>8</v>
      </c>
      <c r="C142" s="6">
        <v>41091</v>
      </c>
      <c r="D142" s="7">
        <v>0.70833333333333337</v>
      </c>
      <c r="E142" s="8">
        <v>659</v>
      </c>
      <c r="F142" s="8">
        <v>412</v>
      </c>
      <c r="G142" s="8">
        <v>398</v>
      </c>
      <c r="H142" s="8">
        <v>14</v>
      </c>
      <c r="I142" s="8">
        <v>0</v>
      </c>
    </row>
    <row r="143" spans="1:9" x14ac:dyDescent="0.25">
      <c r="A143" s="2" t="s">
        <v>6</v>
      </c>
      <c r="B143" s="2" t="s">
        <v>8</v>
      </c>
      <c r="C143" s="6">
        <v>41091</v>
      </c>
      <c r="D143" s="7">
        <v>0.72916666666666663</v>
      </c>
      <c r="E143" s="8">
        <v>731</v>
      </c>
      <c r="F143" s="8">
        <v>370</v>
      </c>
      <c r="G143" s="8">
        <v>361</v>
      </c>
      <c r="H143" s="8">
        <v>9</v>
      </c>
      <c r="I143" s="8">
        <v>0</v>
      </c>
    </row>
    <row r="144" spans="1:9" x14ac:dyDescent="0.25">
      <c r="A144" s="2" t="s">
        <v>6</v>
      </c>
      <c r="B144" s="2" t="s">
        <v>8</v>
      </c>
      <c r="C144" s="6">
        <v>41091</v>
      </c>
      <c r="D144" s="7">
        <v>0.75</v>
      </c>
      <c r="E144" s="8">
        <v>599</v>
      </c>
      <c r="F144" s="8">
        <v>489</v>
      </c>
      <c r="G144" s="8">
        <v>488</v>
      </c>
      <c r="H144" s="8">
        <v>1</v>
      </c>
      <c r="I144" s="8">
        <v>0</v>
      </c>
    </row>
    <row r="145" spans="1:9" x14ac:dyDescent="0.25">
      <c r="A145" s="2" t="s">
        <v>6</v>
      </c>
      <c r="B145" s="2" t="s">
        <v>8</v>
      </c>
      <c r="C145" s="6">
        <v>41091</v>
      </c>
      <c r="D145" s="7">
        <v>0.77083333333333337</v>
      </c>
      <c r="E145" s="8">
        <v>585</v>
      </c>
      <c r="F145" s="8">
        <v>451</v>
      </c>
      <c r="G145" s="8">
        <v>443</v>
      </c>
      <c r="H145" s="8">
        <v>8</v>
      </c>
      <c r="I145" s="8">
        <v>0</v>
      </c>
    </row>
    <row r="146" spans="1:9" x14ac:dyDescent="0.25">
      <c r="A146" s="2" t="s">
        <v>6</v>
      </c>
      <c r="B146" s="2" t="s">
        <v>8</v>
      </c>
      <c r="C146" s="6">
        <v>41091</v>
      </c>
      <c r="D146" s="7">
        <v>0.79166666666666663</v>
      </c>
      <c r="E146" s="8">
        <v>581</v>
      </c>
      <c r="F146" s="8">
        <v>395</v>
      </c>
      <c r="G146" s="8">
        <v>389</v>
      </c>
      <c r="H146" s="8">
        <v>6</v>
      </c>
      <c r="I146" s="8">
        <v>0</v>
      </c>
    </row>
    <row r="147" spans="1:9" x14ac:dyDescent="0.25">
      <c r="A147" s="2" t="s">
        <v>6</v>
      </c>
      <c r="B147" s="2" t="s">
        <v>8</v>
      </c>
      <c r="C147" s="6">
        <v>41091</v>
      </c>
      <c r="D147" s="7">
        <v>0.8125</v>
      </c>
      <c r="E147" s="8">
        <v>536</v>
      </c>
      <c r="F147" s="8">
        <v>423</v>
      </c>
      <c r="G147" s="8">
        <v>419</v>
      </c>
      <c r="H147" s="8">
        <v>4</v>
      </c>
      <c r="I147" s="8">
        <v>0</v>
      </c>
    </row>
    <row r="148" spans="1:9" x14ac:dyDescent="0.25">
      <c r="A148" s="2" t="s">
        <v>6</v>
      </c>
      <c r="B148" s="2" t="s">
        <v>8</v>
      </c>
      <c r="C148" s="6">
        <v>41092</v>
      </c>
      <c r="D148" s="7">
        <v>0.33333333333333331</v>
      </c>
      <c r="E148" s="8">
        <v>718</v>
      </c>
      <c r="F148" s="8">
        <v>3483</v>
      </c>
      <c r="G148" s="8">
        <v>3417</v>
      </c>
      <c r="H148" s="8">
        <v>66</v>
      </c>
      <c r="I148" s="8">
        <v>0</v>
      </c>
    </row>
    <row r="149" spans="1:9" x14ac:dyDescent="0.25">
      <c r="A149" s="2" t="s">
        <v>6</v>
      </c>
      <c r="B149" s="2" t="s">
        <v>8</v>
      </c>
      <c r="C149" s="6">
        <v>41092</v>
      </c>
      <c r="D149" s="7">
        <v>0.35416666666666669</v>
      </c>
      <c r="E149" s="8">
        <v>1078</v>
      </c>
      <c r="F149" s="8">
        <v>5313</v>
      </c>
      <c r="G149" s="8">
        <v>5076</v>
      </c>
      <c r="H149" s="8">
        <v>236</v>
      </c>
      <c r="I149" s="8">
        <v>1</v>
      </c>
    </row>
    <row r="150" spans="1:9" x14ac:dyDescent="0.25">
      <c r="A150" s="2" t="s">
        <v>6</v>
      </c>
      <c r="B150" s="2" t="s">
        <v>8</v>
      </c>
      <c r="C150" s="6">
        <v>41092</v>
      </c>
      <c r="D150" s="7">
        <v>0.375</v>
      </c>
      <c r="E150" s="8">
        <v>1124</v>
      </c>
      <c r="F150" s="8">
        <v>7418</v>
      </c>
      <c r="G150" s="8">
        <v>7093</v>
      </c>
      <c r="H150" s="8">
        <v>324</v>
      </c>
      <c r="I150" s="8">
        <v>1</v>
      </c>
    </row>
    <row r="151" spans="1:9" x14ac:dyDescent="0.25">
      <c r="A151" s="2" t="s">
        <v>6</v>
      </c>
      <c r="B151" s="2" t="s">
        <v>8</v>
      </c>
      <c r="C151" s="6">
        <v>41092</v>
      </c>
      <c r="D151" s="7">
        <v>0.39583333333333331</v>
      </c>
      <c r="E151" s="8">
        <v>1165</v>
      </c>
      <c r="F151" s="8">
        <v>8765</v>
      </c>
      <c r="G151" s="8">
        <v>8436</v>
      </c>
      <c r="H151" s="8">
        <v>324</v>
      </c>
      <c r="I151" s="8">
        <v>5</v>
      </c>
    </row>
    <row r="152" spans="1:9" x14ac:dyDescent="0.25">
      <c r="A152" s="2" t="s">
        <v>6</v>
      </c>
      <c r="B152" s="2" t="s">
        <v>8</v>
      </c>
      <c r="C152" s="6">
        <v>41092</v>
      </c>
      <c r="D152" s="7">
        <v>0.41666666666666669</v>
      </c>
      <c r="E152" s="8">
        <v>1140</v>
      </c>
      <c r="F152" s="8">
        <v>9177</v>
      </c>
      <c r="G152" s="8">
        <v>8863</v>
      </c>
      <c r="H152" s="8">
        <v>312</v>
      </c>
      <c r="I152" s="8">
        <v>2</v>
      </c>
    </row>
    <row r="153" spans="1:9" x14ac:dyDescent="0.25">
      <c r="A153" s="2" t="s">
        <v>6</v>
      </c>
      <c r="B153" s="2" t="s">
        <v>8</v>
      </c>
      <c r="C153" s="6">
        <v>41092</v>
      </c>
      <c r="D153" s="7">
        <v>0.4375</v>
      </c>
      <c r="E153" s="8">
        <v>1138</v>
      </c>
      <c r="F153" s="8">
        <v>9653</v>
      </c>
      <c r="G153" s="8">
        <v>9281</v>
      </c>
      <c r="H153" s="8">
        <v>369</v>
      </c>
      <c r="I153" s="8">
        <v>3</v>
      </c>
    </row>
    <row r="154" spans="1:9" x14ac:dyDescent="0.25">
      <c r="A154" s="2" t="s">
        <v>6</v>
      </c>
      <c r="B154" s="2" t="s">
        <v>8</v>
      </c>
      <c r="C154" s="6">
        <v>41092</v>
      </c>
      <c r="D154" s="7">
        <v>0.45833333333333331</v>
      </c>
      <c r="E154" s="8">
        <v>1147</v>
      </c>
      <c r="F154" s="8">
        <v>9475</v>
      </c>
      <c r="G154" s="8">
        <v>9072</v>
      </c>
      <c r="H154" s="8">
        <v>400</v>
      </c>
      <c r="I154" s="8">
        <v>3</v>
      </c>
    </row>
    <row r="155" spans="1:9" x14ac:dyDescent="0.25">
      <c r="A155" s="2" t="s">
        <v>6</v>
      </c>
      <c r="B155" s="2" t="s">
        <v>8</v>
      </c>
      <c r="C155" s="6">
        <v>41092</v>
      </c>
      <c r="D155" s="7">
        <v>0.47916666666666669</v>
      </c>
      <c r="E155" s="8">
        <v>1153</v>
      </c>
      <c r="F155" s="8">
        <v>9434</v>
      </c>
      <c r="G155" s="8">
        <v>9037</v>
      </c>
      <c r="H155" s="8">
        <v>394</v>
      </c>
      <c r="I155" s="8">
        <v>3</v>
      </c>
    </row>
    <row r="156" spans="1:9" x14ac:dyDescent="0.25">
      <c r="A156" s="2" t="s">
        <v>6</v>
      </c>
      <c r="B156" s="2" t="s">
        <v>8</v>
      </c>
      <c r="C156" s="6">
        <v>41092</v>
      </c>
      <c r="D156" s="7">
        <v>0.5</v>
      </c>
      <c r="E156" s="8">
        <v>1171</v>
      </c>
      <c r="F156" s="8">
        <v>8577</v>
      </c>
      <c r="G156" s="8">
        <v>8125</v>
      </c>
      <c r="H156" s="8">
        <v>452</v>
      </c>
      <c r="I156" s="8">
        <v>0</v>
      </c>
    </row>
    <row r="157" spans="1:9" x14ac:dyDescent="0.25">
      <c r="A157" s="2" t="s">
        <v>6</v>
      </c>
      <c r="B157" s="2" t="s">
        <v>8</v>
      </c>
      <c r="C157" s="6">
        <v>41092</v>
      </c>
      <c r="D157" s="7">
        <v>0.52083333333333337</v>
      </c>
      <c r="E157" s="8">
        <v>1123</v>
      </c>
      <c r="F157" s="8">
        <v>8142</v>
      </c>
      <c r="G157" s="8">
        <v>7679</v>
      </c>
      <c r="H157" s="8">
        <v>460</v>
      </c>
      <c r="I157" s="8">
        <v>3</v>
      </c>
    </row>
    <row r="158" spans="1:9" x14ac:dyDescent="0.25">
      <c r="A158" s="2" t="s">
        <v>6</v>
      </c>
      <c r="B158" s="2" t="s">
        <v>8</v>
      </c>
      <c r="C158" s="6">
        <v>41092</v>
      </c>
      <c r="D158" s="7">
        <v>0.54166666666666663</v>
      </c>
      <c r="E158" s="8">
        <v>1115</v>
      </c>
      <c r="F158" s="8">
        <v>7618</v>
      </c>
      <c r="G158" s="8">
        <v>7247</v>
      </c>
      <c r="H158" s="8">
        <v>368</v>
      </c>
      <c r="I158" s="8">
        <v>3</v>
      </c>
    </row>
    <row r="159" spans="1:9" x14ac:dyDescent="0.25">
      <c r="A159" s="2" t="s">
        <v>6</v>
      </c>
      <c r="B159" s="2" t="s">
        <v>8</v>
      </c>
      <c r="C159" s="6">
        <v>41092</v>
      </c>
      <c r="D159" s="7">
        <v>0.5625</v>
      </c>
      <c r="E159" s="8">
        <v>1135</v>
      </c>
      <c r="F159" s="8">
        <v>8084</v>
      </c>
      <c r="G159" s="8">
        <v>7799</v>
      </c>
      <c r="H159" s="8">
        <v>284</v>
      </c>
      <c r="I159" s="8">
        <v>1</v>
      </c>
    </row>
    <row r="160" spans="1:9" x14ac:dyDescent="0.25">
      <c r="A160" s="2" t="s">
        <v>6</v>
      </c>
      <c r="B160" s="2" t="s">
        <v>8</v>
      </c>
      <c r="C160" s="6">
        <v>41092</v>
      </c>
      <c r="D160" s="7">
        <v>0.58333333333333337</v>
      </c>
      <c r="E160" s="8">
        <v>1130</v>
      </c>
      <c r="F160" s="8">
        <v>8146</v>
      </c>
      <c r="G160" s="8">
        <v>7826</v>
      </c>
      <c r="H160" s="8">
        <v>319</v>
      </c>
      <c r="I160" s="8">
        <v>1</v>
      </c>
    </row>
    <row r="161" spans="1:9" x14ac:dyDescent="0.25">
      <c r="A161" s="2" t="s">
        <v>6</v>
      </c>
      <c r="B161" s="2" t="s">
        <v>8</v>
      </c>
      <c r="C161" s="6">
        <v>41092</v>
      </c>
      <c r="D161" s="7">
        <v>0.60416666666666663</v>
      </c>
      <c r="E161" s="8">
        <v>1174</v>
      </c>
      <c r="F161" s="8">
        <v>7931</v>
      </c>
      <c r="G161" s="8">
        <v>7652</v>
      </c>
      <c r="H161" s="8">
        <v>278</v>
      </c>
      <c r="I161" s="8">
        <v>1</v>
      </c>
    </row>
    <row r="162" spans="1:9" x14ac:dyDescent="0.25">
      <c r="A162" s="2" t="s">
        <v>6</v>
      </c>
      <c r="B162" s="2" t="s">
        <v>8</v>
      </c>
      <c r="C162" s="6">
        <v>41092</v>
      </c>
      <c r="D162" s="7">
        <v>0.625</v>
      </c>
      <c r="E162" s="8">
        <v>1136</v>
      </c>
      <c r="F162" s="8">
        <v>7930</v>
      </c>
      <c r="G162" s="8">
        <v>7575</v>
      </c>
      <c r="H162" s="8">
        <v>352</v>
      </c>
      <c r="I162" s="8">
        <v>3</v>
      </c>
    </row>
    <row r="163" spans="1:9" x14ac:dyDescent="0.25">
      <c r="A163" s="2" t="s">
        <v>6</v>
      </c>
      <c r="B163" s="2" t="s">
        <v>8</v>
      </c>
      <c r="C163" s="6">
        <v>41092</v>
      </c>
      <c r="D163" s="7">
        <v>0.64583333333333337</v>
      </c>
      <c r="E163" s="8">
        <v>1112</v>
      </c>
      <c r="F163" s="8">
        <v>7971</v>
      </c>
      <c r="G163" s="8">
        <v>7695</v>
      </c>
      <c r="H163" s="8">
        <v>275</v>
      </c>
      <c r="I163" s="8">
        <v>1</v>
      </c>
    </row>
    <row r="164" spans="1:9" x14ac:dyDescent="0.25">
      <c r="A164" s="2" t="s">
        <v>6</v>
      </c>
      <c r="B164" s="2" t="s">
        <v>8</v>
      </c>
      <c r="C164" s="6">
        <v>41092</v>
      </c>
      <c r="D164" s="7">
        <v>0.66666666666666663</v>
      </c>
      <c r="E164" s="8">
        <v>1134</v>
      </c>
      <c r="F164" s="8">
        <v>7592</v>
      </c>
      <c r="G164" s="8">
        <v>7341</v>
      </c>
      <c r="H164" s="8">
        <v>250</v>
      </c>
      <c r="I164" s="8">
        <v>1</v>
      </c>
    </row>
    <row r="165" spans="1:9" x14ac:dyDescent="0.25">
      <c r="A165" s="2" t="s">
        <v>6</v>
      </c>
      <c r="B165" s="2" t="s">
        <v>8</v>
      </c>
      <c r="C165" s="6">
        <v>41092</v>
      </c>
      <c r="D165" s="7">
        <v>0.6875</v>
      </c>
      <c r="E165" s="8">
        <v>1072</v>
      </c>
      <c r="F165" s="8">
        <v>7703</v>
      </c>
      <c r="G165" s="8">
        <v>7339</v>
      </c>
      <c r="H165" s="8">
        <v>363</v>
      </c>
      <c r="I165" s="8">
        <v>1</v>
      </c>
    </row>
    <row r="166" spans="1:9" x14ac:dyDescent="0.25">
      <c r="A166" s="2" t="s">
        <v>6</v>
      </c>
      <c r="B166" s="2" t="s">
        <v>8</v>
      </c>
      <c r="C166" s="6">
        <v>41092</v>
      </c>
      <c r="D166" s="7">
        <v>0.70833333333333337</v>
      </c>
      <c r="E166" s="8">
        <v>1057</v>
      </c>
      <c r="F166" s="8">
        <v>7367</v>
      </c>
      <c r="G166" s="8">
        <v>6974</v>
      </c>
      <c r="H166" s="8">
        <v>393</v>
      </c>
      <c r="I166" s="8">
        <v>0</v>
      </c>
    </row>
    <row r="167" spans="1:9" x14ac:dyDescent="0.25">
      <c r="A167" s="2" t="s">
        <v>6</v>
      </c>
      <c r="B167" s="2" t="s">
        <v>8</v>
      </c>
      <c r="C167" s="6">
        <v>41092</v>
      </c>
      <c r="D167" s="7">
        <v>0.72916666666666663</v>
      </c>
      <c r="E167" s="8">
        <v>1088</v>
      </c>
      <c r="F167" s="8">
        <v>6530</v>
      </c>
      <c r="G167" s="8">
        <v>6055</v>
      </c>
      <c r="H167" s="8">
        <v>475</v>
      </c>
      <c r="I167" s="8">
        <v>0</v>
      </c>
    </row>
    <row r="168" spans="1:9" x14ac:dyDescent="0.25">
      <c r="A168" s="2" t="s">
        <v>6</v>
      </c>
      <c r="B168" s="2" t="s">
        <v>8</v>
      </c>
      <c r="C168" s="6">
        <v>41092</v>
      </c>
      <c r="D168" s="7">
        <v>0.75</v>
      </c>
      <c r="E168" s="8">
        <v>969</v>
      </c>
      <c r="F168" s="8">
        <v>4962</v>
      </c>
      <c r="G168" s="8">
        <v>4624</v>
      </c>
      <c r="H168" s="8">
        <v>338</v>
      </c>
      <c r="I168" s="8">
        <v>0</v>
      </c>
    </row>
    <row r="169" spans="1:9" x14ac:dyDescent="0.25">
      <c r="A169" s="2" t="s">
        <v>6</v>
      </c>
      <c r="B169" s="2" t="s">
        <v>8</v>
      </c>
      <c r="C169" s="6">
        <v>41092</v>
      </c>
      <c r="D169" s="7">
        <v>0.77083333333333337</v>
      </c>
      <c r="E169" s="8">
        <v>814</v>
      </c>
      <c r="F169" s="8">
        <v>4287</v>
      </c>
      <c r="G169" s="8">
        <v>4024</v>
      </c>
      <c r="H169" s="8">
        <v>263</v>
      </c>
      <c r="I169" s="8">
        <v>0</v>
      </c>
    </row>
    <row r="170" spans="1:9" x14ac:dyDescent="0.25">
      <c r="A170" s="2" t="s">
        <v>6</v>
      </c>
      <c r="B170" s="2" t="s">
        <v>8</v>
      </c>
      <c r="C170" s="6">
        <v>41092</v>
      </c>
      <c r="D170" s="7">
        <v>0.79166666666666663</v>
      </c>
      <c r="E170" s="8">
        <v>836</v>
      </c>
      <c r="F170" s="8">
        <v>3698</v>
      </c>
      <c r="G170" s="8">
        <v>3581</v>
      </c>
      <c r="H170" s="8">
        <v>117</v>
      </c>
      <c r="I170" s="8">
        <v>0</v>
      </c>
    </row>
    <row r="171" spans="1:9" x14ac:dyDescent="0.25">
      <c r="A171" s="2" t="s">
        <v>6</v>
      </c>
      <c r="B171" s="2" t="s">
        <v>8</v>
      </c>
      <c r="C171" s="6">
        <v>41092</v>
      </c>
      <c r="D171" s="7">
        <v>0.8125</v>
      </c>
      <c r="E171" s="8">
        <v>767</v>
      </c>
      <c r="F171" s="8">
        <v>3269</v>
      </c>
      <c r="G171" s="8">
        <v>3181</v>
      </c>
      <c r="H171" s="8">
        <v>88</v>
      </c>
      <c r="I171" s="8">
        <v>0</v>
      </c>
    </row>
    <row r="172" spans="1:9" x14ac:dyDescent="0.25">
      <c r="A172" s="2" t="s">
        <v>6</v>
      </c>
      <c r="B172" s="2" t="s">
        <v>8</v>
      </c>
      <c r="C172" s="6">
        <v>41093</v>
      </c>
      <c r="D172" s="7">
        <v>0.33333333333333331</v>
      </c>
      <c r="E172" s="8">
        <v>698</v>
      </c>
      <c r="F172" s="8">
        <v>3607</v>
      </c>
      <c r="G172" s="8">
        <v>3458</v>
      </c>
      <c r="H172" s="8">
        <v>149</v>
      </c>
      <c r="I172" s="8">
        <v>0</v>
      </c>
    </row>
    <row r="173" spans="1:9" x14ac:dyDescent="0.25">
      <c r="A173" s="2" t="s">
        <v>6</v>
      </c>
      <c r="B173" s="2" t="s">
        <v>8</v>
      </c>
      <c r="C173" s="6">
        <v>41093</v>
      </c>
      <c r="D173" s="7">
        <v>0.35416666666666669</v>
      </c>
      <c r="E173" s="8">
        <v>928</v>
      </c>
      <c r="F173" s="8">
        <v>5468</v>
      </c>
      <c r="G173" s="8">
        <v>5153</v>
      </c>
      <c r="H173" s="8">
        <v>312</v>
      </c>
      <c r="I173" s="8">
        <v>3</v>
      </c>
    </row>
    <row r="174" spans="1:9" x14ac:dyDescent="0.25">
      <c r="A174" s="2" t="s">
        <v>6</v>
      </c>
      <c r="B174" s="2" t="s">
        <v>8</v>
      </c>
      <c r="C174" s="6">
        <v>41093</v>
      </c>
      <c r="D174" s="7">
        <v>0.375</v>
      </c>
      <c r="E174" s="8">
        <v>1060</v>
      </c>
      <c r="F174" s="8">
        <v>6965</v>
      </c>
      <c r="G174" s="8">
        <v>6656</v>
      </c>
      <c r="H174" s="8">
        <v>306</v>
      </c>
      <c r="I174" s="8">
        <v>3</v>
      </c>
    </row>
    <row r="175" spans="1:9" x14ac:dyDescent="0.25">
      <c r="A175" s="2" t="s">
        <v>6</v>
      </c>
      <c r="B175" s="2" t="s">
        <v>8</v>
      </c>
      <c r="C175" s="6">
        <v>41093</v>
      </c>
      <c r="D175" s="7">
        <v>0.39583333333333331</v>
      </c>
      <c r="E175" s="8">
        <v>1084</v>
      </c>
      <c r="F175" s="8">
        <v>8172</v>
      </c>
      <c r="G175" s="8">
        <v>7914</v>
      </c>
      <c r="H175" s="8">
        <v>258</v>
      </c>
      <c r="I175" s="8">
        <v>0</v>
      </c>
    </row>
    <row r="176" spans="1:9" x14ac:dyDescent="0.25">
      <c r="A176" s="2" t="s">
        <v>6</v>
      </c>
      <c r="B176" s="2" t="s">
        <v>8</v>
      </c>
      <c r="C176" s="6">
        <v>41093</v>
      </c>
      <c r="D176" s="7">
        <v>0.41666666666666669</v>
      </c>
      <c r="E176" s="8">
        <v>1088</v>
      </c>
      <c r="F176" s="8">
        <v>8613</v>
      </c>
      <c r="G176" s="8">
        <v>8320</v>
      </c>
      <c r="H176" s="8">
        <v>291</v>
      </c>
      <c r="I176" s="8">
        <v>2</v>
      </c>
    </row>
    <row r="177" spans="1:9" x14ac:dyDescent="0.25">
      <c r="A177" s="2" t="s">
        <v>6</v>
      </c>
      <c r="B177" s="2" t="s">
        <v>8</v>
      </c>
      <c r="C177" s="6">
        <v>41093</v>
      </c>
      <c r="D177" s="7">
        <v>0.4375</v>
      </c>
      <c r="E177" s="8">
        <v>1092</v>
      </c>
      <c r="F177" s="8">
        <v>9199</v>
      </c>
      <c r="G177" s="8">
        <v>8954</v>
      </c>
      <c r="H177" s="8">
        <v>239</v>
      </c>
      <c r="I177" s="8">
        <v>6</v>
      </c>
    </row>
    <row r="178" spans="1:9" x14ac:dyDescent="0.25">
      <c r="A178" s="2" t="s">
        <v>6</v>
      </c>
      <c r="B178" s="2" t="s">
        <v>8</v>
      </c>
      <c r="C178" s="6">
        <v>41093</v>
      </c>
      <c r="D178" s="7">
        <v>0.45833333333333331</v>
      </c>
      <c r="E178" s="8">
        <v>1102</v>
      </c>
      <c r="F178" s="8">
        <v>8622</v>
      </c>
      <c r="G178" s="8">
        <v>8396</v>
      </c>
      <c r="H178" s="8">
        <v>223</v>
      </c>
      <c r="I178" s="8">
        <v>3</v>
      </c>
    </row>
    <row r="179" spans="1:9" x14ac:dyDescent="0.25">
      <c r="A179" s="2" t="s">
        <v>6</v>
      </c>
      <c r="B179" s="2" t="s">
        <v>8</v>
      </c>
      <c r="C179" s="6">
        <v>41093</v>
      </c>
      <c r="D179" s="7">
        <v>0.47916666666666669</v>
      </c>
      <c r="E179" s="8">
        <v>1115</v>
      </c>
      <c r="F179" s="8">
        <v>8355</v>
      </c>
      <c r="G179" s="8">
        <v>8103</v>
      </c>
      <c r="H179" s="8">
        <v>248</v>
      </c>
      <c r="I179" s="8">
        <v>4</v>
      </c>
    </row>
    <row r="180" spans="1:9" x14ac:dyDescent="0.25">
      <c r="A180" s="2" t="s">
        <v>6</v>
      </c>
      <c r="B180" s="2" t="s">
        <v>8</v>
      </c>
      <c r="C180" s="6">
        <v>41093</v>
      </c>
      <c r="D180" s="7">
        <v>0.5</v>
      </c>
      <c r="E180" s="8">
        <v>1121</v>
      </c>
      <c r="F180" s="8">
        <v>7746</v>
      </c>
      <c r="G180" s="8">
        <v>7441</v>
      </c>
      <c r="H180" s="8">
        <v>303</v>
      </c>
      <c r="I180" s="8">
        <v>2</v>
      </c>
    </row>
    <row r="181" spans="1:9" x14ac:dyDescent="0.25">
      <c r="A181" s="2" t="s">
        <v>6</v>
      </c>
      <c r="B181" s="2" t="s">
        <v>8</v>
      </c>
      <c r="C181" s="6">
        <v>41093</v>
      </c>
      <c r="D181" s="7">
        <v>0.52083333333333337</v>
      </c>
      <c r="E181" s="8">
        <v>1079</v>
      </c>
      <c r="F181" s="8">
        <v>7353</v>
      </c>
      <c r="G181" s="8">
        <v>6984</v>
      </c>
      <c r="H181" s="8">
        <v>367</v>
      </c>
      <c r="I181" s="8">
        <v>2</v>
      </c>
    </row>
    <row r="182" spans="1:9" x14ac:dyDescent="0.25">
      <c r="A182" s="2" t="s">
        <v>6</v>
      </c>
      <c r="B182" s="2" t="s">
        <v>8</v>
      </c>
      <c r="C182" s="6">
        <v>41093</v>
      </c>
      <c r="D182" s="7">
        <v>0.54166666666666663</v>
      </c>
      <c r="E182" s="8">
        <v>1084</v>
      </c>
      <c r="F182" s="8">
        <v>7232</v>
      </c>
      <c r="G182" s="8">
        <v>6939</v>
      </c>
      <c r="H182" s="8">
        <v>293</v>
      </c>
      <c r="I182" s="8">
        <v>0</v>
      </c>
    </row>
    <row r="183" spans="1:9" x14ac:dyDescent="0.25">
      <c r="A183" s="2" t="s">
        <v>6</v>
      </c>
      <c r="B183" s="2" t="s">
        <v>8</v>
      </c>
      <c r="C183" s="6">
        <v>41093</v>
      </c>
      <c r="D183" s="7">
        <v>0.5625</v>
      </c>
      <c r="E183" s="8">
        <v>1083</v>
      </c>
      <c r="F183" s="8">
        <v>7466</v>
      </c>
      <c r="G183" s="8">
        <v>7241</v>
      </c>
      <c r="H183" s="8">
        <v>225</v>
      </c>
      <c r="I183" s="8">
        <v>0</v>
      </c>
    </row>
    <row r="184" spans="1:9" x14ac:dyDescent="0.25">
      <c r="A184" s="2" t="s">
        <v>6</v>
      </c>
      <c r="B184" s="2" t="s">
        <v>8</v>
      </c>
      <c r="C184" s="6">
        <v>41093</v>
      </c>
      <c r="D184" s="7">
        <v>0.58333333333333337</v>
      </c>
      <c r="E184" s="8">
        <v>1105</v>
      </c>
      <c r="F184" s="8">
        <v>7594</v>
      </c>
      <c r="G184" s="8">
        <v>7336</v>
      </c>
      <c r="H184" s="8">
        <v>257</v>
      </c>
      <c r="I184" s="8">
        <v>1</v>
      </c>
    </row>
    <row r="185" spans="1:9" x14ac:dyDescent="0.25">
      <c r="A185" s="2" t="s">
        <v>6</v>
      </c>
      <c r="B185" s="2" t="s">
        <v>8</v>
      </c>
      <c r="C185" s="6">
        <v>41093</v>
      </c>
      <c r="D185" s="7">
        <v>0.60416666666666663</v>
      </c>
      <c r="E185" s="8">
        <v>1139</v>
      </c>
      <c r="F185" s="8">
        <v>7589</v>
      </c>
      <c r="G185" s="8">
        <v>7436</v>
      </c>
      <c r="H185" s="8">
        <v>152</v>
      </c>
      <c r="I185" s="8">
        <v>1</v>
      </c>
    </row>
    <row r="186" spans="1:9" x14ac:dyDescent="0.25">
      <c r="A186" s="2" t="s">
        <v>6</v>
      </c>
      <c r="B186" s="2" t="s">
        <v>8</v>
      </c>
      <c r="C186" s="6">
        <v>41093</v>
      </c>
      <c r="D186" s="7">
        <v>0.625</v>
      </c>
      <c r="E186" s="8">
        <v>1112</v>
      </c>
      <c r="F186" s="8">
        <v>7261</v>
      </c>
      <c r="G186" s="8">
        <v>7002</v>
      </c>
      <c r="H186" s="8">
        <v>258</v>
      </c>
      <c r="I186" s="8">
        <v>1</v>
      </c>
    </row>
    <row r="187" spans="1:9" x14ac:dyDescent="0.25">
      <c r="A187" s="2" t="s">
        <v>6</v>
      </c>
      <c r="B187" s="2" t="s">
        <v>8</v>
      </c>
      <c r="C187" s="6">
        <v>41093</v>
      </c>
      <c r="D187" s="7">
        <v>0.64583333333333337</v>
      </c>
      <c r="E187" s="8">
        <v>1047</v>
      </c>
      <c r="F187" s="8">
        <v>7349</v>
      </c>
      <c r="G187" s="8">
        <v>7058</v>
      </c>
      <c r="H187" s="8">
        <v>291</v>
      </c>
      <c r="I187" s="8">
        <v>0</v>
      </c>
    </row>
    <row r="188" spans="1:9" x14ac:dyDescent="0.25">
      <c r="A188" s="2" t="s">
        <v>6</v>
      </c>
      <c r="B188" s="2" t="s">
        <v>8</v>
      </c>
      <c r="C188" s="6">
        <v>41093</v>
      </c>
      <c r="D188" s="7">
        <v>0.66666666666666663</v>
      </c>
      <c r="E188" s="8">
        <v>1006</v>
      </c>
      <c r="F188" s="8">
        <v>7421</v>
      </c>
      <c r="G188" s="8">
        <v>7092</v>
      </c>
      <c r="H188" s="8">
        <v>329</v>
      </c>
      <c r="I188" s="8">
        <v>0</v>
      </c>
    </row>
    <row r="189" spans="1:9" x14ac:dyDescent="0.25">
      <c r="A189" s="2" t="s">
        <v>6</v>
      </c>
      <c r="B189" s="2" t="s">
        <v>8</v>
      </c>
      <c r="C189" s="6">
        <v>41093</v>
      </c>
      <c r="D189" s="7">
        <v>0.6875</v>
      </c>
      <c r="E189" s="8">
        <v>980</v>
      </c>
      <c r="F189" s="8">
        <v>7388</v>
      </c>
      <c r="G189" s="8">
        <v>6882</v>
      </c>
      <c r="H189" s="8">
        <v>506</v>
      </c>
      <c r="I189" s="8">
        <v>0</v>
      </c>
    </row>
    <row r="190" spans="1:9" x14ac:dyDescent="0.25">
      <c r="A190" s="2" t="s">
        <v>6</v>
      </c>
      <c r="B190" s="2" t="s">
        <v>8</v>
      </c>
      <c r="C190" s="6">
        <v>41093</v>
      </c>
      <c r="D190" s="7">
        <v>0.70833333333333337</v>
      </c>
      <c r="E190" s="8">
        <v>1056</v>
      </c>
      <c r="F190" s="8">
        <v>6827</v>
      </c>
      <c r="G190" s="8">
        <v>6250</v>
      </c>
      <c r="H190" s="8">
        <v>576</v>
      </c>
      <c r="I190" s="8">
        <v>1</v>
      </c>
    </row>
    <row r="191" spans="1:9" x14ac:dyDescent="0.25">
      <c r="A191" s="2" t="s">
        <v>6</v>
      </c>
      <c r="B191" s="2" t="s">
        <v>8</v>
      </c>
      <c r="C191" s="6">
        <v>41093</v>
      </c>
      <c r="D191" s="7">
        <v>0.72916666666666663</v>
      </c>
      <c r="E191" s="8">
        <v>1001</v>
      </c>
      <c r="F191" s="8">
        <v>6126</v>
      </c>
      <c r="G191" s="8">
        <v>5537</v>
      </c>
      <c r="H191" s="8">
        <v>589</v>
      </c>
      <c r="I191" s="8">
        <v>0</v>
      </c>
    </row>
    <row r="192" spans="1:9" x14ac:dyDescent="0.25">
      <c r="A192" s="2" t="s">
        <v>6</v>
      </c>
      <c r="B192" s="2" t="s">
        <v>8</v>
      </c>
      <c r="C192" s="6">
        <v>41093</v>
      </c>
      <c r="D192" s="7">
        <v>0.75</v>
      </c>
      <c r="E192" s="8">
        <v>950</v>
      </c>
      <c r="F192" s="8">
        <v>4642</v>
      </c>
      <c r="G192" s="8">
        <v>4219</v>
      </c>
      <c r="H192" s="8">
        <v>423</v>
      </c>
      <c r="I192" s="8">
        <v>0</v>
      </c>
    </row>
    <row r="193" spans="1:9" x14ac:dyDescent="0.25">
      <c r="A193" s="2" t="s">
        <v>6</v>
      </c>
      <c r="B193" s="2" t="s">
        <v>8</v>
      </c>
      <c r="C193" s="6">
        <v>41093</v>
      </c>
      <c r="D193" s="7">
        <v>0.77083333333333337</v>
      </c>
      <c r="E193" s="8">
        <v>859</v>
      </c>
      <c r="F193" s="8">
        <v>3809</v>
      </c>
      <c r="G193" s="8">
        <v>3492</v>
      </c>
      <c r="H193" s="8">
        <v>317</v>
      </c>
      <c r="I193" s="8">
        <v>0</v>
      </c>
    </row>
    <row r="194" spans="1:9" x14ac:dyDescent="0.25">
      <c r="A194" s="2" t="s">
        <v>6</v>
      </c>
      <c r="B194" s="2" t="s">
        <v>8</v>
      </c>
      <c r="C194" s="6">
        <v>41093</v>
      </c>
      <c r="D194" s="7">
        <v>0.79166666666666663</v>
      </c>
      <c r="E194" s="8">
        <v>854</v>
      </c>
      <c r="F194" s="8">
        <v>3206</v>
      </c>
      <c r="G194" s="8">
        <v>3042</v>
      </c>
      <c r="H194" s="8">
        <v>164</v>
      </c>
      <c r="I194" s="8">
        <v>0</v>
      </c>
    </row>
    <row r="195" spans="1:9" x14ac:dyDescent="0.25">
      <c r="A195" s="2" t="s">
        <v>6</v>
      </c>
      <c r="B195" s="2" t="s">
        <v>8</v>
      </c>
      <c r="C195" s="6">
        <v>41093</v>
      </c>
      <c r="D195" s="7">
        <v>0.8125</v>
      </c>
      <c r="E195" s="8">
        <v>795</v>
      </c>
      <c r="F195" s="8">
        <v>2808</v>
      </c>
      <c r="G195" s="8">
        <v>2740</v>
      </c>
      <c r="H195" s="8">
        <v>68</v>
      </c>
      <c r="I195" s="8">
        <v>0</v>
      </c>
    </row>
    <row r="196" spans="1:9" x14ac:dyDescent="0.25">
      <c r="A196" s="2" t="s">
        <v>6</v>
      </c>
      <c r="B196" s="2" t="s">
        <v>8</v>
      </c>
      <c r="C196" s="6">
        <v>41094</v>
      </c>
      <c r="D196" s="7">
        <v>0.33333333333333331</v>
      </c>
      <c r="E196" s="8">
        <v>792</v>
      </c>
      <c r="F196" s="8">
        <v>3096</v>
      </c>
      <c r="G196" s="8">
        <v>3046</v>
      </c>
      <c r="H196" s="8">
        <v>50</v>
      </c>
      <c r="I196" s="8">
        <v>0</v>
      </c>
    </row>
    <row r="197" spans="1:9" x14ac:dyDescent="0.25">
      <c r="A197" s="2" t="s">
        <v>6</v>
      </c>
      <c r="B197" s="2" t="s">
        <v>8</v>
      </c>
      <c r="C197" s="6">
        <v>41094</v>
      </c>
      <c r="D197" s="7">
        <v>0.35416666666666669</v>
      </c>
      <c r="E197" s="8">
        <v>952</v>
      </c>
      <c r="F197" s="8">
        <v>4443</v>
      </c>
      <c r="G197" s="8">
        <v>4290</v>
      </c>
      <c r="H197" s="8">
        <v>153</v>
      </c>
      <c r="I197" s="8">
        <v>0</v>
      </c>
    </row>
    <row r="198" spans="1:9" x14ac:dyDescent="0.25">
      <c r="A198" s="2" t="s">
        <v>6</v>
      </c>
      <c r="B198" s="2" t="s">
        <v>8</v>
      </c>
      <c r="C198" s="6">
        <v>41094</v>
      </c>
      <c r="D198" s="7">
        <v>0.375</v>
      </c>
      <c r="E198" s="8">
        <v>1047</v>
      </c>
      <c r="F198" s="8">
        <v>6493</v>
      </c>
      <c r="G198" s="8">
        <v>6331</v>
      </c>
      <c r="H198" s="8">
        <v>162</v>
      </c>
      <c r="I198" s="8">
        <v>0</v>
      </c>
    </row>
    <row r="199" spans="1:9" x14ac:dyDescent="0.25">
      <c r="A199" s="2" t="s">
        <v>6</v>
      </c>
      <c r="B199" s="2" t="s">
        <v>8</v>
      </c>
      <c r="C199" s="6">
        <v>41094</v>
      </c>
      <c r="D199" s="7">
        <v>0.39583333333333331</v>
      </c>
      <c r="E199" s="8">
        <v>1092</v>
      </c>
      <c r="F199" s="8">
        <v>7600</v>
      </c>
      <c r="G199" s="8">
        <v>7344</v>
      </c>
      <c r="H199" s="8">
        <v>256</v>
      </c>
      <c r="I199" s="8">
        <v>0</v>
      </c>
    </row>
    <row r="200" spans="1:9" x14ac:dyDescent="0.25">
      <c r="A200" s="2" t="s">
        <v>6</v>
      </c>
      <c r="B200" s="2" t="s">
        <v>8</v>
      </c>
      <c r="C200" s="6">
        <v>41094</v>
      </c>
      <c r="D200" s="7">
        <v>0.41666666666666669</v>
      </c>
      <c r="E200" s="8">
        <v>1070</v>
      </c>
      <c r="F200" s="8">
        <v>8062</v>
      </c>
      <c r="G200" s="8">
        <v>7767</v>
      </c>
      <c r="H200" s="8">
        <v>294</v>
      </c>
      <c r="I200" s="8">
        <v>1</v>
      </c>
    </row>
    <row r="201" spans="1:9" x14ac:dyDescent="0.25">
      <c r="A201" s="2" t="s">
        <v>6</v>
      </c>
      <c r="B201" s="2" t="s">
        <v>8</v>
      </c>
      <c r="C201" s="6">
        <v>41094</v>
      </c>
      <c r="D201" s="7">
        <v>0.4375</v>
      </c>
      <c r="E201" s="8">
        <v>1099</v>
      </c>
      <c r="F201" s="8">
        <v>8736</v>
      </c>
      <c r="G201" s="8">
        <v>8471</v>
      </c>
      <c r="H201" s="8">
        <v>264</v>
      </c>
      <c r="I201" s="8">
        <v>1</v>
      </c>
    </row>
    <row r="202" spans="1:9" x14ac:dyDescent="0.25">
      <c r="A202" s="2" t="s">
        <v>6</v>
      </c>
      <c r="B202" s="2" t="s">
        <v>8</v>
      </c>
      <c r="C202" s="6">
        <v>41094</v>
      </c>
      <c r="D202" s="7">
        <v>0.45833333333333331</v>
      </c>
      <c r="E202" s="8">
        <v>1144</v>
      </c>
      <c r="F202" s="8">
        <v>8024</v>
      </c>
      <c r="G202" s="8">
        <v>7847</v>
      </c>
      <c r="H202" s="8">
        <v>175</v>
      </c>
      <c r="I202" s="8">
        <v>2</v>
      </c>
    </row>
    <row r="203" spans="1:9" x14ac:dyDescent="0.25">
      <c r="A203" s="2" t="s">
        <v>6</v>
      </c>
      <c r="B203" s="2" t="s">
        <v>8</v>
      </c>
      <c r="C203" s="6">
        <v>41094</v>
      </c>
      <c r="D203" s="7">
        <v>0.47916666666666669</v>
      </c>
      <c r="E203" s="8">
        <v>1145</v>
      </c>
      <c r="F203" s="8">
        <v>7851</v>
      </c>
      <c r="G203" s="8">
        <v>7688</v>
      </c>
      <c r="H203" s="8">
        <v>163</v>
      </c>
      <c r="I203" s="8">
        <v>0</v>
      </c>
    </row>
    <row r="204" spans="1:9" x14ac:dyDescent="0.25">
      <c r="A204" s="2" t="s">
        <v>6</v>
      </c>
      <c r="B204" s="2" t="s">
        <v>8</v>
      </c>
      <c r="C204" s="6">
        <v>41094</v>
      </c>
      <c r="D204" s="7">
        <v>0.5</v>
      </c>
      <c r="E204" s="8">
        <v>1134</v>
      </c>
      <c r="F204" s="8">
        <v>6840</v>
      </c>
      <c r="G204" s="8">
        <v>6687</v>
      </c>
      <c r="H204" s="8">
        <v>151</v>
      </c>
      <c r="I204" s="8">
        <v>2</v>
      </c>
    </row>
    <row r="205" spans="1:9" x14ac:dyDescent="0.25">
      <c r="A205" s="2" t="s">
        <v>6</v>
      </c>
      <c r="B205" s="2" t="s">
        <v>8</v>
      </c>
      <c r="C205" s="6">
        <v>41094</v>
      </c>
      <c r="D205" s="7">
        <v>0.52083333333333337</v>
      </c>
      <c r="E205" s="8">
        <v>1073</v>
      </c>
      <c r="F205" s="8">
        <v>6017</v>
      </c>
      <c r="G205" s="8">
        <v>5861</v>
      </c>
      <c r="H205" s="8">
        <v>156</v>
      </c>
      <c r="I205" s="8">
        <v>0</v>
      </c>
    </row>
    <row r="206" spans="1:9" x14ac:dyDescent="0.25">
      <c r="A206" s="2" t="s">
        <v>6</v>
      </c>
      <c r="B206" s="2" t="s">
        <v>8</v>
      </c>
      <c r="C206" s="6">
        <v>41094</v>
      </c>
      <c r="D206" s="7">
        <v>0.54166666666666663</v>
      </c>
      <c r="E206" s="8">
        <v>1060</v>
      </c>
      <c r="F206" s="8">
        <v>6119</v>
      </c>
      <c r="G206" s="8">
        <v>5996</v>
      </c>
      <c r="H206" s="8">
        <v>123</v>
      </c>
      <c r="I206" s="8">
        <v>0</v>
      </c>
    </row>
    <row r="207" spans="1:9" x14ac:dyDescent="0.25">
      <c r="A207" s="2" t="s">
        <v>6</v>
      </c>
      <c r="B207" s="2" t="s">
        <v>8</v>
      </c>
      <c r="C207" s="6">
        <v>41094</v>
      </c>
      <c r="D207" s="7">
        <v>0.5625</v>
      </c>
      <c r="E207" s="8">
        <v>1084</v>
      </c>
      <c r="F207" s="8">
        <v>6542</v>
      </c>
      <c r="G207" s="8">
        <v>6374</v>
      </c>
      <c r="H207" s="8">
        <v>168</v>
      </c>
      <c r="I207" s="8">
        <v>0</v>
      </c>
    </row>
    <row r="208" spans="1:9" x14ac:dyDescent="0.25">
      <c r="A208" s="2" t="s">
        <v>6</v>
      </c>
      <c r="B208" s="2" t="s">
        <v>8</v>
      </c>
      <c r="C208" s="6">
        <v>41094</v>
      </c>
      <c r="D208" s="7">
        <v>0.58333333333333337</v>
      </c>
      <c r="E208" s="8">
        <v>1103</v>
      </c>
      <c r="F208" s="8">
        <v>6362</v>
      </c>
      <c r="G208" s="8">
        <v>6245</v>
      </c>
      <c r="H208" s="8">
        <v>116</v>
      </c>
      <c r="I208" s="8">
        <v>1</v>
      </c>
    </row>
    <row r="209" spans="1:9" x14ac:dyDescent="0.25">
      <c r="A209" s="2" t="s">
        <v>6</v>
      </c>
      <c r="B209" s="2" t="s">
        <v>8</v>
      </c>
      <c r="C209" s="6">
        <v>41094</v>
      </c>
      <c r="D209" s="7">
        <v>0.60416666666666663</v>
      </c>
      <c r="E209" s="8">
        <v>1127</v>
      </c>
      <c r="F209" s="8">
        <v>6720</v>
      </c>
      <c r="G209" s="8">
        <v>6560</v>
      </c>
      <c r="H209" s="8">
        <v>160</v>
      </c>
      <c r="I209" s="8">
        <v>0</v>
      </c>
    </row>
    <row r="210" spans="1:9" x14ac:dyDescent="0.25">
      <c r="A210" s="2" t="s">
        <v>6</v>
      </c>
      <c r="B210" s="2" t="s">
        <v>8</v>
      </c>
      <c r="C210" s="6">
        <v>41094</v>
      </c>
      <c r="D210" s="7">
        <v>0.625</v>
      </c>
      <c r="E210" s="8">
        <v>1111</v>
      </c>
      <c r="F210" s="8">
        <v>6523</v>
      </c>
      <c r="G210" s="8">
        <v>6326</v>
      </c>
      <c r="H210" s="8">
        <v>195</v>
      </c>
      <c r="I210" s="8">
        <v>2</v>
      </c>
    </row>
    <row r="211" spans="1:9" x14ac:dyDescent="0.25">
      <c r="A211" s="2" t="s">
        <v>6</v>
      </c>
      <c r="B211" s="2" t="s">
        <v>8</v>
      </c>
      <c r="C211" s="6">
        <v>41094</v>
      </c>
      <c r="D211" s="7">
        <v>0.64583333333333337</v>
      </c>
      <c r="E211" s="8">
        <v>1107</v>
      </c>
      <c r="F211" s="8">
        <v>6462</v>
      </c>
      <c r="G211" s="8">
        <v>6251</v>
      </c>
      <c r="H211" s="8">
        <v>211</v>
      </c>
      <c r="I211" s="8">
        <v>0</v>
      </c>
    </row>
    <row r="212" spans="1:9" x14ac:dyDescent="0.25">
      <c r="A212" s="2" t="s">
        <v>6</v>
      </c>
      <c r="B212" s="2" t="s">
        <v>8</v>
      </c>
      <c r="C212" s="6">
        <v>41094</v>
      </c>
      <c r="D212" s="7">
        <v>0.66666666666666663</v>
      </c>
      <c r="E212" s="8">
        <v>1121</v>
      </c>
      <c r="F212" s="8">
        <v>6647</v>
      </c>
      <c r="G212" s="8">
        <v>6447</v>
      </c>
      <c r="H212" s="8">
        <v>200</v>
      </c>
      <c r="I212" s="8">
        <v>0</v>
      </c>
    </row>
    <row r="213" spans="1:9" x14ac:dyDescent="0.25">
      <c r="A213" s="2" t="s">
        <v>6</v>
      </c>
      <c r="B213" s="2" t="s">
        <v>8</v>
      </c>
      <c r="C213" s="6">
        <v>41094</v>
      </c>
      <c r="D213" s="7">
        <v>0.6875</v>
      </c>
      <c r="E213" s="8">
        <v>1126</v>
      </c>
      <c r="F213" s="8">
        <v>6532</v>
      </c>
      <c r="G213" s="8">
        <v>6188</v>
      </c>
      <c r="H213" s="8">
        <v>344</v>
      </c>
      <c r="I213" s="8">
        <v>0</v>
      </c>
    </row>
    <row r="214" spans="1:9" x14ac:dyDescent="0.25">
      <c r="A214" s="2" t="s">
        <v>6</v>
      </c>
      <c r="B214" s="2" t="s">
        <v>8</v>
      </c>
      <c r="C214" s="6">
        <v>41094</v>
      </c>
      <c r="D214" s="7">
        <v>0.70833333333333337</v>
      </c>
      <c r="E214" s="8">
        <v>1169</v>
      </c>
      <c r="F214" s="8">
        <v>5904</v>
      </c>
      <c r="G214" s="8">
        <v>5528</v>
      </c>
      <c r="H214" s="8">
        <v>376</v>
      </c>
      <c r="I214" s="8">
        <v>0</v>
      </c>
    </row>
    <row r="215" spans="1:9" x14ac:dyDescent="0.25">
      <c r="A215" s="2" t="s">
        <v>6</v>
      </c>
      <c r="B215" s="2" t="s">
        <v>8</v>
      </c>
      <c r="C215" s="6">
        <v>41094</v>
      </c>
      <c r="D215" s="7">
        <v>0.72916666666666663</v>
      </c>
      <c r="E215" s="8">
        <v>1076</v>
      </c>
      <c r="F215" s="8">
        <v>4942</v>
      </c>
      <c r="G215" s="8">
        <v>4579</v>
      </c>
      <c r="H215" s="8">
        <v>363</v>
      </c>
      <c r="I215" s="8">
        <v>0</v>
      </c>
    </row>
    <row r="216" spans="1:9" x14ac:dyDescent="0.25">
      <c r="A216" s="2" t="s">
        <v>6</v>
      </c>
      <c r="B216" s="2" t="s">
        <v>8</v>
      </c>
      <c r="C216" s="6">
        <v>41094</v>
      </c>
      <c r="D216" s="7">
        <v>0.75</v>
      </c>
      <c r="E216" s="8">
        <v>997</v>
      </c>
      <c r="F216" s="8">
        <v>3694</v>
      </c>
      <c r="G216" s="8">
        <v>3480</v>
      </c>
      <c r="H216" s="8">
        <v>214</v>
      </c>
      <c r="I216" s="8">
        <v>0</v>
      </c>
    </row>
    <row r="217" spans="1:9" x14ac:dyDescent="0.25">
      <c r="A217" s="2" t="s">
        <v>6</v>
      </c>
      <c r="B217" s="2" t="s">
        <v>8</v>
      </c>
      <c r="C217" s="6">
        <v>41094</v>
      </c>
      <c r="D217" s="7">
        <v>0.77083333333333337</v>
      </c>
      <c r="E217" s="8">
        <v>868</v>
      </c>
      <c r="F217" s="8">
        <v>3081</v>
      </c>
      <c r="G217" s="8">
        <v>2938</v>
      </c>
      <c r="H217" s="8">
        <v>143</v>
      </c>
      <c r="I217" s="8">
        <v>0</v>
      </c>
    </row>
    <row r="218" spans="1:9" x14ac:dyDescent="0.25">
      <c r="A218" s="2" t="s">
        <v>6</v>
      </c>
      <c r="B218" s="2" t="s">
        <v>8</v>
      </c>
      <c r="C218" s="6">
        <v>41094</v>
      </c>
      <c r="D218" s="7">
        <v>0.79166666666666663</v>
      </c>
      <c r="E218" s="8">
        <v>812</v>
      </c>
      <c r="F218" s="8">
        <v>2507</v>
      </c>
      <c r="G218" s="8">
        <v>2465</v>
      </c>
      <c r="H218" s="8">
        <v>42</v>
      </c>
      <c r="I218" s="8">
        <v>0</v>
      </c>
    </row>
    <row r="219" spans="1:9" x14ac:dyDescent="0.25">
      <c r="A219" s="2" t="s">
        <v>6</v>
      </c>
      <c r="B219" s="2" t="s">
        <v>8</v>
      </c>
      <c r="C219" s="6">
        <v>41094</v>
      </c>
      <c r="D219" s="7">
        <v>0.8125</v>
      </c>
      <c r="E219" s="8">
        <v>771</v>
      </c>
      <c r="F219" s="8">
        <v>2270</v>
      </c>
      <c r="G219" s="8">
        <v>2242</v>
      </c>
      <c r="H219" s="8">
        <v>28</v>
      </c>
      <c r="I219" s="8">
        <v>0</v>
      </c>
    </row>
    <row r="220" spans="1:9" x14ac:dyDescent="0.25">
      <c r="A220" s="2" t="s">
        <v>6</v>
      </c>
      <c r="B220" s="2" t="s">
        <v>8</v>
      </c>
      <c r="C220" s="6">
        <v>41095</v>
      </c>
      <c r="D220" s="7">
        <v>0.33333333333333331</v>
      </c>
      <c r="E220" s="8">
        <v>898</v>
      </c>
      <c r="F220" s="8">
        <v>2572</v>
      </c>
      <c r="G220" s="8">
        <v>2541</v>
      </c>
      <c r="H220" s="8">
        <v>31</v>
      </c>
      <c r="I220" s="8">
        <v>0</v>
      </c>
    </row>
    <row r="221" spans="1:9" x14ac:dyDescent="0.25">
      <c r="A221" s="2" t="s">
        <v>6</v>
      </c>
      <c r="B221" s="2" t="s">
        <v>8</v>
      </c>
      <c r="C221" s="6">
        <v>41095</v>
      </c>
      <c r="D221" s="7">
        <v>0.35416666666666669</v>
      </c>
      <c r="E221" s="8">
        <v>978</v>
      </c>
      <c r="F221" s="8">
        <v>3836</v>
      </c>
      <c r="G221" s="8">
        <v>3744</v>
      </c>
      <c r="H221" s="8">
        <v>92</v>
      </c>
      <c r="I221" s="8">
        <v>0</v>
      </c>
    </row>
    <row r="222" spans="1:9" x14ac:dyDescent="0.25">
      <c r="A222" s="2" t="s">
        <v>6</v>
      </c>
      <c r="B222" s="2" t="s">
        <v>8</v>
      </c>
      <c r="C222" s="6">
        <v>41095</v>
      </c>
      <c r="D222" s="7">
        <v>0.375</v>
      </c>
      <c r="E222" s="8">
        <v>1055</v>
      </c>
      <c r="F222" s="8">
        <v>5769</v>
      </c>
      <c r="G222" s="8">
        <v>5616</v>
      </c>
      <c r="H222" s="8">
        <v>153</v>
      </c>
      <c r="I222" s="8">
        <v>0</v>
      </c>
    </row>
    <row r="223" spans="1:9" x14ac:dyDescent="0.25">
      <c r="A223" s="2" t="s">
        <v>6</v>
      </c>
      <c r="B223" s="2" t="s">
        <v>8</v>
      </c>
      <c r="C223" s="6">
        <v>41095</v>
      </c>
      <c r="D223" s="7">
        <v>0.39583333333333331</v>
      </c>
      <c r="E223" s="8">
        <v>1117</v>
      </c>
      <c r="F223" s="8">
        <v>6705</v>
      </c>
      <c r="G223" s="8">
        <v>6506</v>
      </c>
      <c r="H223" s="8">
        <v>197</v>
      </c>
      <c r="I223" s="8">
        <v>2</v>
      </c>
    </row>
    <row r="224" spans="1:9" x14ac:dyDescent="0.25">
      <c r="A224" s="2" t="s">
        <v>6</v>
      </c>
      <c r="B224" s="2" t="s">
        <v>8</v>
      </c>
      <c r="C224" s="6">
        <v>41095</v>
      </c>
      <c r="D224" s="7">
        <v>0.41666666666666669</v>
      </c>
      <c r="E224" s="8">
        <v>1138</v>
      </c>
      <c r="F224" s="8">
        <v>7717</v>
      </c>
      <c r="G224" s="8">
        <v>7516</v>
      </c>
      <c r="H224" s="8">
        <v>201</v>
      </c>
      <c r="I224" s="8">
        <v>0</v>
      </c>
    </row>
    <row r="225" spans="1:9" x14ac:dyDescent="0.25">
      <c r="A225" s="2" t="s">
        <v>6</v>
      </c>
      <c r="B225" s="2" t="s">
        <v>8</v>
      </c>
      <c r="C225" s="6">
        <v>41095</v>
      </c>
      <c r="D225" s="7">
        <v>0.4375</v>
      </c>
      <c r="E225" s="8">
        <v>1143</v>
      </c>
      <c r="F225" s="8">
        <v>7642</v>
      </c>
      <c r="G225" s="8">
        <v>7474</v>
      </c>
      <c r="H225" s="8">
        <v>167</v>
      </c>
      <c r="I225" s="8">
        <v>1</v>
      </c>
    </row>
    <row r="226" spans="1:9" x14ac:dyDescent="0.25">
      <c r="A226" s="2" t="s">
        <v>6</v>
      </c>
      <c r="B226" s="2" t="s">
        <v>8</v>
      </c>
      <c r="C226" s="6">
        <v>41095</v>
      </c>
      <c r="D226" s="7">
        <v>0.45833333333333331</v>
      </c>
      <c r="E226" s="8">
        <v>1174</v>
      </c>
      <c r="F226" s="8">
        <v>7341</v>
      </c>
      <c r="G226" s="8">
        <v>7173</v>
      </c>
      <c r="H226" s="8">
        <v>167</v>
      </c>
      <c r="I226" s="8">
        <v>1</v>
      </c>
    </row>
    <row r="227" spans="1:9" x14ac:dyDescent="0.25">
      <c r="A227" s="2" t="s">
        <v>6</v>
      </c>
      <c r="B227" s="2" t="s">
        <v>8</v>
      </c>
      <c r="C227" s="6">
        <v>41095</v>
      </c>
      <c r="D227" s="7">
        <v>0.47916666666666669</v>
      </c>
      <c r="E227" s="8">
        <v>1191</v>
      </c>
      <c r="F227" s="8">
        <v>7309</v>
      </c>
      <c r="G227" s="8">
        <v>7174</v>
      </c>
      <c r="H227" s="8">
        <v>135</v>
      </c>
      <c r="I227" s="8">
        <v>0</v>
      </c>
    </row>
    <row r="228" spans="1:9" x14ac:dyDescent="0.25">
      <c r="A228" s="2" t="s">
        <v>6</v>
      </c>
      <c r="B228" s="2" t="s">
        <v>8</v>
      </c>
      <c r="C228" s="6">
        <v>41095</v>
      </c>
      <c r="D228" s="7">
        <v>0.5</v>
      </c>
      <c r="E228" s="8">
        <v>1194</v>
      </c>
      <c r="F228" s="8">
        <v>6495</v>
      </c>
      <c r="G228" s="8">
        <v>6380</v>
      </c>
      <c r="H228" s="8">
        <v>115</v>
      </c>
      <c r="I228" s="8">
        <v>0</v>
      </c>
    </row>
    <row r="229" spans="1:9" x14ac:dyDescent="0.25">
      <c r="A229" s="2" t="s">
        <v>6</v>
      </c>
      <c r="B229" s="2" t="s">
        <v>8</v>
      </c>
      <c r="C229" s="6">
        <v>41095</v>
      </c>
      <c r="D229" s="7">
        <v>0.52083333333333337</v>
      </c>
      <c r="E229" s="8">
        <v>1148</v>
      </c>
      <c r="F229" s="8">
        <v>5899</v>
      </c>
      <c r="G229" s="8">
        <v>5825</v>
      </c>
      <c r="H229" s="8">
        <v>74</v>
      </c>
      <c r="I229" s="8">
        <v>0</v>
      </c>
    </row>
    <row r="230" spans="1:9" x14ac:dyDescent="0.25">
      <c r="A230" s="2" t="s">
        <v>6</v>
      </c>
      <c r="B230" s="2" t="s">
        <v>8</v>
      </c>
      <c r="C230" s="6">
        <v>41095</v>
      </c>
      <c r="D230" s="7">
        <v>0.54166666666666663</v>
      </c>
      <c r="E230" s="8">
        <v>1152</v>
      </c>
      <c r="F230" s="8">
        <v>5576</v>
      </c>
      <c r="G230" s="8">
        <v>5494</v>
      </c>
      <c r="H230" s="8">
        <v>82</v>
      </c>
      <c r="I230" s="8">
        <v>0</v>
      </c>
    </row>
    <row r="231" spans="1:9" x14ac:dyDescent="0.25">
      <c r="A231" s="2" t="s">
        <v>6</v>
      </c>
      <c r="B231" s="2" t="s">
        <v>8</v>
      </c>
      <c r="C231" s="6">
        <v>41095</v>
      </c>
      <c r="D231" s="7">
        <v>0.5625</v>
      </c>
      <c r="E231" s="8">
        <v>1171</v>
      </c>
      <c r="F231" s="8">
        <v>5874</v>
      </c>
      <c r="G231" s="8">
        <v>5782</v>
      </c>
      <c r="H231" s="8">
        <v>89</v>
      </c>
      <c r="I231" s="8">
        <v>3</v>
      </c>
    </row>
    <row r="232" spans="1:9" x14ac:dyDescent="0.25">
      <c r="A232" s="2" t="s">
        <v>6</v>
      </c>
      <c r="B232" s="2" t="s">
        <v>8</v>
      </c>
      <c r="C232" s="6">
        <v>41095</v>
      </c>
      <c r="D232" s="7">
        <v>0.58333333333333337</v>
      </c>
      <c r="E232" s="8">
        <v>1145</v>
      </c>
      <c r="F232" s="8">
        <v>6394</v>
      </c>
      <c r="G232" s="8">
        <v>6250</v>
      </c>
      <c r="H232" s="8">
        <v>144</v>
      </c>
      <c r="I232" s="8">
        <v>0</v>
      </c>
    </row>
    <row r="233" spans="1:9" x14ac:dyDescent="0.25">
      <c r="A233" s="2" t="s">
        <v>6</v>
      </c>
      <c r="B233" s="2" t="s">
        <v>8</v>
      </c>
      <c r="C233" s="6">
        <v>41095</v>
      </c>
      <c r="D233" s="7">
        <v>0.60416666666666663</v>
      </c>
      <c r="E233" s="8">
        <v>1159</v>
      </c>
      <c r="F233" s="8">
        <v>6362</v>
      </c>
      <c r="G233" s="8">
        <v>6187</v>
      </c>
      <c r="H233" s="8">
        <v>175</v>
      </c>
      <c r="I233" s="8">
        <v>0</v>
      </c>
    </row>
    <row r="234" spans="1:9" x14ac:dyDescent="0.25">
      <c r="A234" s="2" t="s">
        <v>6</v>
      </c>
      <c r="B234" s="2" t="s">
        <v>8</v>
      </c>
      <c r="C234" s="6">
        <v>41095</v>
      </c>
      <c r="D234" s="7">
        <v>0.625</v>
      </c>
      <c r="E234" s="8">
        <v>1119</v>
      </c>
      <c r="F234" s="8">
        <v>6219</v>
      </c>
      <c r="G234" s="8">
        <v>6055</v>
      </c>
      <c r="H234" s="8">
        <v>163</v>
      </c>
      <c r="I234" s="8">
        <v>1</v>
      </c>
    </row>
    <row r="235" spans="1:9" x14ac:dyDescent="0.25">
      <c r="A235" s="2" t="s">
        <v>6</v>
      </c>
      <c r="B235" s="2" t="s">
        <v>8</v>
      </c>
      <c r="C235" s="6">
        <v>41095</v>
      </c>
      <c r="D235" s="7">
        <v>0.64583333333333337</v>
      </c>
      <c r="E235" s="8">
        <v>1112</v>
      </c>
      <c r="F235" s="8">
        <v>6003</v>
      </c>
      <c r="G235" s="8">
        <v>5814</v>
      </c>
      <c r="H235" s="8">
        <v>189</v>
      </c>
      <c r="I235" s="8">
        <v>0</v>
      </c>
    </row>
    <row r="236" spans="1:9" x14ac:dyDescent="0.25">
      <c r="A236" s="2" t="s">
        <v>6</v>
      </c>
      <c r="B236" s="2" t="s">
        <v>8</v>
      </c>
      <c r="C236" s="6">
        <v>41095</v>
      </c>
      <c r="D236" s="7">
        <v>0.66666666666666663</v>
      </c>
      <c r="E236" s="8">
        <v>1092</v>
      </c>
      <c r="F236" s="8">
        <v>6079</v>
      </c>
      <c r="G236" s="8">
        <v>5896</v>
      </c>
      <c r="H236" s="8">
        <v>183</v>
      </c>
      <c r="I236" s="8">
        <v>0</v>
      </c>
    </row>
    <row r="237" spans="1:9" x14ac:dyDescent="0.25">
      <c r="A237" s="2" t="s">
        <v>6</v>
      </c>
      <c r="B237" s="2" t="s">
        <v>8</v>
      </c>
      <c r="C237" s="6">
        <v>41095</v>
      </c>
      <c r="D237" s="7">
        <v>0.6875</v>
      </c>
      <c r="E237" s="8">
        <v>1159</v>
      </c>
      <c r="F237" s="8">
        <v>6041</v>
      </c>
      <c r="G237" s="8">
        <v>5810</v>
      </c>
      <c r="H237" s="8">
        <v>228</v>
      </c>
      <c r="I237" s="8">
        <v>3</v>
      </c>
    </row>
    <row r="238" spans="1:9" x14ac:dyDescent="0.25">
      <c r="A238" s="2" t="s">
        <v>6</v>
      </c>
      <c r="B238" s="2" t="s">
        <v>8</v>
      </c>
      <c r="C238" s="6">
        <v>41095</v>
      </c>
      <c r="D238" s="7">
        <v>0.70833333333333337</v>
      </c>
      <c r="E238" s="8">
        <v>1120</v>
      </c>
      <c r="F238" s="8">
        <v>5722</v>
      </c>
      <c r="G238" s="8">
        <v>5350</v>
      </c>
      <c r="H238" s="8">
        <v>372</v>
      </c>
      <c r="I238" s="8">
        <v>0</v>
      </c>
    </row>
    <row r="239" spans="1:9" x14ac:dyDescent="0.25">
      <c r="A239" s="2" t="s">
        <v>6</v>
      </c>
      <c r="B239" s="2" t="s">
        <v>8</v>
      </c>
      <c r="C239" s="6">
        <v>41095</v>
      </c>
      <c r="D239" s="7">
        <v>0.72916666666666663</v>
      </c>
      <c r="E239" s="8">
        <v>1091</v>
      </c>
      <c r="F239" s="8">
        <v>4657</v>
      </c>
      <c r="G239" s="8">
        <v>4300</v>
      </c>
      <c r="H239" s="8">
        <v>357</v>
      </c>
      <c r="I239" s="8">
        <v>0</v>
      </c>
    </row>
    <row r="240" spans="1:9" x14ac:dyDescent="0.25">
      <c r="A240" s="2" t="s">
        <v>6</v>
      </c>
      <c r="B240" s="2" t="s">
        <v>8</v>
      </c>
      <c r="C240" s="6">
        <v>41095</v>
      </c>
      <c r="D240" s="7">
        <v>0.75</v>
      </c>
      <c r="E240" s="8">
        <v>1004</v>
      </c>
      <c r="F240" s="8">
        <v>3655</v>
      </c>
      <c r="G240" s="8">
        <v>3460</v>
      </c>
      <c r="H240" s="8">
        <v>195</v>
      </c>
      <c r="I240" s="8">
        <v>0</v>
      </c>
    </row>
    <row r="241" spans="1:9" x14ac:dyDescent="0.25">
      <c r="A241" s="2" t="s">
        <v>6</v>
      </c>
      <c r="B241" s="2" t="s">
        <v>8</v>
      </c>
      <c r="C241" s="6">
        <v>41095</v>
      </c>
      <c r="D241" s="7">
        <v>0.77083333333333337</v>
      </c>
      <c r="E241" s="8">
        <v>824</v>
      </c>
      <c r="F241" s="8">
        <v>2965</v>
      </c>
      <c r="G241" s="8">
        <v>2870</v>
      </c>
      <c r="H241" s="8">
        <v>92</v>
      </c>
      <c r="I241" s="8">
        <v>3</v>
      </c>
    </row>
    <row r="242" spans="1:9" x14ac:dyDescent="0.25">
      <c r="A242" s="2" t="s">
        <v>6</v>
      </c>
      <c r="B242" s="2" t="s">
        <v>8</v>
      </c>
      <c r="C242" s="6">
        <v>41095</v>
      </c>
      <c r="D242" s="7">
        <v>0.79166666666666663</v>
      </c>
      <c r="E242" s="8">
        <v>800</v>
      </c>
      <c r="F242" s="8">
        <v>2598</v>
      </c>
      <c r="G242" s="8">
        <v>2567</v>
      </c>
      <c r="H242" s="8">
        <v>29</v>
      </c>
      <c r="I242" s="8">
        <v>2</v>
      </c>
    </row>
    <row r="243" spans="1:9" x14ac:dyDescent="0.25">
      <c r="A243" s="2" t="s">
        <v>6</v>
      </c>
      <c r="B243" s="2" t="s">
        <v>8</v>
      </c>
      <c r="C243" s="6">
        <v>41095</v>
      </c>
      <c r="D243" s="7">
        <v>0.8125</v>
      </c>
      <c r="E243" s="8">
        <v>758</v>
      </c>
      <c r="F243" s="8">
        <v>2154</v>
      </c>
      <c r="G243" s="8">
        <v>2122</v>
      </c>
      <c r="H243" s="8">
        <v>30</v>
      </c>
      <c r="I243" s="8">
        <v>2</v>
      </c>
    </row>
    <row r="244" spans="1:9" x14ac:dyDescent="0.25">
      <c r="A244" s="2" t="s">
        <v>11</v>
      </c>
      <c r="B244" s="2" t="s">
        <v>12</v>
      </c>
      <c r="C244" s="6">
        <v>41091</v>
      </c>
      <c r="D244" s="7">
        <v>0.33333333333333331</v>
      </c>
      <c r="E244" s="8">
        <v>247</v>
      </c>
      <c r="F244" s="8">
        <v>217</v>
      </c>
      <c r="G244" s="8">
        <v>195</v>
      </c>
      <c r="H244" s="8">
        <v>21</v>
      </c>
      <c r="I244" s="8">
        <v>1</v>
      </c>
    </row>
    <row r="245" spans="1:9" x14ac:dyDescent="0.25">
      <c r="A245" s="2" t="s">
        <v>11</v>
      </c>
      <c r="B245" s="2" t="s">
        <v>12</v>
      </c>
      <c r="C245" s="6">
        <v>41091</v>
      </c>
      <c r="D245" s="7">
        <v>0.35416666666666669</v>
      </c>
      <c r="E245" s="8">
        <v>266</v>
      </c>
      <c r="F245" s="8">
        <v>266</v>
      </c>
      <c r="G245" s="8">
        <v>254</v>
      </c>
      <c r="H245" s="8">
        <v>10</v>
      </c>
      <c r="I245" s="8">
        <v>2</v>
      </c>
    </row>
    <row r="246" spans="1:9" x14ac:dyDescent="0.25">
      <c r="A246" s="2" t="s">
        <v>11</v>
      </c>
      <c r="B246" s="2" t="s">
        <v>12</v>
      </c>
      <c r="C246" s="6">
        <v>41091</v>
      </c>
      <c r="D246" s="7">
        <v>0.375</v>
      </c>
      <c r="E246" s="8">
        <v>244</v>
      </c>
      <c r="F246" s="8">
        <v>392</v>
      </c>
      <c r="G246" s="8">
        <v>379</v>
      </c>
      <c r="H246" s="8">
        <v>11</v>
      </c>
      <c r="I246" s="8">
        <v>2</v>
      </c>
    </row>
    <row r="247" spans="1:9" x14ac:dyDescent="0.25">
      <c r="A247" s="2" t="s">
        <v>11</v>
      </c>
      <c r="B247" s="2" t="s">
        <v>12</v>
      </c>
      <c r="C247" s="6">
        <v>41091</v>
      </c>
      <c r="D247" s="7">
        <v>0.39583333333333331</v>
      </c>
      <c r="E247" s="8">
        <v>247</v>
      </c>
      <c r="F247" s="8">
        <v>669</v>
      </c>
      <c r="G247" s="8">
        <v>624</v>
      </c>
      <c r="H247" s="8">
        <v>42</v>
      </c>
      <c r="I247" s="8">
        <v>3</v>
      </c>
    </row>
    <row r="248" spans="1:9" x14ac:dyDescent="0.25">
      <c r="A248" s="2" t="s">
        <v>11</v>
      </c>
      <c r="B248" s="2" t="s">
        <v>12</v>
      </c>
      <c r="C248" s="6">
        <v>41091</v>
      </c>
      <c r="D248" s="7">
        <v>0.41666666666666669</v>
      </c>
      <c r="E248" s="8">
        <v>258</v>
      </c>
      <c r="F248" s="8">
        <v>869</v>
      </c>
      <c r="G248" s="8">
        <v>795</v>
      </c>
      <c r="H248" s="8">
        <v>69</v>
      </c>
      <c r="I248" s="8">
        <v>5</v>
      </c>
    </row>
    <row r="249" spans="1:9" x14ac:dyDescent="0.25">
      <c r="A249" s="2" t="s">
        <v>11</v>
      </c>
      <c r="B249" s="2" t="s">
        <v>12</v>
      </c>
      <c r="C249" s="6">
        <v>41091</v>
      </c>
      <c r="D249" s="7">
        <v>0.4375</v>
      </c>
      <c r="E249" s="8">
        <v>263</v>
      </c>
      <c r="F249" s="8">
        <v>992</v>
      </c>
      <c r="G249" s="8">
        <v>865</v>
      </c>
      <c r="H249" s="8">
        <v>127</v>
      </c>
      <c r="I249" s="8">
        <v>0</v>
      </c>
    </row>
    <row r="250" spans="1:9" x14ac:dyDescent="0.25">
      <c r="A250" s="2" t="s">
        <v>11</v>
      </c>
      <c r="B250" s="2" t="s">
        <v>12</v>
      </c>
      <c r="C250" s="6">
        <v>41091</v>
      </c>
      <c r="D250" s="7">
        <v>0.45833333333333331</v>
      </c>
      <c r="E250" s="8">
        <v>266</v>
      </c>
      <c r="F250" s="8">
        <v>1074</v>
      </c>
      <c r="G250" s="8">
        <v>971</v>
      </c>
      <c r="H250" s="8">
        <v>99</v>
      </c>
      <c r="I250" s="8">
        <v>4</v>
      </c>
    </row>
    <row r="251" spans="1:9" x14ac:dyDescent="0.25">
      <c r="A251" s="2" t="s">
        <v>11</v>
      </c>
      <c r="B251" s="2" t="s">
        <v>12</v>
      </c>
      <c r="C251" s="6">
        <v>41091</v>
      </c>
      <c r="D251" s="7">
        <v>0.47916666666666669</v>
      </c>
      <c r="E251" s="8">
        <v>264</v>
      </c>
      <c r="F251" s="8">
        <v>1109</v>
      </c>
      <c r="G251" s="8">
        <v>973</v>
      </c>
      <c r="H251" s="8">
        <v>135</v>
      </c>
      <c r="I251" s="8">
        <v>1</v>
      </c>
    </row>
    <row r="252" spans="1:9" x14ac:dyDescent="0.25">
      <c r="A252" s="2" t="s">
        <v>11</v>
      </c>
      <c r="B252" s="2" t="s">
        <v>12</v>
      </c>
      <c r="C252" s="6">
        <v>41091</v>
      </c>
      <c r="D252" s="7">
        <v>0.5</v>
      </c>
      <c r="E252" s="8">
        <v>278</v>
      </c>
      <c r="F252" s="8">
        <v>1033</v>
      </c>
      <c r="G252" s="8">
        <v>905</v>
      </c>
      <c r="H252" s="8">
        <v>128</v>
      </c>
      <c r="I252" s="8">
        <v>0</v>
      </c>
    </row>
    <row r="253" spans="1:9" x14ac:dyDescent="0.25">
      <c r="A253" s="2" t="s">
        <v>11</v>
      </c>
      <c r="B253" s="2" t="s">
        <v>12</v>
      </c>
      <c r="C253" s="6">
        <v>41091</v>
      </c>
      <c r="D253" s="7">
        <v>0.52083333333333337</v>
      </c>
      <c r="E253" s="8">
        <v>256</v>
      </c>
      <c r="F253" s="8">
        <v>935</v>
      </c>
      <c r="G253" s="8">
        <v>796</v>
      </c>
      <c r="H253" s="8">
        <v>138</v>
      </c>
      <c r="I253" s="8">
        <v>1</v>
      </c>
    </row>
    <row r="254" spans="1:9" x14ac:dyDescent="0.25">
      <c r="A254" s="2" t="s">
        <v>11</v>
      </c>
      <c r="B254" s="2" t="s">
        <v>12</v>
      </c>
      <c r="C254" s="6">
        <v>41091</v>
      </c>
      <c r="D254" s="7">
        <v>0.54166666666666663</v>
      </c>
      <c r="E254" s="8">
        <v>253</v>
      </c>
      <c r="F254" s="8">
        <v>983</v>
      </c>
      <c r="G254" s="8">
        <v>854</v>
      </c>
      <c r="H254" s="8">
        <v>126</v>
      </c>
      <c r="I254" s="8">
        <v>3</v>
      </c>
    </row>
    <row r="255" spans="1:9" x14ac:dyDescent="0.25">
      <c r="A255" s="2" t="s">
        <v>11</v>
      </c>
      <c r="B255" s="2" t="s">
        <v>12</v>
      </c>
      <c r="C255" s="6">
        <v>41091</v>
      </c>
      <c r="D255" s="7">
        <v>0.5625</v>
      </c>
      <c r="E255" s="8">
        <v>269</v>
      </c>
      <c r="F255" s="8">
        <v>1035</v>
      </c>
      <c r="G255" s="8">
        <v>879</v>
      </c>
      <c r="H255" s="8">
        <v>152</v>
      </c>
      <c r="I255" s="8">
        <v>4</v>
      </c>
    </row>
    <row r="256" spans="1:9" x14ac:dyDescent="0.25">
      <c r="A256" s="2" t="s">
        <v>11</v>
      </c>
      <c r="B256" s="2" t="s">
        <v>12</v>
      </c>
      <c r="C256" s="6">
        <v>41091</v>
      </c>
      <c r="D256" s="7">
        <v>0.58333333333333337</v>
      </c>
      <c r="E256" s="8">
        <v>271</v>
      </c>
      <c r="F256" s="8">
        <v>962</v>
      </c>
      <c r="G256" s="8">
        <v>800</v>
      </c>
      <c r="H256" s="8">
        <v>157</v>
      </c>
      <c r="I256" s="8">
        <v>5</v>
      </c>
    </row>
    <row r="257" spans="1:9" x14ac:dyDescent="0.25">
      <c r="A257" s="2" t="s">
        <v>11</v>
      </c>
      <c r="B257" s="2" t="s">
        <v>12</v>
      </c>
      <c r="C257" s="6">
        <v>41091</v>
      </c>
      <c r="D257" s="7">
        <v>0.60416666666666663</v>
      </c>
      <c r="E257" s="8">
        <v>316</v>
      </c>
      <c r="F257" s="8">
        <v>905</v>
      </c>
      <c r="G257" s="8">
        <v>718</v>
      </c>
      <c r="H257" s="8">
        <v>177</v>
      </c>
      <c r="I257" s="8">
        <v>10</v>
      </c>
    </row>
    <row r="258" spans="1:9" x14ac:dyDescent="0.25">
      <c r="A258" s="2" t="s">
        <v>11</v>
      </c>
      <c r="B258" s="2" t="s">
        <v>12</v>
      </c>
      <c r="C258" s="6">
        <v>41091</v>
      </c>
      <c r="D258" s="7">
        <v>0.625</v>
      </c>
      <c r="E258" s="8">
        <v>303</v>
      </c>
      <c r="F258" s="8">
        <v>959</v>
      </c>
      <c r="G258" s="8">
        <v>809</v>
      </c>
      <c r="H258" s="8">
        <v>146</v>
      </c>
      <c r="I258" s="8">
        <v>4</v>
      </c>
    </row>
    <row r="259" spans="1:9" x14ac:dyDescent="0.25">
      <c r="A259" s="2" t="s">
        <v>11</v>
      </c>
      <c r="B259" s="2" t="s">
        <v>12</v>
      </c>
      <c r="C259" s="6">
        <v>41091</v>
      </c>
      <c r="D259" s="7">
        <v>0.64583333333333337</v>
      </c>
      <c r="E259" s="8">
        <v>224</v>
      </c>
      <c r="F259" s="8">
        <v>917</v>
      </c>
      <c r="G259" s="8">
        <v>796</v>
      </c>
      <c r="H259" s="8">
        <v>118</v>
      </c>
      <c r="I259" s="8">
        <v>3</v>
      </c>
    </row>
    <row r="260" spans="1:9" x14ac:dyDescent="0.25">
      <c r="A260" s="2" t="s">
        <v>11</v>
      </c>
      <c r="B260" s="2" t="s">
        <v>12</v>
      </c>
      <c r="C260" s="6">
        <v>41091</v>
      </c>
      <c r="D260" s="7">
        <v>0.66666666666666663</v>
      </c>
      <c r="E260" s="8">
        <v>208</v>
      </c>
      <c r="F260" s="8">
        <v>880</v>
      </c>
      <c r="G260" s="8">
        <v>773</v>
      </c>
      <c r="H260" s="8">
        <v>106</v>
      </c>
      <c r="I260" s="8">
        <v>1</v>
      </c>
    </row>
    <row r="261" spans="1:9" x14ac:dyDescent="0.25">
      <c r="A261" s="2" t="s">
        <v>11</v>
      </c>
      <c r="B261" s="2" t="s">
        <v>12</v>
      </c>
      <c r="C261" s="6">
        <v>41091</v>
      </c>
      <c r="D261" s="7">
        <v>0.6875</v>
      </c>
      <c r="E261" s="8">
        <v>194</v>
      </c>
      <c r="F261" s="8">
        <v>957</v>
      </c>
      <c r="G261" s="8">
        <v>842</v>
      </c>
      <c r="H261" s="8">
        <v>115</v>
      </c>
      <c r="I261" s="8">
        <v>0</v>
      </c>
    </row>
    <row r="262" spans="1:9" x14ac:dyDescent="0.25">
      <c r="A262" s="2" t="s">
        <v>11</v>
      </c>
      <c r="B262" s="2" t="s">
        <v>12</v>
      </c>
      <c r="C262" s="6">
        <v>41091</v>
      </c>
      <c r="D262" s="7">
        <v>0.70833333333333337</v>
      </c>
      <c r="E262" s="8">
        <v>197</v>
      </c>
      <c r="F262" s="8">
        <v>862</v>
      </c>
      <c r="G262" s="8">
        <v>776</v>
      </c>
      <c r="H262" s="8">
        <v>84</v>
      </c>
      <c r="I262" s="8">
        <v>2</v>
      </c>
    </row>
    <row r="263" spans="1:9" x14ac:dyDescent="0.25">
      <c r="A263" s="2" t="s">
        <v>11</v>
      </c>
      <c r="B263" s="2" t="s">
        <v>12</v>
      </c>
      <c r="C263" s="6">
        <v>41091</v>
      </c>
      <c r="D263" s="7">
        <v>0.72916666666666663</v>
      </c>
      <c r="E263" s="8">
        <v>199</v>
      </c>
      <c r="F263" s="8">
        <v>835</v>
      </c>
      <c r="G263" s="8">
        <v>779</v>
      </c>
      <c r="H263" s="8">
        <v>56</v>
      </c>
      <c r="I263" s="8">
        <v>0</v>
      </c>
    </row>
    <row r="264" spans="1:9" x14ac:dyDescent="0.25">
      <c r="A264" s="2" t="s">
        <v>11</v>
      </c>
      <c r="B264" s="2" t="s">
        <v>12</v>
      </c>
      <c r="C264" s="6">
        <v>41091</v>
      </c>
      <c r="D264" s="7">
        <v>0.75</v>
      </c>
      <c r="E264" s="8">
        <v>205</v>
      </c>
      <c r="F264" s="8">
        <v>1034</v>
      </c>
      <c r="G264" s="8">
        <v>922</v>
      </c>
      <c r="H264" s="8">
        <v>108</v>
      </c>
      <c r="I264" s="8">
        <v>4</v>
      </c>
    </row>
    <row r="265" spans="1:9" x14ac:dyDescent="0.25">
      <c r="A265" s="2" t="s">
        <v>11</v>
      </c>
      <c r="B265" s="2" t="s">
        <v>12</v>
      </c>
      <c r="C265" s="6">
        <v>41091</v>
      </c>
      <c r="D265" s="7">
        <v>0.77083333333333337</v>
      </c>
      <c r="E265" s="8">
        <v>192</v>
      </c>
      <c r="F265" s="8">
        <v>1002</v>
      </c>
      <c r="G265" s="8">
        <v>914</v>
      </c>
      <c r="H265" s="8">
        <v>85</v>
      </c>
      <c r="I265" s="8">
        <v>3</v>
      </c>
    </row>
    <row r="266" spans="1:9" x14ac:dyDescent="0.25">
      <c r="A266" s="2" t="s">
        <v>11</v>
      </c>
      <c r="B266" s="2" t="s">
        <v>12</v>
      </c>
      <c r="C266" s="6">
        <v>41091</v>
      </c>
      <c r="D266" s="7">
        <v>0.79166666666666663</v>
      </c>
      <c r="E266" s="8">
        <v>190</v>
      </c>
      <c r="F266" s="8">
        <v>927</v>
      </c>
      <c r="G266" s="8">
        <v>809</v>
      </c>
      <c r="H266" s="8">
        <v>116</v>
      </c>
      <c r="I266" s="8">
        <v>2</v>
      </c>
    </row>
    <row r="267" spans="1:9" x14ac:dyDescent="0.25">
      <c r="A267" s="2" t="s">
        <v>11</v>
      </c>
      <c r="B267" s="2" t="s">
        <v>12</v>
      </c>
      <c r="C267" s="6">
        <v>41091</v>
      </c>
      <c r="D267" s="7">
        <v>0.8125</v>
      </c>
      <c r="E267" s="8">
        <v>190</v>
      </c>
      <c r="F267" s="8">
        <v>924</v>
      </c>
      <c r="G267" s="8">
        <v>814</v>
      </c>
      <c r="H267" s="8">
        <v>108</v>
      </c>
      <c r="I267" s="8">
        <v>2</v>
      </c>
    </row>
    <row r="268" spans="1:9" x14ac:dyDescent="0.25">
      <c r="A268" s="2" t="s">
        <v>11</v>
      </c>
      <c r="B268" s="2" t="s">
        <v>12</v>
      </c>
      <c r="C268" s="6">
        <v>41092</v>
      </c>
      <c r="D268" s="7">
        <v>0.33333333333333331</v>
      </c>
      <c r="E268" s="8">
        <v>439</v>
      </c>
      <c r="F268" s="8">
        <v>1149</v>
      </c>
      <c r="G268" s="8">
        <v>954</v>
      </c>
      <c r="H268" s="8">
        <v>192</v>
      </c>
      <c r="I268" s="8">
        <v>3</v>
      </c>
    </row>
    <row r="269" spans="1:9" x14ac:dyDescent="0.25">
      <c r="A269" s="2" t="s">
        <v>11</v>
      </c>
      <c r="B269" s="2" t="s">
        <v>12</v>
      </c>
      <c r="C269" s="6">
        <v>41092</v>
      </c>
      <c r="D269" s="7">
        <v>0.35416666666666669</v>
      </c>
      <c r="E269" s="8">
        <v>476</v>
      </c>
      <c r="F269" s="8">
        <v>1773</v>
      </c>
      <c r="G269" s="8">
        <v>1681</v>
      </c>
      <c r="H269" s="8">
        <v>83</v>
      </c>
      <c r="I269" s="8">
        <v>9</v>
      </c>
    </row>
    <row r="270" spans="1:9" x14ac:dyDescent="0.25">
      <c r="A270" s="2" t="s">
        <v>11</v>
      </c>
      <c r="B270" s="2" t="s">
        <v>12</v>
      </c>
      <c r="C270" s="6">
        <v>41092</v>
      </c>
      <c r="D270" s="7">
        <v>0.375</v>
      </c>
      <c r="E270" s="8">
        <v>634</v>
      </c>
      <c r="F270" s="8">
        <v>3462</v>
      </c>
      <c r="G270" s="8">
        <v>3133</v>
      </c>
      <c r="H270" s="8">
        <v>305</v>
      </c>
      <c r="I270" s="8">
        <v>24</v>
      </c>
    </row>
    <row r="271" spans="1:9" x14ac:dyDescent="0.25">
      <c r="A271" s="2" t="s">
        <v>11</v>
      </c>
      <c r="B271" s="2" t="s">
        <v>12</v>
      </c>
      <c r="C271" s="6">
        <v>41092</v>
      </c>
      <c r="D271" s="7">
        <v>0.39583333333333331</v>
      </c>
      <c r="E271" s="8">
        <v>661</v>
      </c>
      <c r="F271" s="8">
        <v>4041</v>
      </c>
      <c r="G271" s="8">
        <v>3604</v>
      </c>
      <c r="H271" s="8">
        <v>413</v>
      </c>
      <c r="I271" s="8">
        <v>24</v>
      </c>
    </row>
    <row r="272" spans="1:9" x14ac:dyDescent="0.25">
      <c r="A272" s="2" t="s">
        <v>11</v>
      </c>
      <c r="B272" s="2" t="s">
        <v>12</v>
      </c>
      <c r="C272" s="6">
        <v>41092</v>
      </c>
      <c r="D272" s="7">
        <v>0.41666666666666669</v>
      </c>
      <c r="E272" s="8">
        <v>638</v>
      </c>
      <c r="F272" s="8">
        <v>4391</v>
      </c>
      <c r="G272" s="8">
        <v>3874</v>
      </c>
      <c r="H272" s="8">
        <v>480</v>
      </c>
      <c r="I272" s="8">
        <v>37</v>
      </c>
    </row>
    <row r="273" spans="1:9" x14ac:dyDescent="0.25">
      <c r="A273" s="2" t="s">
        <v>11</v>
      </c>
      <c r="B273" s="2" t="s">
        <v>12</v>
      </c>
      <c r="C273" s="6">
        <v>41092</v>
      </c>
      <c r="D273" s="7">
        <v>0.4375</v>
      </c>
      <c r="E273" s="8">
        <v>654</v>
      </c>
      <c r="F273" s="8">
        <v>4719</v>
      </c>
      <c r="G273" s="8">
        <v>4240</v>
      </c>
      <c r="H273" s="8">
        <v>449</v>
      </c>
      <c r="I273" s="8">
        <v>30</v>
      </c>
    </row>
    <row r="274" spans="1:9" x14ac:dyDescent="0.25">
      <c r="A274" s="2" t="s">
        <v>11</v>
      </c>
      <c r="B274" s="2" t="s">
        <v>12</v>
      </c>
      <c r="C274" s="6">
        <v>41092</v>
      </c>
      <c r="D274" s="7">
        <v>0.45833333333333331</v>
      </c>
      <c r="E274" s="8">
        <v>661</v>
      </c>
      <c r="F274" s="8">
        <v>4964</v>
      </c>
      <c r="G274" s="8">
        <v>4404</v>
      </c>
      <c r="H274" s="8">
        <v>520</v>
      </c>
      <c r="I274" s="8">
        <v>40</v>
      </c>
    </row>
    <row r="275" spans="1:9" x14ac:dyDescent="0.25">
      <c r="A275" s="2" t="s">
        <v>11</v>
      </c>
      <c r="B275" s="2" t="s">
        <v>12</v>
      </c>
      <c r="C275" s="6">
        <v>41092</v>
      </c>
      <c r="D275" s="7">
        <v>0.47916666666666669</v>
      </c>
      <c r="E275" s="8">
        <v>669</v>
      </c>
      <c r="F275" s="8">
        <v>4872</v>
      </c>
      <c r="G275" s="8">
        <v>4234</v>
      </c>
      <c r="H275" s="8">
        <v>610</v>
      </c>
      <c r="I275" s="8">
        <v>28</v>
      </c>
    </row>
    <row r="276" spans="1:9" x14ac:dyDescent="0.25">
      <c r="A276" s="2" t="s">
        <v>11</v>
      </c>
      <c r="B276" s="2" t="s">
        <v>12</v>
      </c>
      <c r="C276" s="6">
        <v>41092</v>
      </c>
      <c r="D276" s="7">
        <v>0.5</v>
      </c>
      <c r="E276" s="8">
        <v>690</v>
      </c>
      <c r="F276" s="8">
        <v>4378</v>
      </c>
      <c r="G276" s="8">
        <v>3802</v>
      </c>
      <c r="H276" s="8">
        <v>551</v>
      </c>
      <c r="I276" s="8">
        <v>25</v>
      </c>
    </row>
    <row r="277" spans="1:9" x14ac:dyDescent="0.25">
      <c r="A277" s="2" t="s">
        <v>11</v>
      </c>
      <c r="B277" s="2" t="s">
        <v>12</v>
      </c>
      <c r="C277" s="6">
        <v>41092</v>
      </c>
      <c r="D277" s="7">
        <v>0.52083333333333337</v>
      </c>
      <c r="E277" s="8">
        <v>653</v>
      </c>
      <c r="F277" s="8">
        <v>4200</v>
      </c>
      <c r="G277" s="8">
        <v>3625</v>
      </c>
      <c r="H277" s="8">
        <v>540</v>
      </c>
      <c r="I277" s="8">
        <v>35</v>
      </c>
    </row>
    <row r="278" spans="1:9" x14ac:dyDescent="0.25">
      <c r="A278" s="2" t="s">
        <v>11</v>
      </c>
      <c r="B278" s="2" t="s">
        <v>12</v>
      </c>
      <c r="C278" s="6">
        <v>41092</v>
      </c>
      <c r="D278" s="7">
        <v>0.54166666666666663</v>
      </c>
      <c r="E278" s="8">
        <v>636</v>
      </c>
      <c r="F278" s="8">
        <v>3423</v>
      </c>
      <c r="G278" s="8">
        <v>2997</v>
      </c>
      <c r="H278" s="8">
        <v>398</v>
      </c>
      <c r="I278" s="8">
        <v>28</v>
      </c>
    </row>
    <row r="279" spans="1:9" x14ac:dyDescent="0.25">
      <c r="A279" s="2" t="s">
        <v>11</v>
      </c>
      <c r="B279" s="2" t="s">
        <v>12</v>
      </c>
      <c r="C279" s="6">
        <v>41092</v>
      </c>
      <c r="D279" s="7">
        <v>0.5625</v>
      </c>
      <c r="E279" s="8">
        <v>642</v>
      </c>
      <c r="F279" s="8">
        <v>4009</v>
      </c>
      <c r="G279" s="8">
        <v>3334</v>
      </c>
      <c r="H279" s="8">
        <v>646</v>
      </c>
      <c r="I279" s="8">
        <v>29</v>
      </c>
    </row>
    <row r="280" spans="1:9" x14ac:dyDescent="0.25">
      <c r="A280" s="2" t="s">
        <v>11</v>
      </c>
      <c r="B280" s="2" t="s">
        <v>12</v>
      </c>
      <c r="C280" s="6">
        <v>41092</v>
      </c>
      <c r="D280" s="7">
        <v>0.58333333333333337</v>
      </c>
      <c r="E280" s="8">
        <v>668</v>
      </c>
      <c r="F280" s="8">
        <v>5104</v>
      </c>
      <c r="G280" s="8">
        <v>4183</v>
      </c>
      <c r="H280" s="8">
        <v>892</v>
      </c>
      <c r="I280" s="8">
        <v>29</v>
      </c>
    </row>
    <row r="281" spans="1:9" x14ac:dyDescent="0.25">
      <c r="A281" s="2" t="s">
        <v>11</v>
      </c>
      <c r="B281" s="2" t="s">
        <v>12</v>
      </c>
      <c r="C281" s="6">
        <v>41092</v>
      </c>
      <c r="D281" s="7">
        <v>0.60416666666666663</v>
      </c>
      <c r="E281" s="8">
        <v>675</v>
      </c>
      <c r="F281" s="8">
        <v>5228</v>
      </c>
      <c r="G281" s="8">
        <v>4346</v>
      </c>
      <c r="H281" s="8">
        <v>838</v>
      </c>
      <c r="I281" s="8">
        <v>44</v>
      </c>
    </row>
    <row r="282" spans="1:9" x14ac:dyDescent="0.25">
      <c r="A282" s="2" t="s">
        <v>11</v>
      </c>
      <c r="B282" s="2" t="s">
        <v>12</v>
      </c>
      <c r="C282" s="6">
        <v>41092</v>
      </c>
      <c r="D282" s="7">
        <v>0.625</v>
      </c>
      <c r="E282" s="8">
        <v>666</v>
      </c>
      <c r="F282" s="8">
        <v>4242</v>
      </c>
      <c r="G282" s="8">
        <v>3456</v>
      </c>
      <c r="H282" s="8">
        <v>747</v>
      </c>
      <c r="I282" s="8">
        <v>39</v>
      </c>
    </row>
    <row r="283" spans="1:9" x14ac:dyDescent="0.25">
      <c r="A283" s="2" t="s">
        <v>11</v>
      </c>
      <c r="B283" s="2" t="s">
        <v>12</v>
      </c>
      <c r="C283" s="6">
        <v>41092</v>
      </c>
      <c r="D283" s="7">
        <v>0.64583333333333337</v>
      </c>
      <c r="E283" s="8">
        <v>652</v>
      </c>
      <c r="F283" s="8">
        <v>5083</v>
      </c>
      <c r="G283" s="8">
        <v>4276</v>
      </c>
      <c r="H283" s="8">
        <v>787</v>
      </c>
      <c r="I283" s="8">
        <v>20</v>
      </c>
    </row>
    <row r="284" spans="1:9" x14ac:dyDescent="0.25">
      <c r="A284" s="2" t="s">
        <v>11</v>
      </c>
      <c r="B284" s="2" t="s">
        <v>12</v>
      </c>
      <c r="C284" s="6">
        <v>41092</v>
      </c>
      <c r="D284" s="7">
        <v>0.66666666666666663</v>
      </c>
      <c r="E284" s="8">
        <v>625</v>
      </c>
      <c r="F284" s="8">
        <v>5939</v>
      </c>
      <c r="G284" s="8">
        <v>4600</v>
      </c>
      <c r="H284" s="8">
        <v>1319</v>
      </c>
      <c r="I284" s="8">
        <v>20</v>
      </c>
    </row>
    <row r="285" spans="1:9" x14ac:dyDescent="0.25">
      <c r="A285" s="2" t="s">
        <v>11</v>
      </c>
      <c r="B285" s="2" t="s">
        <v>12</v>
      </c>
      <c r="C285" s="6">
        <v>41092</v>
      </c>
      <c r="D285" s="7">
        <v>0.6875</v>
      </c>
      <c r="E285" s="8">
        <v>614</v>
      </c>
      <c r="F285" s="8">
        <v>6178</v>
      </c>
      <c r="G285" s="8">
        <v>4798</v>
      </c>
      <c r="H285" s="8">
        <v>1351</v>
      </c>
      <c r="I285" s="8">
        <v>29</v>
      </c>
    </row>
    <row r="286" spans="1:9" x14ac:dyDescent="0.25">
      <c r="A286" s="2" t="s">
        <v>11</v>
      </c>
      <c r="B286" s="2" t="s">
        <v>12</v>
      </c>
      <c r="C286" s="6">
        <v>41092</v>
      </c>
      <c r="D286" s="7">
        <v>0.70833333333333337</v>
      </c>
      <c r="E286" s="8">
        <v>576</v>
      </c>
      <c r="F286" s="8">
        <v>5518</v>
      </c>
      <c r="G286" s="8">
        <v>4408</v>
      </c>
      <c r="H286" s="8">
        <v>1073</v>
      </c>
      <c r="I286" s="8">
        <v>37</v>
      </c>
    </row>
    <row r="287" spans="1:9" x14ac:dyDescent="0.25">
      <c r="A287" s="2" t="s">
        <v>11</v>
      </c>
      <c r="B287" s="2" t="s">
        <v>12</v>
      </c>
      <c r="C287" s="6">
        <v>41092</v>
      </c>
      <c r="D287" s="7">
        <v>0.72916666666666663</v>
      </c>
      <c r="E287" s="8">
        <v>537</v>
      </c>
      <c r="F287" s="8">
        <v>6549</v>
      </c>
      <c r="G287" s="8">
        <v>4652</v>
      </c>
      <c r="H287" s="8">
        <v>1857</v>
      </c>
      <c r="I287" s="8">
        <v>40</v>
      </c>
    </row>
    <row r="288" spans="1:9" x14ac:dyDescent="0.25">
      <c r="A288" s="2" t="s">
        <v>11</v>
      </c>
      <c r="B288" s="2" t="s">
        <v>12</v>
      </c>
      <c r="C288" s="6">
        <v>41092</v>
      </c>
      <c r="D288" s="7">
        <v>0.75</v>
      </c>
      <c r="E288" s="8">
        <v>432</v>
      </c>
      <c r="F288" s="8">
        <v>3695</v>
      </c>
      <c r="G288" s="8">
        <v>3075</v>
      </c>
      <c r="H288" s="8">
        <v>571</v>
      </c>
      <c r="I288" s="8">
        <v>49</v>
      </c>
    </row>
    <row r="289" spans="1:9" x14ac:dyDescent="0.25">
      <c r="A289" s="2" t="s">
        <v>11</v>
      </c>
      <c r="B289" s="2" t="s">
        <v>12</v>
      </c>
      <c r="C289" s="6">
        <v>41092</v>
      </c>
      <c r="D289" s="7">
        <v>0.77083333333333337</v>
      </c>
      <c r="E289" s="8">
        <v>415</v>
      </c>
      <c r="F289" s="8">
        <v>4508</v>
      </c>
      <c r="G289" s="8">
        <v>3424</v>
      </c>
      <c r="H289" s="8">
        <v>1038</v>
      </c>
      <c r="I289" s="8">
        <v>46</v>
      </c>
    </row>
    <row r="290" spans="1:9" x14ac:dyDescent="0.25">
      <c r="A290" s="2" t="s">
        <v>11</v>
      </c>
      <c r="B290" s="2" t="s">
        <v>12</v>
      </c>
      <c r="C290" s="6">
        <v>41092</v>
      </c>
      <c r="D290" s="7">
        <v>0.79166666666666663</v>
      </c>
      <c r="E290" s="8">
        <v>459</v>
      </c>
      <c r="F290" s="8">
        <v>4536</v>
      </c>
      <c r="G290" s="8">
        <v>3586</v>
      </c>
      <c r="H290" s="8">
        <v>922</v>
      </c>
      <c r="I290" s="8">
        <v>28</v>
      </c>
    </row>
    <row r="291" spans="1:9" x14ac:dyDescent="0.25">
      <c r="A291" s="2" t="s">
        <v>11</v>
      </c>
      <c r="B291" s="2" t="s">
        <v>12</v>
      </c>
      <c r="C291" s="6">
        <v>41092</v>
      </c>
      <c r="D291" s="7">
        <v>0.8125</v>
      </c>
      <c r="E291" s="8">
        <v>446</v>
      </c>
      <c r="F291" s="8">
        <v>4017</v>
      </c>
      <c r="G291" s="8">
        <v>3295</v>
      </c>
      <c r="H291" s="8">
        <v>712</v>
      </c>
      <c r="I291" s="8">
        <v>10</v>
      </c>
    </row>
    <row r="292" spans="1:9" x14ac:dyDescent="0.25">
      <c r="A292" s="2" t="s">
        <v>11</v>
      </c>
      <c r="B292" s="2" t="s">
        <v>12</v>
      </c>
      <c r="C292" s="6">
        <v>41093</v>
      </c>
      <c r="D292" s="7">
        <v>0.33333333333333331</v>
      </c>
      <c r="E292" s="8">
        <v>437</v>
      </c>
      <c r="F292" s="8">
        <v>1165</v>
      </c>
      <c r="G292" s="8">
        <v>1098</v>
      </c>
      <c r="H292" s="8">
        <v>64</v>
      </c>
      <c r="I292" s="8">
        <v>3</v>
      </c>
    </row>
    <row r="293" spans="1:9" x14ac:dyDescent="0.25">
      <c r="A293" s="2" t="s">
        <v>11</v>
      </c>
      <c r="B293" s="2" t="s">
        <v>12</v>
      </c>
      <c r="C293" s="6">
        <v>41093</v>
      </c>
      <c r="D293" s="7">
        <v>0.35416666666666669</v>
      </c>
      <c r="E293" s="8">
        <v>503</v>
      </c>
      <c r="F293" s="8">
        <v>1898</v>
      </c>
      <c r="G293" s="8">
        <v>1747</v>
      </c>
      <c r="H293" s="8">
        <v>130</v>
      </c>
      <c r="I293" s="8">
        <v>21</v>
      </c>
    </row>
    <row r="294" spans="1:9" x14ac:dyDescent="0.25">
      <c r="A294" s="2" t="s">
        <v>11</v>
      </c>
      <c r="B294" s="2" t="s">
        <v>12</v>
      </c>
      <c r="C294" s="6">
        <v>41093</v>
      </c>
      <c r="D294" s="7">
        <v>0.375</v>
      </c>
      <c r="E294" s="8">
        <v>634</v>
      </c>
      <c r="F294" s="8">
        <v>3677</v>
      </c>
      <c r="G294" s="8">
        <v>3283</v>
      </c>
      <c r="H294" s="8">
        <v>364</v>
      </c>
      <c r="I294" s="8">
        <v>30</v>
      </c>
    </row>
    <row r="295" spans="1:9" x14ac:dyDescent="0.25">
      <c r="A295" s="2" t="s">
        <v>11</v>
      </c>
      <c r="B295" s="2" t="s">
        <v>12</v>
      </c>
      <c r="C295" s="6">
        <v>41093</v>
      </c>
      <c r="D295" s="7">
        <v>0.39583333333333331</v>
      </c>
      <c r="E295" s="8">
        <v>663</v>
      </c>
      <c r="F295" s="8">
        <v>4440</v>
      </c>
      <c r="G295" s="8">
        <v>3997</v>
      </c>
      <c r="H295" s="8">
        <v>404</v>
      </c>
      <c r="I295" s="8">
        <v>39</v>
      </c>
    </row>
    <row r="296" spans="1:9" x14ac:dyDescent="0.25">
      <c r="A296" s="2" t="s">
        <v>11</v>
      </c>
      <c r="B296" s="2" t="s">
        <v>12</v>
      </c>
      <c r="C296" s="6">
        <v>41093</v>
      </c>
      <c r="D296" s="7">
        <v>0.41666666666666669</v>
      </c>
      <c r="E296" s="8">
        <v>651</v>
      </c>
      <c r="F296" s="8">
        <v>4405</v>
      </c>
      <c r="G296" s="8">
        <v>3879</v>
      </c>
      <c r="H296" s="8">
        <v>487</v>
      </c>
      <c r="I296" s="8">
        <v>39</v>
      </c>
    </row>
    <row r="297" spans="1:9" x14ac:dyDescent="0.25">
      <c r="A297" s="2" t="s">
        <v>11</v>
      </c>
      <c r="B297" s="2" t="s">
        <v>12</v>
      </c>
      <c r="C297" s="6">
        <v>41093</v>
      </c>
      <c r="D297" s="7">
        <v>0.4375</v>
      </c>
      <c r="E297" s="8">
        <v>638</v>
      </c>
      <c r="F297" s="8">
        <v>4988</v>
      </c>
      <c r="G297" s="8">
        <v>4402</v>
      </c>
      <c r="H297" s="8">
        <v>524</v>
      </c>
      <c r="I297" s="8">
        <v>62</v>
      </c>
    </row>
    <row r="298" spans="1:9" x14ac:dyDescent="0.25">
      <c r="A298" s="2" t="s">
        <v>11</v>
      </c>
      <c r="B298" s="2" t="s">
        <v>12</v>
      </c>
      <c r="C298" s="6">
        <v>41093</v>
      </c>
      <c r="D298" s="7">
        <v>0.45833333333333331</v>
      </c>
      <c r="E298" s="8">
        <v>647</v>
      </c>
      <c r="F298" s="8">
        <v>4733</v>
      </c>
      <c r="G298" s="8">
        <v>4208</v>
      </c>
      <c r="H298" s="8">
        <v>495</v>
      </c>
      <c r="I298" s="8">
        <v>30</v>
      </c>
    </row>
    <row r="299" spans="1:9" x14ac:dyDescent="0.25">
      <c r="A299" s="2" t="s">
        <v>11</v>
      </c>
      <c r="B299" s="2" t="s">
        <v>12</v>
      </c>
      <c r="C299" s="6">
        <v>41093</v>
      </c>
      <c r="D299" s="7">
        <v>0.47916666666666669</v>
      </c>
      <c r="E299" s="8">
        <v>705</v>
      </c>
      <c r="F299" s="8">
        <v>4786</v>
      </c>
      <c r="G299" s="8">
        <v>4200</v>
      </c>
      <c r="H299" s="8">
        <v>535</v>
      </c>
      <c r="I299" s="8">
        <v>51</v>
      </c>
    </row>
    <row r="300" spans="1:9" x14ac:dyDescent="0.25">
      <c r="A300" s="2" t="s">
        <v>11</v>
      </c>
      <c r="B300" s="2" t="s">
        <v>12</v>
      </c>
      <c r="C300" s="6">
        <v>41093</v>
      </c>
      <c r="D300" s="7">
        <v>0.5</v>
      </c>
      <c r="E300" s="8">
        <v>690</v>
      </c>
      <c r="F300" s="8">
        <v>4346</v>
      </c>
      <c r="G300" s="8">
        <v>3810</v>
      </c>
      <c r="H300" s="8">
        <v>496</v>
      </c>
      <c r="I300" s="8">
        <v>40</v>
      </c>
    </row>
    <row r="301" spans="1:9" x14ac:dyDescent="0.25">
      <c r="A301" s="2" t="s">
        <v>11</v>
      </c>
      <c r="B301" s="2" t="s">
        <v>12</v>
      </c>
      <c r="C301" s="6">
        <v>41093</v>
      </c>
      <c r="D301" s="7">
        <v>0.52083333333333337</v>
      </c>
      <c r="E301" s="8">
        <v>648</v>
      </c>
      <c r="F301" s="8">
        <v>4235</v>
      </c>
      <c r="G301" s="8">
        <v>3604</v>
      </c>
      <c r="H301" s="8">
        <v>595</v>
      </c>
      <c r="I301" s="8">
        <v>36</v>
      </c>
    </row>
    <row r="302" spans="1:9" x14ac:dyDescent="0.25">
      <c r="A302" s="2" t="s">
        <v>11</v>
      </c>
      <c r="B302" s="2" t="s">
        <v>12</v>
      </c>
      <c r="C302" s="6">
        <v>41093</v>
      </c>
      <c r="D302" s="7">
        <v>0.54166666666666663</v>
      </c>
      <c r="E302" s="8">
        <v>647</v>
      </c>
      <c r="F302" s="8">
        <v>4348</v>
      </c>
      <c r="G302" s="8">
        <v>3656</v>
      </c>
      <c r="H302" s="8">
        <v>660</v>
      </c>
      <c r="I302" s="8">
        <v>32</v>
      </c>
    </row>
    <row r="303" spans="1:9" x14ac:dyDescent="0.25">
      <c r="A303" s="2" t="s">
        <v>11</v>
      </c>
      <c r="B303" s="2" t="s">
        <v>12</v>
      </c>
      <c r="C303" s="6">
        <v>41093</v>
      </c>
      <c r="D303" s="7">
        <v>0.5625</v>
      </c>
      <c r="E303" s="8">
        <v>659</v>
      </c>
      <c r="F303" s="8">
        <v>4969</v>
      </c>
      <c r="G303" s="8">
        <v>4012</v>
      </c>
      <c r="H303" s="8">
        <v>927</v>
      </c>
      <c r="I303" s="8">
        <v>30</v>
      </c>
    </row>
    <row r="304" spans="1:9" x14ac:dyDescent="0.25">
      <c r="A304" s="2" t="s">
        <v>11</v>
      </c>
      <c r="B304" s="2" t="s">
        <v>12</v>
      </c>
      <c r="C304" s="6">
        <v>41093</v>
      </c>
      <c r="D304" s="7">
        <v>0.58333333333333337</v>
      </c>
      <c r="E304" s="8">
        <v>695</v>
      </c>
      <c r="F304" s="8">
        <v>6212</v>
      </c>
      <c r="G304" s="8">
        <v>4831</v>
      </c>
      <c r="H304" s="8">
        <v>1339</v>
      </c>
      <c r="I304" s="8">
        <v>42</v>
      </c>
    </row>
    <row r="305" spans="1:9" x14ac:dyDescent="0.25">
      <c r="A305" s="2" t="s">
        <v>11</v>
      </c>
      <c r="B305" s="2" t="s">
        <v>12</v>
      </c>
      <c r="C305" s="6">
        <v>41093</v>
      </c>
      <c r="D305" s="7">
        <v>0.60416666666666663</v>
      </c>
      <c r="E305" s="8">
        <v>673</v>
      </c>
      <c r="F305" s="8">
        <v>6094</v>
      </c>
      <c r="G305" s="8">
        <v>4931</v>
      </c>
      <c r="H305" s="8">
        <v>1125</v>
      </c>
      <c r="I305" s="8">
        <v>38</v>
      </c>
    </row>
    <row r="306" spans="1:9" x14ac:dyDescent="0.25">
      <c r="A306" s="2" t="s">
        <v>11</v>
      </c>
      <c r="B306" s="2" t="s">
        <v>12</v>
      </c>
      <c r="C306" s="6">
        <v>41093</v>
      </c>
      <c r="D306" s="7">
        <v>0.625</v>
      </c>
      <c r="E306" s="8">
        <v>682</v>
      </c>
      <c r="F306" s="8">
        <v>4489</v>
      </c>
      <c r="G306" s="8">
        <v>3812</v>
      </c>
      <c r="H306" s="8">
        <v>637</v>
      </c>
      <c r="I306" s="8">
        <v>40</v>
      </c>
    </row>
    <row r="307" spans="1:9" x14ac:dyDescent="0.25">
      <c r="A307" s="2" t="s">
        <v>11</v>
      </c>
      <c r="B307" s="2" t="s">
        <v>12</v>
      </c>
      <c r="C307" s="6">
        <v>41093</v>
      </c>
      <c r="D307" s="7">
        <v>0.64583333333333337</v>
      </c>
      <c r="E307" s="8">
        <v>627</v>
      </c>
      <c r="F307" s="8">
        <v>5780</v>
      </c>
      <c r="G307" s="8">
        <v>4599</v>
      </c>
      <c r="H307" s="8">
        <v>1158</v>
      </c>
      <c r="I307" s="8">
        <v>23</v>
      </c>
    </row>
    <row r="308" spans="1:9" x14ac:dyDescent="0.25">
      <c r="A308" s="2" t="s">
        <v>11</v>
      </c>
      <c r="B308" s="2" t="s">
        <v>12</v>
      </c>
      <c r="C308" s="6">
        <v>41093</v>
      </c>
      <c r="D308" s="7">
        <v>0.66666666666666663</v>
      </c>
      <c r="E308" s="8">
        <v>594</v>
      </c>
      <c r="F308" s="8">
        <v>5990</v>
      </c>
      <c r="G308" s="8">
        <v>4610</v>
      </c>
      <c r="H308" s="8">
        <v>1327</v>
      </c>
      <c r="I308" s="8">
        <v>53</v>
      </c>
    </row>
    <row r="309" spans="1:9" x14ac:dyDescent="0.25">
      <c r="A309" s="2" t="s">
        <v>11</v>
      </c>
      <c r="B309" s="2" t="s">
        <v>12</v>
      </c>
      <c r="C309" s="6">
        <v>41093</v>
      </c>
      <c r="D309" s="7">
        <v>0.6875</v>
      </c>
      <c r="E309" s="8">
        <v>585</v>
      </c>
      <c r="F309" s="8">
        <v>5568</v>
      </c>
      <c r="G309" s="8">
        <v>4498</v>
      </c>
      <c r="H309" s="8">
        <v>1012</v>
      </c>
      <c r="I309" s="8">
        <v>58</v>
      </c>
    </row>
    <row r="310" spans="1:9" x14ac:dyDescent="0.25">
      <c r="A310" s="2" t="s">
        <v>11</v>
      </c>
      <c r="B310" s="2" t="s">
        <v>12</v>
      </c>
      <c r="C310" s="6">
        <v>41093</v>
      </c>
      <c r="D310" s="7">
        <v>0.70833333333333337</v>
      </c>
      <c r="E310" s="8">
        <v>559</v>
      </c>
      <c r="F310" s="8">
        <v>4873</v>
      </c>
      <c r="G310" s="8">
        <v>4060</v>
      </c>
      <c r="H310" s="8">
        <v>770</v>
      </c>
      <c r="I310" s="8">
        <v>43</v>
      </c>
    </row>
    <row r="311" spans="1:9" x14ac:dyDescent="0.25">
      <c r="A311" s="2" t="s">
        <v>11</v>
      </c>
      <c r="B311" s="2" t="s">
        <v>12</v>
      </c>
      <c r="C311" s="6">
        <v>41093</v>
      </c>
      <c r="D311" s="7">
        <v>0.72916666666666663</v>
      </c>
      <c r="E311" s="8">
        <v>549</v>
      </c>
      <c r="F311" s="8">
        <v>4421</v>
      </c>
      <c r="G311" s="8">
        <v>3813</v>
      </c>
      <c r="H311" s="8">
        <v>572</v>
      </c>
      <c r="I311" s="8">
        <v>36</v>
      </c>
    </row>
    <row r="312" spans="1:9" x14ac:dyDescent="0.25">
      <c r="A312" s="2" t="s">
        <v>11</v>
      </c>
      <c r="B312" s="2" t="s">
        <v>12</v>
      </c>
      <c r="C312" s="6">
        <v>41093</v>
      </c>
      <c r="D312" s="7">
        <v>0.75</v>
      </c>
      <c r="E312" s="8">
        <v>457</v>
      </c>
      <c r="F312" s="8">
        <v>4453</v>
      </c>
      <c r="G312" s="8">
        <v>3707</v>
      </c>
      <c r="H312" s="8">
        <v>705</v>
      </c>
      <c r="I312" s="8">
        <v>41</v>
      </c>
    </row>
    <row r="313" spans="1:9" x14ac:dyDescent="0.25">
      <c r="A313" s="2" t="s">
        <v>11</v>
      </c>
      <c r="B313" s="2" t="s">
        <v>12</v>
      </c>
      <c r="C313" s="6">
        <v>41093</v>
      </c>
      <c r="D313" s="7">
        <v>0.77083333333333337</v>
      </c>
      <c r="E313" s="8">
        <v>427</v>
      </c>
      <c r="F313" s="8">
        <v>4692</v>
      </c>
      <c r="G313" s="8">
        <v>3778</v>
      </c>
      <c r="H313" s="8">
        <v>881</v>
      </c>
      <c r="I313" s="8">
        <v>33</v>
      </c>
    </row>
    <row r="314" spans="1:9" x14ac:dyDescent="0.25">
      <c r="A314" s="2" t="s">
        <v>11</v>
      </c>
      <c r="B314" s="2" t="s">
        <v>12</v>
      </c>
      <c r="C314" s="6">
        <v>41093</v>
      </c>
      <c r="D314" s="7">
        <v>0.79166666666666663</v>
      </c>
      <c r="E314" s="8">
        <v>444</v>
      </c>
      <c r="F314" s="8">
        <v>3751</v>
      </c>
      <c r="G314" s="8">
        <v>3208</v>
      </c>
      <c r="H314" s="8">
        <v>525</v>
      </c>
      <c r="I314" s="8">
        <v>18</v>
      </c>
    </row>
    <row r="315" spans="1:9" x14ac:dyDescent="0.25">
      <c r="A315" s="2" t="s">
        <v>11</v>
      </c>
      <c r="B315" s="2" t="s">
        <v>12</v>
      </c>
      <c r="C315" s="6">
        <v>41093</v>
      </c>
      <c r="D315" s="7">
        <v>0.8125</v>
      </c>
      <c r="E315" s="8">
        <v>447</v>
      </c>
      <c r="F315" s="8">
        <v>4241</v>
      </c>
      <c r="G315" s="8">
        <v>3446</v>
      </c>
      <c r="H315" s="8">
        <v>785</v>
      </c>
      <c r="I315" s="8">
        <v>10</v>
      </c>
    </row>
    <row r="316" spans="1:9" x14ac:dyDescent="0.25">
      <c r="A316" s="2" t="s">
        <v>11</v>
      </c>
      <c r="B316" s="2" t="s">
        <v>12</v>
      </c>
      <c r="C316" s="6">
        <v>41094</v>
      </c>
      <c r="D316" s="7">
        <v>0.33333333333333331</v>
      </c>
      <c r="E316" s="8">
        <v>473</v>
      </c>
      <c r="F316" s="8">
        <v>1109</v>
      </c>
      <c r="G316" s="8">
        <v>1048</v>
      </c>
      <c r="H316" s="8">
        <v>54</v>
      </c>
      <c r="I316" s="8">
        <v>7</v>
      </c>
    </row>
    <row r="317" spans="1:9" x14ac:dyDescent="0.25">
      <c r="A317" s="2" t="s">
        <v>11</v>
      </c>
      <c r="B317" s="2" t="s">
        <v>12</v>
      </c>
      <c r="C317" s="6">
        <v>41094</v>
      </c>
      <c r="D317" s="7">
        <v>0.35416666666666669</v>
      </c>
      <c r="E317" s="8">
        <v>505</v>
      </c>
      <c r="F317" s="8">
        <v>1881</v>
      </c>
      <c r="G317" s="8">
        <v>1676</v>
      </c>
      <c r="H317" s="8">
        <v>193</v>
      </c>
      <c r="I317" s="8">
        <v>12</v>
      </c>
    </row>
    <row r="318" spans="1:9" x14ac:dyDescent="0.25">
      <c r="A318" s="2" t="s">
        <v>11</v>
      </c>
      <c r="B318" s="2" t="s">
        <v>12</v>
      </c>
      <c r="C318" s="6">
        <v>41094</v>
      </c>
      <c r="D318" s="7">
        <v>0.375</v>
      </c>
      <c r="E318" s="8">
        <v>654</v>
      </c>
      <c r="F318" s="8">
        <v>3837</v>
      </c>
      <c r="G318" s="8">
        <v>3428</v>
      </c>
      <c r="H318" s="8">
        <v>384</v>
      </c>
      <c r="I318" s="8">
        <v>25</v>
      </c>
    </row>
    <row r="319" spans="1:9" x14ac:dyDescent="0.25">
      <c r="A319" s="2" t="s">
        <v>11</v>
      </c>
      <c r="B319" s="2" t="s">
        <v>12</v>
      </c>
      <c r="C319" s="6">
        <v>41094</v>
      </c>
      <c r="D319" s="7">
        <v>0.39583333333333331</v>
      </c>
      <c r="E319" s="8">
        <v>621</v>
      </c>
      <c r="F319" s="8">
        <v>4660</v>
      </c>
      <c r="G319" s="8">
        <v>4131</v>
      </c>
      <c r="H319" s="8">
        <v>490</v>
      </c>
      <c r="I319" s="8">
        <v>39</v>
      </c>
    </row>
    <row r="320" spans="1:9" x14ac:dyDescent="0.25">
      <c r="A320" s="2" t="s">
        <v>11</v>
      </c>
      <c r="B320" s="2" t="s">
        <v>12</v>
      </c>
      <c r="C320" s="6">
        <v>41094</v>
      </c>
      <c r="D320" s="7">
        <v>0.41666666666666669</v>
      </c>
      <c r="E320" s="8">
        <v>646</v>
      </c>
      <c r="F320" s="8">
        <v>4587</v>
      </c>
      <c r="G320" s="8">
        <v>3993</v>
      </c>
      <c r="H320" s="8">
        <v>557</v>
      </c>
      <c r="I320" s="8">
        <v>37</v>
      </c>
    </row>
    <row r="321" spans="1:9" x14ac:dyDescent="0.25">
      <c r="A321" s="2" t="s">
        <v>11</v>
      </c>
      <c r="B321" s="2" t="s">
        <v>12</v>
      </c>
      <c r="C321" s="6">
        <v>41094</v>
      </c>
      <c r="D321" s="7">
        <v>0.4375</v>
      </c>
      <c r="E321" s="8">
        <v>634</v>
      </c>
      <c r="F321" s="8">
        <v>5014</v>
      </c>
      <c r="G321" s="8">
        <v>4388</v>
      </c>
      <c r="H321" s="8">
        <v>581</v>
      </c>
      <c r="I321" s="8">
        <v>45</v>
      </c>
    </row>
    <row r="322" spans="1:9" x14ac:dyDescent="0.25">
      <c r="A322" s="2" t="s">
        <v>11</v>
      </c>
      <c r="B322" s="2" t="s">
        <v>12</v>
      </c>
      <c r="C322" s="6">
        <v>41094</v>
      </c>
      <c r="D322" s="7">
        <v>0.45833333333333331</v>
      </c>
      <c r="E322" s="8">
        <v>630</v>
      </c>
      <c r="F322" s="8">
        <v>5179</v>
      </c>
      <c r="G322" s="8">
        <v>4435</v>
      </c>
      <c r="H322" s="8">
        <v>684</v>
      </c>
      <c r="I322" s="8">
        <v>60</v>
      </c>
    </row>
    <row r="323" spans="1:9" x14ac:dyDescent="0.25">
      <c r="A323" s="2" t="s">
        <v>11</v>
      </c>
      <c r="B323" s="2" t="s">
        <v>12</v>
      </c>
      <c r="C323" s="6">
        <v>41094</v>
      </c>
      <c r="D323" s="7">
        <v>0.47916666666666669</v>
      </c>
      <c r="E323" s="8">
        <v>633</v>
      </c>
      <c r="F323" s="8">
        <v>4954</v>
      </c>
      <c r="G323" s="8">
        <v>4296</v>
      </c>
      <c r="H323" s="8">
        <v>618</v>
      </c>
      <c r="I323" s="8">
        <v>40</v>
      </c>
    </row>
    <row r="324" spans="1:9" x14ac:dyDescent="0.25">
      <c r="A324" s="2" t="s">
        <v>11</v>
      </c>
      <c r="B324" s="2" t="s">
        <v>12</v>
      </c>
      <c r="C324" s="6">
        <v>41094</v>
      </c>
      <c r="D324" s="7">
        <v>0.5</v>
      </c>
      <c r="E324" s="8">
        <v>672</v>
      </c>
      <c r="F324" s="8">
        <v>4499</v>
      </c>
      <c r="G324" s="8">
        <v>3972</v>
      </c>
      <c r="H324" s="8">
        <v>494</v>
      </c>
      <c r="I324" s="8">
        <v>33</v>
      </c>
    </row>
    <row r="325" spans="1:9" x14ac:dyDescent="0.25">
      <c r="A325" s="2" t="s">
        <v>11</v>
      </c>
      <c r="B325" s="2" t="s">
        <v>12</v>
      </c>
      <c r="C325" s="6">
        <v>41094</v>
      </c>
      <c r="D325" s="7">
        <v>0.52083333333333337</v>
      </c>
      <c r="E325" s="8">
        <v>653</v>
      </c>
      <c r="F325" s="8">
        <v>4380</v>
      </c>
      <c r="G325" s="8">
        <v>3710</v>
      </c>
      <c r="H325" s="8">
        <v>645</v>
      </c>
      <c r="I325" s="8">
        <v>25</v>
      </c>
    </row>
    <row r="326" spans="1:9" x14ac:dyDescent="0.25">
      <c r="A326" s="2" t="s">
        <v>11</v>
      </c>
      <c r="B326" s="2" t="s">
        <v>12</v>
      </c>
      <c r="C326" s="6">
        <v>41094</v>
      </c>
      <c r="D326" s="7">
        <v>0.54166666666666663</v>
      </c>
      <c r="E326" s="8">
        <v>653</v>
      </c>
      <c r="F326" s="8">
        <v>4697</v>
      </c>
      <c r="G326" s="8">
        <v>3951</v>
      </c>
      <c r="H326" s="8">
        <v>723</v>
      </c>
      <c r="I326" s="8">
        <v>23</v>
      </c>
    </row>
    <row r="327" spans="1:9" x14ac:dyDescent="0.25">
      <c r="A327" s="2" t="s">
        <v>11</v>
      </c>
      <c r="B327" s="2" t="s">
        <v>12</v>
      </c>
      <c r="C327" s="6">
        <v>41094</v>
      </c>
      <c r="D327" s="7">
        <v>0.5625</v>
      </c>
      <c r="E327" s="8">
        <v>661</v>
      </c>
      <c r="F327" s="8">
        <v>5471</v>
      </c>
      <c r="G327" s="8">
        <v>4431</v>
      </c>
      <c r="H327" s="8">
        <v>1014</v>
      </c>
      <c r="I327" s="8">
        <v>26</v>
      </c>
    </row>
    <row r="328" spans="1:9" x14ac:dyDescent="0.25">
      <c r="A328" s="2" t="s">
        <v>11</v>
      </c>
      <c r="B328" s="2" t="s">
        <v>12</v>
      </c>
      <c r="C328" s="6">
        <v>41094</v>
      </c>
      <c r="D328" s="7">
        <v>0.58333333333333337</v>
      </c>
      <c r="E328" s="8">
        <v>645</v>
      </c>
      <c r="F328" s="8">
        <v>6057</v>
      </c>
      <c r="G328" s="8">
        <v>4632</v>
      </c>
      <c r="H328" s="8">
        <v>1391</v>
      </c>
      <c r="I328" s="8">
        <v>34</v>
      </c>
    </row>
    <row r="329" spans="1:9" x14ac:dyDescent="0.25">
      <c r="A329" s="2" t="s">
        <v>11</v>
      </c>
      <c r="B329" s="2" t="s">
        <v>12</v>
      </c>
      <c r="C329" s="6">
        <v>41094</v>
      </c>
      <c r="D329" s="7">
        <v>0.60416666666666663</v>
      </c>
      <c r="E329" s="8">
        <v>626</v>
      </c>
      <c r="F329" s="8">
        <v>5651</v>
      </c>
      <c r="G329" s="8">
        <v>4574</v>
      </c>
      <c r="H329" s="8">
        <v>1029</v>
      </c>
      <c r="I329" s="8">
        <v>48</v>
      </c>
    </row>
    <row r="330" spans="1:9" x14ac:dyDescent="0.25">
      <c r="A330" s="2" t="s">
        <v>11</v>
      </c>
      <c r="B330" s="2" t="s">
        <v>12</v>
      </c>
      <c r="C330" s="6">
        <v>41094</v>
      </c>
      <c r="D330" s="7">
        <v>0.625</v>
      </c>
      <c r="E330" s="8">
        <v>674</v>
      </c>
      <c r="F330" s="8">
        <v>5030</v>
      </c>
      <c r="G330" s="8">
        <v>3772</v>
      </c>
      <c r="H330" s="8">
        <v>1202</v>
      </c>
      <c r="I330" s="8">
        <v>56</v>
      </c>
    </row>
    <row r="331" spans="1:9" x14ac:dyDescent="0.25">
      <c r="A331" s="2" t="s">
        <v>11</v>
      </c>
      <c r="B331" s="2" t="s">
        <v>12</v>
      </c>
      <c r="C331" s="6">
        <v>41094</v>
      </c>
      <c r="D331" s="7">
        <v>0.64583333333333337</v>
      </c>
      <c r="E331" s="8">
        <v>684</v>
      </c>
      <c r="F331" s="8">
        <v>5773</v>
      </c>
      <c r="G331" s="8">
        <v>4341</v>
      </c>
      <c r="H331" s="8">
        <v>1396</v>
      </c>
      <c r="I331" s="8">
        <v>36</v>
      </c>
    </row>
    <row r="332" spans="1:9" x14ac:dyDescent="0.25">
      <c r="A332" s="2" t="s">
        <v>11</v>
      </c>
      <c r="B332" s="2" t="s">
        <v>12</v>
      </c>
      <c r="C332" s="6">
        <v>41094</v>
      </c>
      <c r="D332" s="7">
        <v>0.66666666666666663</v>
      </c>
      <c r="E332" s="8">
        <v>622</v>
      </c>
      <c r="F332" s="8">
        <v>5478</v>
      </c>
      <c r="G332" s="8">
        <v>4687</v>
      </c>
      <c r="H332" s="8">
        <v>763</v>
      </c>
      <c r="I332" s="8">
        <v>28</v>
      </c>
    </row>
    <row r="333" spans="1:9" x14ac:dyDescent="0.25">
      <c r="A333" s="2" t="s">
        <v>11</v>
      </c>
      <c r="B333" s="2" t="s">
        <v>12</v>
      </c>
      <c r="C333" s="6">
        <v>41094</v>
      </c>
      <c r="D333" s="7">
        <v>0.6875</v>
      </c>
      <c r="E333" s="8">
        <v>604</v>
      </c>
      <c r="F333" s="8">
        <v>6215</v>
      </c>
      <c r="G333" s="8">
        <v>4832</v>
      </c>
      <c r="H333" s="8">
        <v>1337</v>
      </c>
      <c r="I333" s="8">
        <v>46</v>
      </c>
    </row>
    <row r="334" spans="1:9" x14ac:dyDescent="0.25">
      <c r="A334" s="2" t="s">
        <v>11</v>
      </c>
      <c r="B334" s="2" t="s">
        <v>12</v>
      </c>
      <c r="C334" s="6">
        <v>41094</v>
      </c>
      <c r="D334" s="7">
        <v>0.70833333333333337</v>
      </c>
      <c r="E334" s="8">
        <v>570</v>
      </c>
      <c r="F334" s="8">
        <v>5884</v>
      </c>
      <c r="G334" s="8">
        <v>4462</v>
      </c>
      <c r="H334" s="8">
        <v>1387</v>
      </c>
      <c r="I334" s="8">
        <v>35</v>
      </c>
    </row>
    <row r="335" spans="1:9" x14ac:dyDescent="0.25">
      <c r="A335" s="2" t="s">
        <v>11</v>
      </c>
      <c r="B335" s="2" t="s">
        <v>12</v>
      </c>
      <c r="C335" s="6">
        <v>41094</v>
      </c>
      <c r="D335" s="7">
        <v>0.72916666666666663</v>
      </c>
      <c r="E335" s="8">
        <v>589</v>
      </c>
      <c r="F335" s="8">
        <v>5713</v>
      </c>
      <c r="G335" s="8">
        <v>4528</v>
      </c>
      <c r="H335" s="8">
        <v>1145</v>
      </c>
      <c r="I335" s="8">
        <v>40</v>
      </c>
    </row>
    <row r="336" spans="1:9" x14ac:dyDescent="0.25">
      <c r="A336" s="2" t="s">
        <v>11</v>
      </c>
      <c r="B336" s="2" t="s">
        <v>12</v>
      </c>
      <c r="C336" s="6">
        <v>41094</v>
      </c>
      <c r="D336" s="7">
        <v>0.75</v>
      </c>
      <c r="E336" s="8">
        <v>480</v>
      </c>
      <c r="F336" s="8">
        <v>4445</v>
      </c>
      <c r="G336" s="8">
        <v>3702</v>
      </c>
      <c r="H336" s="8">
        <v>706</v>
      </c>
      <c r="I336" s="8">
        <v>37</v>
      </c>
    </row>
    <row r="337" spans="1:9" x14ac:dyDescent="0.25">
      <c r="A337" s="2" t="s">
        <v>11</v>
      </c>
      <c r="B337" s="2" t="s">
        <v>12</v>
      </c>
      <c r="C337" s="6">
        <v>41094</v>
      </c>
      <c r="D337" s="7">
        <v>0.77083333333333337</v>
      </c>
      <c r="E337" s="8">
        <v>449</v>
      </c>
      <c r="F337" s="8">
        <v>4202</v>
      </c>
      <c r="G337" s="8">
        <v>3312</v>
      </c>
      <c r="H337" s="8">
        <v>870</v>
      </c>
      <c r="I337" s="8">
        <v>20</v>
      </c>
    </row>
    <row r="338" spans="1:9" x14ac:dyDescent="0.25">
      <c r="A338" s="2" t="s">
        <v>11</v>
      </c>
      <c r="B338" s="2" t="s">
        <v>12</v>
      </c>
      <c r="C338" s="6">
        <v>41094</v>
      </c>
      <c r="D338" s="7">
        <v>0.79166666666666663</v>
      </c>
      <c r="E338" s="8">
        <v>432</v>
      </c>
      <c r="F338" s="8">
        <v>3802</v>
      </c>
      <c r="G338" s="8">
        <v>3233</v>
      </c>
      <c r="H338" s="8">
        <v>554</v>
      </c>
      <c r="I338" s="8">
        <v>15</v>
      </c>
    </row>
    <row r="339" spans="1:9" x14ac:dyDescent="0.25">
      <c r="A339" s="2" t="s">
        <v>11</v>
      </c>
      <c r="B339" s="2" t="s">
        <v>12</v>
      </c>
      <c r="C339" s="6">
        <v>41094</v>
      </c>
      <c r="D339" s="7">
        <v>0.8125</v>
      </c>
      <c r="E339" s="8">
        <v>434</v>
      </c>
      <c r="F339" s="8">
        <v>4172</v>
      </c>
      <c r="G339" s="8">
        <v>3236</v>
      </c>
      <c r="H339" s="8">
        <v>929</v>
      </c>
      <c r="I339" s="8">
        <v>7</v>
      </c>
    </row>
    <row r="340" spans="1:9" x14ac:dyDescent="0.25">
      <c r="A340" s="2" t="s">
        <v>11</v>
      </c>
      <c r="B340" s="2" t="s">
        <v>12</v>
      </c>
      <c r="C340" s="6">
        <v>41095</v>
      </c>
      <c r="D340" s="7">
        <v>0.33333333333333331</v>
      </c>
      <c r="E340" s="8">
        <v>473</v>
      </c>
      <c r="F340" s="8">
        <v>1074</v>
      </c>
      <c r="G340" s="8">
        <v>1002</v>
      </c>
      <c r="H340" s="8">
        <v>68</v>
      </c>
      <c r="I340" s="8">
        <v>4</v>
      </c>
    </row>
    <row r="341" spans="1:9" x14ac:dyDescent="0.25">
      <c r="A341" s="2" t="s">
        <v>11</v>
      </c>
      <c r="B341" s="2" t="s">
        <v>12</v>
      </c>
      <c r="C341" s="6">
        <v>41095</v>
      </c>
      <c r="D341" s="7">
        <v>0.35416666666666669</v>
      </c>
      <c r="E341" s="8">
        <v>499</v>
      </c>
      <c r="F341" s="8">
        <v>1632</v>
      </c>
      <c r="G341" s="8">
        <v>1492</v>
      </c>
      <c r="H341" s="8">
        <v>125</v>
      </c>
      <c r="I341" s="8">
        <v>15</v>
      </c>
    </row>
    <row r="342" spans="1:9" x14ac:dyDescent="0.25">
      <c r="A342" s="2" t="s">
        <v>11</v>
      </c>
      <c r="B342" s="2" t="s">
        <v>12</v>
      </c>
      <c r="C342" s="6">
        <v>41095</v>
      </c>
      <c r="D342" s="7">
        <v>0.375</v>
      </c>
      <c r="E342" s="8">
        <v>634</v>
      </c>
      <c r="F342" s="8">
        <v>4471</v>
      </c>
      <c r="G342" s="8">
        <v>3415</v>
      </c>
      <c r="H342" s="8">
        <v>1032</v>
      </c>
      <c r="I342" s="8">
        <v>24</v>
      </c>
    </row>
    <row r="343" spans="1:9" x14ac:dyDescent="0.25">
      <c r="A343" s="2" t="s">
        <v>11</v>
      </c>
      <c r="B343" s="2" t="s">
        <v>12</v>
      </c>
      <c r="C343" s="6">
        <v>41095</v>
      </c>
      <c r="D343" s="7">
        <v>0.39583333333333331</v>
      </c>
      <c r="E343" s="8">
        <v>609</v>
      </c>
      <c r="F343" s="8">
        <v>4486</v>
      </c>
      <c r="G343" s="8">
        <v>3980</v>
      </c>
      <c r="H343" s="8">
        <v>458</v>
      </c>
      <c r="I343" s="8">
        <v>48</v>
      </c>
    </row>
    <row r="344" spans="1:9" x14ac:dyDescent="0.25">
      <c r="A344" s="2" t="s">
        <v>11</v>
      </c>
      <c r="B344" s="2" t="s">
        <v>12</v>
      </c>
      <c r="C344" s="6">
        <v>41095</v>
      </c>
      <c r="D344" s="7">
        <v>0.41666666666666669</v>
      </c>
      <c r="E344" s="8">
        <v>575</v>
      </c>
      <c r="F344" s="8">
        <v>4373</v>
      </c>
      <c r="G344" s="8">
        <v>3939</v>
      </c>
      <c r="H344" s="8">
        <v>403</v>
      </c>
      <c r="I344" s="8">
        <v>31</v>
      </c>
    </row>
    <row r="345" spans="1:9" x14ac:dyDescent="0.25">
      <c r="A345" s="2" t="s">
        <v>11</v>
      </c>
      <c r="B345" s="2" t="s">
        <v>12</v>
      </c>
      <c r="C345" s="6">
        <v>41095</v>
      </c>
      <c r="D345" s="7">
        <v>0.4375</v>
      </c>
      <c r="E345" s="8">
        <v>569</v>
      </c>
      <c r="F345" s="8">
        <v>4675</v>
      </c>
      <c r="G345" s="8">
        <v>4105</v>
      </c>
      <c r="H345" s="8">
        <v>532</v>
      </c>
      <c r="I345" s="8">
        <v>38</v>
      </c>
    </row>
    <row r="346" spans="1:9" x14ac:dyDescent="0.25">
      <c r="A346" s="2" t="s">
        <v>11</v>
      </c>
      <c r="B346" s="2" t="s">
        <v>12</v>
      </c>
      <c r="C346" s="6">
        <v>41095</v>
      </c>
      <c r="D346" s="7">
        <v>0.45833333333333331</v>
      </c>
      <c r="E346" s="8">
        <v>574</v>
      </c>
      <c r="F346" s="8">
        <v>4768</v>
      </c>
      <c r="G346" s="8">
        <v>4219</v>
      </c>
      <c r="H346" s="8">
        <v>504</v>
      </c>
      <c r="I346" s="8">
        <v>45</v>
      </c>
    </row>
    <row r="347" spans="1:9" x14ac:dyDescent="0.25">
      <c r="A347" s="2" t="s">
        <v>11</v>
      </c>
      <c r="B347" s="2" t="s">
        <v>12</v>
      </c>
      <c r="C347" s="6">
        <v>41095</v>
      </c>
      <c r="D347" s="7">
        <v>0.47916666666666669</v>
      </c>
      <c r="E347" s="8">
        <v>645</v>
      </c>
      <c r="F347" s="8">
        <v>4853</v>
      </c>
      <c r="G347" s="8">
        <v>4177</v>
      </c>
      <c r="H347" s="8">
        <v>645</v>
      </c>
      <c r="I347" s="8">
        <v>31</v>
      </c>
    </row>
    <row r="348" spans="1:9" x14ac:dyDescent="0.25">
      <c r="A348" s="2" t="s">
        <v>11</v>
      </c>
      <c r="B348" s="2" t="s">
        <v>12</v>
      </c>
      <c r="C348" s="6">
        <v>41095</v>
      </c>
      <c r="D348" s="7">
        <v>0.5</v>
      </c>
      <c r="E348" s="8">
        <v>641</v>
      </c>
      <c r="F348" s="8">
        <v>4334</v>
      </c>
      <c r="G348" s="8">
        <v>3779</v>
      </c>
      <c r="H348" s="8">
        <v>535</v>
      </c>
      <c r="I348" s="8">
        <v>20</v>
      </c>
    </row>
    <row r="349" spans="1:9" x14ac:dyDescent="0.25">
      <c r="A349" s="2" t="s">
        <v>11</v>
      </c>
      <c r="B349" s="2" t="s">
        <v>12</v>
      </c>
      <c r="C349" s="6">
        <v>41095</v>
      </c>
      <c r="D349" s="7">
        <v>0.52083333333333337</v>
      </c>
      <c r="E349" s="8">
        <v>625</v>
      </c>
      <c r="F349" s="8">
        <v>3866</v>
      </c>
      <c r="G349" s="8">
        <v>3406</v>
      </c>
      <c r="H349" s="8">
        <v>437</v>
      </c>
      <c r="I349" s="8">
        <v>23</v>
      </c>
    </row>
    <row r="350" spans="1:9" x14ac:dyDescent="0.25">
      <c r="A350" s="2" t="s">
        <v>11</v>
      </c>
      <c r="B350" s="2" t="s">
        <v>12</v>
      </c>
      <c r="C350" s="6">
        <v>41095</v>
      </c>
      <c r="D350" s="7">
        <v>0.54166666666666663</v>
      </c>
      <c r="E350" s="8">
        <v>629</v>
      </c>
      <c r="F350" s="8">
        <v>4006</v>
      </c>
      <c r="G350" s="8">
        <v>3514</v>
      </c>
      <c r="H350" s="8">
        <v>472</v>
      </c>
      <c r="I350" s="8">
        <v>20</v>
      </c>
    </row>
    <row r="351" spans="1:9" x14ac:dyDescent="0.25">
      <c r="A351" s="2" t="s">
        <v>11</v>
      </c>
      <c r="B351" s="2" t="s">
        <v>12</v>
      </c>
      <c r="C351" s="6">
        <v>41095</v>
      </c>
      <c r="D351" s="7">
        <v>0.5625</v>
      </c>
      <c r="E351" s="8">
        <v>640</v>
      </c>
      <c r="F351" s="8">
        <v>4412</v>
      </c>
      <c r="G351" s="8">
        <v>3890</v>
      </c>
      <c r="H351" s="8">
        <v>503</v>
      </c>
      <c r="I351" s="8">
        <v>19</v>
      </c>
    </row>
    <row r="352" spans="1:9" x14ac:dyDescent="0.25">
      <c r="A352" s="2" t="s">
        <v>11</v>
      </c>
      <c r="B352" s="2" t="s">
        <v>12</v>
      </c>
      <c r="C352" s="6">
        <v>41095</v>
      </c>
      <c r="D352" s="7">
        <v>0.58333333333333337</v>
      </c>
      <c r="E352" s="8">
        <v>578</v>
      </c>
      <c r="F352" s="8">
        <v>5099</v>
      </c>
      <c r="G352" s="8">
        <v>4364</v>
      </c>
      <c r="H352" s="8">
        <v>696</v>
      </c>
      <c r="I352" s="8">
        <v>39</v>
      </c>
    </row>
    <row r="353" spans="1:9" x14ac:dyDescent="0.25">
      <c r="A353" s="2" t="s">
        <v>11</v>
      </c>
      <c r="B353" s="2" t="s">
        <v>12</v>
      </c>
      <c r="C353" s="6">
        <v>41095</v>
      </c>
      <c r="D353" s="7">
        <v>0.60416666666666663</v>
      </c>
      <c r="E353" s="8">
        <v>666</v>
      </c>
      <c r="F353" s="8">
        <v>4939</v>
      </c>
      <c r="G353" s="8">
        <v>4074</v>
      </c>
      <c r="H353" s="8">
        <v>831</v>
      </c>
      <c r="I353" s="8">
        <v>34</v>
      </c>
    </row>
    <row r="354" spans="1:9" x14ac:dyDescent="0.25">
      <c r="A354" s="2" t="s">
        <v>11</v>
      </c>
      <c r="B354" s="2" t="s">
        <v>12</v>
      </c>
      <c r="C354" s="6">
        <v>41095</v>
      </c>
      <c r="D354" s="7">
        <v>0.625</v>
      </c>
      <c r="E354" s="8">
        <v>724</v>
      </c>
      <c r="F354" s="8">
        <v>4102</v>
      </c>
      <c r="G354" s="8">
        <v>3299</v>
      </c>
      <c r="H354" s="8">
        <v>770</v>
      </c>
      <c r="I354" s="8">
        <v>33</v>
      </c>
    </row>
    <row r="355" spans="1:9" x14ac:dyDescent="0.25">
      <c r="A355" s="2" t="s">
        <v>11</v>
      </c>
      <c r="B355" s="2" t="s">
        <v>12</v>
      </c>
      <c r="C355" s="6">
        <v>41095</v>
      </c>
      <c r="D355" s="7">
        <v>0.64583333333333337</v>
      </c>
      <c r="E355" s="8">
        <v>699</v>
      </c>
      <c r="F355" s="8">
        <v>4967</v>
      </c>
      <c r="G355" s="8">
        <v>3904</v>
      </c>
      <c r="H355" s="8">
        <v>1027</v>
      </c>
      <c r="I355" s="8">
        <v>36</v>
      </c>
    </row>
    <row r="356" spans="1:9" x14ac:dyDescent="0.25">
      <c r="A356" s="2" t="s">
        <v>11</v>
      </c>
      <c r="B356" s="2" t="s">
        <v>12</v>
      </c>
      <c r="C356" s="6">
        <v>41095</v>
      </c>
      <c r="D356" s="7">
        <v>0.66666666666666663</v>
      </c>
      <c r="E356" s="8">
        <v>648</v>
      </c>
      <c r="F356" s="8">
        <v>5178</v>
      </c>
      <c r="G356" s="8">
        <v>4267</v>
      </c>
      <c r="H356" s="8">
        <v>885</v>
      </c>
      <c r="I356" s="8">
        <v>26</v>
      </c>
    </row>
    <row r="357" spans="1:9" x14ac:dyDescent="0.25">
      <c r="A357" s="2" t="s">
        <v>11</v>
      </c>
      <c r="B357" s="2" t="s">
        <v>12</v>
      </c>
      <c r="C357" s="6">
        <v>41095</v>
      </c>
      <c r="D357" s="7">
        <v>0.6875</v>
      </c>
      <c r="E357" s="8">
        <v>617</v>
      </c>
      <c r="F357" s="8">
        <v>5487</v>
      </c>
      <c r="G357" s="8">
        <v>4409</v>
      </c>
      <c r="H357" s="8">
        <v>1033</v>
      </c>
      <c r="I357" s="8">
        <v>45</v>
      </c>
    </row>
    <row r="358" spans="1:9" x14ac:dyDescent="0.25">
      <c r="A358" s="2" t="s">
        <v>11</v>
      </c>
      <c r="B358" s="2" t="s">
        <v>12</v>
      </c>
      <c r="C358" s="6">
        <v>41095</v>
      </c>
      <c r="D358" s="7">
        <v>0.70833333333333337</v>
      </c>
      <c r="E358" s="8">
        <v>591</v>
      </c>
      <c r="F358" s="8">
        <v>5291</v>
      </c>
      <c r="G358" s="8">
        <v>4202</v>
      </c>
      <c r="H358" s="8">
        <v>1061</v>
      </c>
      <c r="I358" s="8">
        <v>28</v>
      </c>
    </row>
    <row r="359" spans="1:9" x14ac:dyDescent="0.25">
      <c r="A359" s="2" t="s">
        <v>11</v>
      </c>
      <c r="B359" s="2" t="s">
        <v>12</v>
      </c>
      <c r="C359" s="6">
        <v>41095</v>
      </c>
      <c r="D359" s="7">
        <v>0.72916666666666663</v>
      </c>
      <c r="E359" s="8">
        <v>569</v>
      </c>
      <c r="F359" s="8">
        <v>5332</v>
      </c>
      <c r="G359" s="8">
        <v>4288</v>
      </c>
      <c r="H359" s="8">
        <v>1018</v>
      </c>
      <c r="I359" s="8">
        <v>26</v>
      </c>
    </row>
    <row r="360" spans="1:9" x14ac:dyDescent="0.25">
      <c r="A360" s="2" t="s">
        <v>11</v>
      </c>
      <c r="B360" s="2" t="s">
        <v>12</v>
      </c>
      <c r="C360" s="6">
        <v>41095</v>
      </c>
      <c r="D360" s="7">
        <v>0.75</v>
      </c>
      <c r="E360" s="8">
        <v>498</v>
      </c>
      <c r="F360" s="8">
        <v>4446</v>
      </c>
      <c r="G360" s="8">
        <v>3741</v>
      </c>
      <c r="H360" s="8">
        <v>671</v>
      </c>
      <c r="I360" s="8">
        <v>34</v>
      </c>
    </row>
    <row r="361" spans="1:9" x14ac:dyDescent="0.25">
      <c r="A361" s="2" t="s">
        <v>11</v>
      </c>
      <c r="B361" s="2" t="s">
        <v>12</v>
      </c>
      <c r="C361" s="6">
        <v>41095</v>
      </c>
      <c r="D361" s="7">
        <v>0.77083333333333337</v>
      </c>
      <c r="E361" s="8">
        <v>455</v>
      </c>
      <c r="F361" s="8">
        <v>4425</v>
      </c>
      <c r="G361" s="8">
        <v>3626</v>
      </c>
      <c r="H361" s="8">
        <v>784</v>
      </c>
      <c r="I361" s="8">
        <v>15</v>
      </c>
    </row>
    <row r="362" spans="1:9" x14ac:dyDescent="0.25">
      <c r="A362" s="2" t="s">
        <v>11</v>
      </c>
      <c r="B362" s="2" t="s">
        <v>12</v>
      </c>
      <c r="C362" s="6">
        <v>41095</v>
      </c>
      <c r="D362" s="7">
        <v>0.79166666666666663</v>
      </c>
      <c r="E362" s="8">
        <v>467</v>
      </c>
      <c r="F362" s="8">
        <v>3867</v>
      </c>
      <c r="G362" s="8">
        <v>3078</v>
      </c>
      <c r="H362" s="8">
        <v>777</v>
      </c>
      <c r="I362" s="8">
        <v>12</v>
      </c>
    </row>
    <row r="363" spans="1:9" x14ac:dyDescent="0.25">
      <c r="A363" s="2" t="s">
        <v>11</v>
      </c>
      <c r="B363" s="2" t="s">
        <v>12</v>
      </c>
      <c r="C363" s="6">
        <v>41095</v>
      </c>
      <c r="D363" s="7">
        <v>0.8125</v>
      </c>
      <c r="E363" s="8">
        <v>458</v>
      </c>
      <c r="F363" s="8">
        <v>3882</v>
      </c>
      <c r="G363" s="8">
        <v>3042</v>
      </c>
      <c r="H363" s="8">
        <v>831</v>
      </c>
      <c r="I363" s="8">
        <v>9</v>
      </c>
    </row>
    <row r="364" spans="1:9" x14ac:dyDescent="0.25">
      <c r="A364" s="2" t="s">
        <v>13</v>
      </c>
      <c r="B364" s="2" t="s">
        <v>14</v>
      </c>
      <c r="C364" s="6">
        <v>41091</v>
      </c>
      <c r="D364" s="7">
        <v>0.33333333333333331</v>
      </c>
      <c r="E364" s="8">
        <v>193</v>
      </c>
      <c r="F364" s="8">
        <v>5</v>
      </c>
      <c r="G364" s="8">
        <v>5</v>
      </c>
      <c r="H364" s="8">
        <v>0</v>
      </c>
      <c r="I364" s="8">
        <v>0</v>
      </c>
    </row>
    <row r="365" spans="1:9" x14ac:dyDescent="0.25">
      <c r="A365" s="2" t="s">
        <v>13</v>
      </c>
      <c r="B365" s="2" t="s">
        <v>14</v>
      </c>
      <c r="C365" s="6">
        <v>41091</v>
      </c>
      <c r="D365" s="7">
        <v>0.35416666666666669</v>
      </c>
      <c r="E365" s="8">
        <v>214</v>
      </c>
      <c r="F365" s="8">
        <v>1</v>
      </c>
      <c r="G365" s="8">
        <v>1</v>
      </c>
      <c r="H365" s="8">
        <v>0</v>
      </c>
      <c r="I365" s="8">
        <v>0</v>
      </c>
    </row>
    <row r="366" spans="1:9" x14ac:dyDescent="0.25">
      <c r="A366" s="2" t="s">
        <v>13</v>
      </c>
      <c r="B366" s="2" t="s">
        <v>14</v>
      </c>
      <c r="C366" s="6">
        <v>41091</v>
      </c>
      <c r="D366" s="7">
        <v>0.375</v>
      </c>
      <c r="E366" s="8">
        <v>281</v>
      </c>
      <c r="F366" s="8">
        <v>5</v>
      </c>
      <c r="G366" s="8">
        <v>5</v>
      </c>
      <c r="H366" s="8">
        <v>0</v>
      </c>
      <c r="I366" s="8">
        <v>0</v>
      </c>
    </row>
    <row r="367" spans="1:9" x14ac:dyDescent="0.25">
      <c r="A367" s="2" t="s">
        <v>13</v>
      </c>
      <c r="B367" s="2" t="s">
        <v>14</v>
      </c>
      <c r="C367" s="6">
        <v>41091</v>
      </c>
      <c r="D367" s="7">
        <v>0.39583333333333331</v>
      </c>
      <c r="E367" s="8">
        <v>301</v>
      </c>
      <c r="F367" s="8">
        <v>6</v>
      </c>
      <c r="G367" s="8">
        <v>6</v>
      </c>
      <c r="H367" s="8">
        <v>0</v>
      </c>
      <c r="I367" s="8">
        <v>0</v>
      </c>
    </row>
    <row r="368" spans="1:9" x14ac:dyDescent="0.25">
      <c r="A368" s="2" t="s">
        <v>13</v>
      </c>
      <c r="B368" s="2" t="s">
        <v>14</v>
      </c>
      <c r="C368" s="6">
        <v>41091</v>
      </c>
      <c r="D368" s="7">
        <v>0.41666666666666669</v>
      </c>
      <c r="E368" s="8">
        <v>295</v>
      </c>
      <c r="F368" s="8">
        <v>4</v>
      </c>
      <c r="G368" s="8">
        <v>4</v>
      </c>
      <c r="H368" s="8">
        <v>0</v>
      </c>
      <c r="I368" s="8">
        <v>0</v>
      </c>
    </row>
    <row r="369" spans="1:9" x14ac:dyDescent="0.25">
      <c r="A369" s="2" t="s">
        <v>13</v>
      </c>
      <c r="B369" s="2" t="s">
        <v>14</v>
      </c>
      <c r="C369" s="6">
        <v>41091</v>
      </c>
      <c r="D369" s="7">
        <v>0.4375</v>
      </c>
      <c r="E369" s="8">
        <v>300</v>
      </c>
      <c r="F369" s="8">
        <v>3</v>
      </c>
      <c r="G369" s="8">
        <v>3</v>
      </c>
      <c r="H369" s="8">
        <v>0</v>
      </c>
      <c r="I369" s="8">
        <v>0</v>
      </c>
    </row>
    <row r="370" spans="1:9" x14ac:dyDescent="0.25">
      <c r="A370" s="2" t="s">
        <v>13</v>
      </c>
      <c r="B370" s="2" t="s">
        <v>14</v>
      </c>
      <c r="C370" s="6">
        <v>41091</v>
      </c>
      <c r="D370" s="7">
        <v>0.45833333333333331</v>
      </c>
      <c r="E370" s="8">
        <v>320</v>
      </c>
      <c r="F370" s="8">
        <v>2</v>
      </c>
      <c r="G370" s="8">
        <v>2</v>
      </c>
      <c r="H370" s="8">
        <v>0</v>
      </c>
      <c r="I370" s="8">
        <v>0</v>
      </c>
    </row>
    <row r="371" spans="1:9" x14ac:dyDescent="0.25">
      <c r="A371" s="2" t="s">
        <v>13</v>
      </c>
      <c r="B371" s="2" t="s">
        <v>14</v>
      </c>
      <c r="C371" s="6">
        <v>41091</v>
      </c>
      <c r="D371" s="7">
        <v>0.47916666666666669</v>
      </c>
      <c r="E371" s="8">
        <v>316</v>
      </c>
      <c r="F371" s="8">
        <v>6</v>
      </c>
      <c r="G371" s="8">
        <v>6</v>
      </c>
      <c r="H371" s="8">
        <v>0</v>
      </c>
      <c r="I371" s="8">
        <v>0</v>
      </c>
    </row>
    <row r="372" spans="1:9" x14ac:dyDescent="0.25">
      <c r="A372" s="2" t="s">
        <v>13</v>
      </c>
      <c r="B372" s="2" t="s">
        <v>14</v>
      </c>
      <c r="C372" s="6">
        <v>41091</v>
      </c>
      <c r="D372" s="7">
        <v>0.5</v>
      </c>
      <c r="E372" s="8">
        <v>294</v>
      </c>
      <c r="F372" s="8">
        <v>4</v>
      </c>
      <c r="G372" s="8">
        <v>4</v>
      </c>
      <c r="H372" s="8">
        <v>0</v>
      </c>
      <c r="I372" s="8">
        <v>0</v>
      </c>
    </row>
    <row r="373" spans="1:9" x14ac:dyDescent="0.25">
      <c r="A373" s="2" t="s">
        <v>13</v>
      </c>
      <c r="B373" s="2" t="s">
        <v>14</v>
      </c>
      <c r="C373" s="6">
        <v>41091</v>
      </c>
      <c r="D373" s="7">
        <v>0.52083333333333337</v>
      </c>
      <c r="E373" s="8">
        <v>279</v>
      </c>
      <c r="F373" s="8">
        <v>9</v>
      </c>
      <c r="G373" s="8">
        <v>9</v>
      </c>
      <c r="H373" s="8">
        <v>0</v>
      </c>
      <c r="I373" s="8">
        <v>0</v>
      </c>
    </row>
    <row r="374" spans="1:9" x14ac:dyDescent="0.25">
      <c r="A374" s="2" t="s">
        <v>13</v>
      </c>
      <c r="B374" s="2" t="s">
        <v>14</v>
      </c>
      <c r="C374" s="6">
        <v>41091</v>
      </c>
      <c r="D374" s="7">
        <v>0.54166666666666663</v>
      </c>
      <c r="E374" s="8">
        <v>293</v>
      </c>
      <c r="F374" s="8">
        <v>5</v>
      </c>
      <c r="G374" s="8">
        <v>1</v>
      </c>
      <c r="H374" s="8">
        <v>4</v>
      </c>
      <c r="I374" s="8">
        <v>0</v>
      </c>
    </row>
    <row r="375" spans="1:9" x14ac:dyDescent="0.25">
      <c r="A375" s="2" t="s">
        <v>13</v>
      </c>
      <c r="B375" s="2" t="s">
        <v>14</v>
      </c>
      <c r="C375" s="6">
        <v>41091</v>
      </c>
      <c r="D375" s="7">
        <v>0.5625</v>
      </c>
      <c r="E375" s="8">
        <v>311</v>
      </c>
      <c r="F375" s="8">
        <v>5</v>
      </c>
      <c r="G375" s="8">
        <v>5</v>
      </c>
      <c r="H375" s="8">
        <v>0</v>
      </c>
      <c r="I375" s="8">
        <v>0</v>
      </c>
    </row>
    <row r="376" spans="1:9" x14ac:dyDescent="0.25">
      <c r="A376" s="2" t="s">
        <v>13</v>
      </c>
      <c r="B376" s="2" t="s">
        <v>14</v>
      </c>
      <c r="C376" s="6">
        <v>41091</v>
      </c>
      <c r="D376" s="7">
        <v>0.58333333333333337</v>
      </c>
      <c r="E376" s="8">
        <v>324</v>
      </c>
      <c r="F376" s="8">
        <v>1</v>
      </c>
      <c r="G376" s="8">
        <v>1</v>
      </c>
      <c r="H376" s="8">
        <v>0</v>
      </c>
      <c r="I376" s="8">
        <v>0</v>
      </c>
    </row>
    <row r="377" spans="1:9" x14ac:dyDescent="0.25">
      <c r="A377" s="2" t="s">
        <v>13</v>
      </c>
      <c r="B377" s="2" t="s">
        <v>14</v>
      </c>
      <c r="C377" s="6">
        <v>41091</v>
      </c>
      <c r="D377" s="7">
        <v>0.60416666666666663</v>
      </c>
      <c r="E377" s="8">
        <v>356</v>
      </c>
      <c r="F377" s="8">
        <v>1</v>
      </c>
      <c r="G377" s="8">
        <v>1</v>
      </c>
      <c r="H377" s="8">
        <v>0</v>
      </c>
      <c r="I377" s="8">
        <v>0</v>
      </c>
    </row>
    <row r="378" spans="1:9" x14ac:dyDescent="0.25">
      <c r="A378" s="2" t="s">
        <v>13</v>
      </c>
      <c r="B378" s="2" t="s">
        <v>14</v>
      </c>
      <c r="C378" s="6">
        <v>41091</v>
      </c>
      <c r="D378" s="7">
        <v>0.625</v>
      </c>
      <c r="E378" s="8">
        <v>213</v>
      </c>
      <c r="F378" s="8">
        <v>1</v>
      </c>
      <c r="G378" s="8">
        <v>1</v>
      </c>
      <c r="H378" s="8">
        <v>0</v>
      </c>
      <c r="I378" s="8">
        <v>0</v>
      </c>
    </row>
    <row r="379" spans="1:9" x14ac:dyDescent="0.25">
      <c r="A379" s="2" t="s">
        <v>13</v>
      </c>
      <c r="B379" s="2" t="s">
        <v>14</v>
      </c>
      <c r="C379" s="6">
        <v>41091</v>
      </c>
      <c r="D379" s="7">
        <v>0.64583333333333337</v>
      </c>
      <c r="E379" s="8">
        <v>206</v>
      </c>
      <c r="F379" s="8">
        <v>1</v>
      </c>
      <c r="G379" s="8">
        <v>1</v>
      </c>
      <c r="H379" s="8">
        <v>0</v>
      </c>
      <c r="I379" s="8">
        <v>0</v>
      </c>
    </row>
    <row r="380" spans="1:9" x14ac:dyDescent="0.25">
      <c r="A380" s="2" t="s">
        <v>13</v>
      </c>
      <c r="B380" s="2" t="s">
        <v>14</v>
      </c>
      <c r="C380" s="6">
        <v>41091</v>
      </c>
      <c r="D380" s="7">
        <v>0.66666666666666663</v>
      </c>
      <c r="E380" s="8">
        <v>210</v>
      </c>
      <c r="F380" s="8">
        <v>2</v>
      </c>
      <c r="G380" s="8">
        <v>2</v>
      </c>
      <c r="H380" s="8">
        <v>0</v>
      </c>
      <c r="I380" s="8">
        <v>0</v>
      </c>
    </row>
    <row r="381" spans="1:9" x14ac:dyDescent="0.25">
      <c r="A381" s="2" t="s">
        <v>13</v>
      </c>
      <c r="B381" s="2" t="s">
        <v>14</v>
      </c>
      <c r="C381" s="6">
        <v>41091</v>
      </c>
      <c r="D381" s="7">
        <v>0.6875</v>
      </c>
      <c r="E381" s="8">
        <v>217</v>
      </c>
      <c r="F381" s="8">
        <v>3</v>
      </c>
      <c r="G381" s="8">
        <v>3</v>
      </c>
      <c r="H381" s="8">
        <v>0</v>
      </c>
      <c r="I381" s="8">
        <v>0</v>
      </c>
    </row>
    <row r="382" spans="1:9" x14ac:dyDescent="0.25">
      <c r="A382" s="2" t="s">
        <v>13</v>
      </c>
      <c r="B382" s="2" t="s">
        <v>14</v>
      </c>
      <c r="C382" s="6">
        <v>41091</v>
      </c>
      <c r="D382" s="7">
        <v>0.70833333333333337</v>
      </c>
      <c r="E382" s="8">
        <v>221</v>
      </c>
      <c r="F382" s="8">
        <v>5</v>
      </c>
      <c r="G382" s="8">
        <v>5</v>
      </c>
      <c r="H382" s="8">
        <v>0</v>
      </c>
      <c r="I382" s="8">
        <v>0</v>
      </c>
    </row>
    <row r="383" spans="1:9" x14ac:dyDescent="0.25">
      <c r="A383" s="2" t="s">
        <v>13</v>
      </c>
      <c r="B383" s="2" t="s">
        <v>14</v>
      </c>
      <c r="C383" s="6">
        <v>41091</v>
      </c>
      <c r="D383" s="7">
        <v>0.72916666666666663</v>
      </c>
      <c r="E383" s="8">
        <v>227</v>
      </c>
      <c r="F383" s="8">
        <v>2</v>
      </c>
      <c r="G383" s="8">
        <v>2</v>
      </c>
      <c r="H383" s="8">
        <v>0</v>
      </c>
      <c r="I383" s="8">
        <v>0</v>
      </c>
    </row>
    <row r="384" spans="1:9" x14ac:dyDescent="0.25">
      <c r="A384" s="2" t="s">
        <v>13</v>
      </c>
      <c r="B384" s="2" t="s">
        <v>14</v>
      </c>
      <c r="C384" s="6">
        <v>41091</v>
      </c>
      <c r="D384" s="7">
        <v>0.75</v>
      </c>
      <c r="E384" s="8">
        <v>235</v>
      </c>
      <c r="F384" s="8">
        <v>3</v>
      </c>
      <c r="G384" s="8">
        <v>3</v>
      </c>
      <c r="H384" s="8">
        <v>0</v>
      </c>
      <c r="I384" s="8">
        <v>0</v>
      </c>
    </row>
    <row r="385" spans="1:9" x14ac:dyDescent="0.25">
      <c r="A385" s="2" t="s">
        <v>13</v>
      </c>
      <c r="B385" s="2" t="s">
        <v>14</v>
      </c>
      <c r="C385" s="6">
        <v>41091</v>
      </c>
      <c r="D385" s="7">
        <v>0.77083333333333337</v>
      </c>
      <c r="E385" s="8">
        <v>235</v>
      </c>
      <c r="F385" s="8">
        <v>7</v>
      </c>
      <c r="G385" s="8">
        <v>5</v>
      </c>
      <c r="H385" s="8">
        <v>2</v>
      </c>
      <c r="I385" s="8">
        <v>0</v>
      </c>
    </row>
    <row r="386" spans="1:9" x14ac:dyDescent="0.25">
      <c r="A386" s="2" t="s">
        <v>13</v>
      </c>
      <c r="B386" s="2" t="s">
        <v>14</v>
      </c>
      <c r="C386" s="6">
        <v>41091</v>
      </c>
      <c r="D386" s="7">
        <v>0.79166666666666663</v>
      </c>
      <c r="E386" s="8">
        <v>235</v>
      </c>
      <c r="F386" s="8">
        <v>4</v>
      </c>
      <c r="G386" s="8">
        <v>3</v>
      </c>
      <c r="H386" s="8">
        <v>1</v>
      </c>
      <c r="I386" s="8">
        <v>0</v>
      </c>
    </row>
    <row r="387" spans="1:9" x14ac:dyDescent="0.25">
      <c r="A387" s="2" t="s">
        <v>13</v>
      </c>
      <c r="B387" s="2" t="s">
        <v>14</v>
      </c>
      <c r="C387" s="6">
        <v>41091</v>
      </c>
      <c r="D387" s="7">
        <v>0.8125</v>
      </c>
      <c r="E387" s="8">
        <v>227</v>
      </c>
      <c r="F387" s="8">
        <v>5</v>
      </c>
      <c r="G387" s="8">
        <v>5</v>
      </c>
      <c r="H387" s="8">
        <v>0</v>
      </c>
      <c r="I387" s="8">
        <v>0</v>
      </c>
    </row>
    <row r="388" spans="1:9" x14ac:dyDescent="0.25">
      <c r="A388" s="2" t="s">
        <v>13</v>
      </c>
      <c r="B388" s="2" t="s">
        <v>14</v>
      </c>
      <c r="C388" s="6">
        <v>41092</v>
      </c>
      <c r="D388" s="7">
        <v>0.33333333333333331</v>
      </c>
      <c r="E388" s="8">
        <v>341</v>
      </c>
      <c r="F388" s="8">
        <v>81</v>
      </c>
      <c r="G388" s="8">
        <v>81</v>
      </c>
      <c r="H388" s="8">
        <v>0</v>
      </c>
      <c r="I388" s="8">
        <v>0</v>
      </c>
    </row>
    <row r="389" spans="1:9" x14ac:dyDescent="0.25">
      <c r="A389" s="2" t="s">
        <v>13</v>
      </c>
      <c r="B389" s="2" t="s">
        <v>14</v>
      </c>
      <c r="C389" s="6">
        <v>41092</v>
      </c>
      <c r="D389" s="7">
        <v>0.35416666666666669</v>
      </c>
      <c r="E389" s="8">
        <v>417</v>
      </c>
      <c r="F389" s="8">
        <v>153</v>
      </c>
      <c r="G389" s="8">
        <v>150</v>
      </c>
      <c r="H389" s="8">
        <v>3</v>
      </c>
      <c r="I389" s="8">
        <v>0</v>
      </c>
    </row>
    <row r="390" spans="1:9" x14ac:dyDescent="0.25">
      <c r="A390" s="2" t="s">
        <v>13</v>
      </c>
      <c r="B390" s="2" t="s">
        <v>14</v>
      </c>
      <c r="C390" s="6">
        <v>41092</v>
      </c>
      <c r="D390" s="7">
        <v>0.375</v>
      </c>
      <c r="E390" s="8">
        <v>430</v>
      </c>
      <c r="F390" s="8">
        <v>280</v>
      </c>
      <c r="G390" s="8">
        <v>248</v>
      </c>
      <c r="H390" s="8">
        <v>32</v>
      </c>
      <c r="I390" s="8">
        <v>0</v>
      </c>
    </row>
    <row r="391" spans="1:9" x14ac:dyDescent="0.25">
      <c r="A391" s="2" t="s">
        <v>13</v>
      </c>
      <c r="B391" s="2" t="s">
        <v>14</v>
      </c>
      <c r="C391" s="6">
        <v>41092</v>
      </c>
      <c r="D391" s="7">
        <v>0.39583333333333331</v>
      </c>
      <c r="E391" s="8">
        <v>470</v>
      </c>
      <c r="F391" s="8">
        <v>380</v>
      </c>
      <c r="G391" s="8">
        <v>291</v>
      </c>
      <c r="H391" s="8">
        <v>89</v>
      </c>
      <c r="I391" s="8">
        <v>0</v>
      </c>
    </row>
    <row r="392" spans="1:9" x14ac:dyDescent="0.25">
      <c r="A392" s="2" t="s">
        <v>13</v>
      </c>
      <c r="B392" s="2" t="s">
        <v>14</v>
      </c>
      <c r="C392" s="6">
        <v>41092</v>
      </c>
      <c r="D392" s="7">
        <v>0.41666666666666669</v>
      </c>
      <c r="E392" s="8">
        <v>510</v>
      </c>
      <c r="F392" s="8">
        <v>436</v>
      </c>
      <c r="G392" s="8">
        <v>349</v>
      </c>
      <c r="H392" s="8">
        <v>87</v>
      </c>
      <c r="I392" s="8">
        <v>0</v>
      </c>
    </row>
    <row r="393" spans="1:9" x14ac:dyDescent="0.25">
      <c r="A393" s="2" t="s">
        <v>13</v>
      </c>
      <c r="B393" s="2" t="s">
        <v>14</v>
      </c>
      <c r="C393" s="6">
        <v>41092</v>
      </c>
      <c r="D393" s="7">
        <v>0.4375</v>
      </c>
      <c r="E393" s="8">
        <v>517</v>
      </c>
      <c r="F393" s="8">
        <v>442</v>
      </c>
      <c r="G393" s="8">
        <v>344</v>
      </c>
      <c r="H393" s="8">
        <v>98</v>
      </c>
      <c r="I393" s="8">
        <v>0</v>
      </c>
    </row>
    <row r="394" spans="1:9" x14ac:dyDescent="0.25">
      <c r="A394" s="2" t="s">
        <v>13</v>
      </c>
      <c r="B394" s="2" t="s">
        <v>14</v>
      </c>
      <c r="C394" s="6">
        <v>41092</v>
      </c>
      <c r="D394" s="7">
        <v>0.45833333333333331</v>
      </c>
      <c r="E394" s="8">
        <v>537</v>
      </c>
      <c r="F394" s="8">
        <v>513</v>
      </c>
      <c r="G394" s="8">
        <v>380</v>
      </c>
      <c r="H394" s="8">
        <v>133</v>
      </c>
      <c r="I394" s="8">
        <v>0</v>
      </c>
    </row>
    <row r="395" spans="1:9" x14ac:dyDescent="0.25">
      <c r="A395" s="2" t="s">
        <v>13</v>
      </c>
      <c r="B395" s="2" t="s">
        <v>14</v>
      </c>
      <c r="C395" s="6">
        <v>41092</v>
      </c>
      <c r="D395" s="7">
        <v>0.47916666666666669</v>
      </c>
      <c r="E395" s="8">
        <v>540</v>
      </c>
      <c r="F395" s="8">
        <v>421</v>
      </c>
      <c r="G395" s="8">
        <v>337</v>
      </c>
      <c r="H395" s="8">
        <v>84</v>
      </c>
      <c r="I395" s="8">
        <v>0</v>
      </c>
    </row>
    <row r="396" spans="1:9" x14ac:dyDescent="0.25">
      <c r="A396" s="2" t="s">
        <v>13</v>
      </c>
      <c r="B396" s="2" t="s">
        <v>14</v>
      </c>
      <c r="C396" s="6">
        <v>41092</v>
      </c>
      <c r="D396" s="7">
        <v>0.5</v>
      </c>
      <c r="E396" s="8">
        <v>530</v>
      </c>
      <c r="F396" s="8">
        <v>298</v>
      </c>
      <c r="G396" s="8">
        <v>254</v>
      </c>
      <c r="H396" s="8">
        <v>44</v>
      </c>
      <c r="I396" s="8">
        <v>0</v>
      </c>
    </row>
    <row r="397" spans="1:9" x14ac:dyDescent="0.25">
      <c r="A397" s="2" t="s">
        <v>13</v>
      </c>
      <c r="B397" s="2" t="s">
        <v>14</v>
      </c>
      <c r="C397" s="6">
        <v>41092</v>
      </c>
      <c r="D397" s="7">
        <v>0.52083333333333337</v>
      </c>
      <c r="E397" s="8">
        <v>499</v>
      </c>
      <c r="F397" s="8">
        <v>279</v>
      </c>
      <c r="G397" s="8">
        <v>271</v>
      </c>
      <c r="H397" s="8">
        <v>8</v>
      </c>
      <c r="I397" s="8">
        <v>0</v>
      </c>
    </row>
    <row r="398" spans="1:9" x14ac:dyDescent="0.25">
      <c r="A398" s="2" t="s">
        <v>13</v>
      </c>
      <c r="B398" s="2" t="s">
        <v>14</v>
      </c>
      <c r="C398" s="6">
        <v>41092</v>
      </c>
      <c r="D398" s="7">
        <v>0.54166666666666663</v>
      </c>
      <c r="E398" s="8">
        <v>508</v>
      </c>
      <c r="F398" s="8">
        <v>266</v>
      </c>
      <c r="G398" s="8">
        <v>266</v>
      </c>
      <c r="H398" s="8">
        <v>0</v>
      </c>
      <c r="I398" s="8">
        <v>0</v>
      </c>
    </row>
    <row r="399" spans="1:9" x14ac:dyDescent="0.25">
      <c r="A399" s="2" t="s">
        <v>13</v>
      </c>
      <c r="B399" s="2" t="s">
        <v>14</v>
      </c>
      <c r="C399" s="6">
        <v>41092</v>
      </c>
      <c r="D399" s="7">
        <v>0.5625</v>
      </c>
      <c r="E399" s="8">
        <v>538</v>
      </c>
      <c r="F399" s="8">
        <v>317</v>
      </c>
      <c r="G399" s="8">
        <v>278</v>
      </c>
      <c r="H399" s="8">
        <v>39</v>
      </c>
      <c r="I399" s="8">
        <v>0</v>
      </c>
    </row>
    <row r="400" spans="1:9" x14ac:dyDescent="0.25">
      <c r="A400" s="2" t="s">
        <v>13</v>
      </c>
      <c r="B400" s="2" t="s">
        <v>14</v>
      </c>
      <c r="C400" s="6">
        <v>41092</v>
      </c>
      <c r="D400" s="7">
        <v>0.58333333333333337</v>
      </c>
      <c r="E400" s="8">
        <v>538</v>
      </c>
      <c r="F400" s="8">
        <v>386</v>
      </c>
      <c r="G400" s="8">
        <v>288</v>
      </c>
      <c r="H400" s="8">
        <v>98</v>
      </c>
      <c r="I400" s="8">
        <v>0</v>
      </c>
    </row>
    <row r="401" spans="1:9" x14ac:dyDescent="0.25">
      <c r="A401" s="2" t="s">
        <v>13</v>
      </c>
      <c r="B401" s="2" t="s">
        <v>14</v>
      </c>
      <c r="C401" s="6">
        <v>41092</v>
      </c>
      <c r="D401" s="7">
        <v>0.60416666666666663</v>
      </c>
      <c r="E401" s="8">
        <v>423</v>
      </c>
      <c r="F401" s="8">
        <v>445</v>
      </c>
      <c r="G401" s="8">
        <v>342</v>
      </c>
      <c r="H401" s="8">
        <v>103</v>
      </c>
      <c r="I401" s="8">
        <v>0</v>
      </c>
    </row>
    <row r="402" spans="1:9" x14ac:dyDescent="0.25">
      <c r="A402" s="2" t="s">
        <v>13</v>
      </c>
      <c r="B402" s="2" t="s">
        <v>14</v>
      </c>
      <c r="C402" s="6">
        <v>41092</v>
      </c>
      <c r="D402" s="7">
        <v>0.625</v>
      </c>
      <c r="E402" s="8">
        <v>401</v>
      </c>
      <c r="F402" s="8">
        <v>483</v>
      </c>
      <c r="G402" s="8">
        <v>391</v>
      </c>
      <c r="H402" s="8">
        <v>92</v>
      </c>
      <c r="I402" s="8">
        <v>0</v>
      </c>
    </row>
    <row r="403" spans="1:9" x14ac:dyDescent="0.25">
      <c r="A403" s="2" t="s">
        <v>13</v>
      </c>
      <c r="B403" s="2" t="s">
        <v>14</v>
      </c>
      <c r="C403" s="6">
        <v>41092</v>
      </c>
      <c r="D403" s="7">
        <v>0.64583333333333337</v>
      </c>
      <c r="E403" s="8">
        <v>390</v>
      </c>
      <c r="F403" s="8">
        <v>456</v>
      </c>
      <c r="G403" s="8">
        <v>366</v>
      </c>
      <c r="H403" s="8">
        <v>90</v>
      </c>
      <c r="I403" s="8">
        <v>0</v>
      </c>
    </row>
    <row r="404" spans="1:9" x14ac:dyDescent="0.25">
      <c r="A404" s="2" t="s">
        <v>13</v>
      </c>
      <c r="B404" s="2" t="s">
        <v>14</v>
      </c>
      <c r="C404" s="6">
        <v>41092</v>
      </c>
      <c r="D404" s="7">
        <v>0.66666666666666663</v>
      </c>
      <c r="E404" s="8">
        <v>351</v>
      </c>
      <c r="F404" s="8">
        <v>500</v>
      </c>
      <c r="G404" s="8">
        <v>359</v>
      </c>
      <c r="H404" s="8">
        <v>141</v>
      </c>
      <c r="I404" s="8">
        <v>0</v>
      </c>
    </row>
    <row r="405" spans="1:9" x14ac:dyDescent="0.25">
      <c r="A405" s="2" t="s">
        <v>13</v>
      </c>
      <c r="B405" s="2" t="s">
        <v>14</v>
      </c>
      <c r="C405" s="6">
        <v>41092</v>
      </c>
      <c r="D405" s="7">
        <v>0.6875</v>
      </c>
      <c r="E405" s="8">
        <v>336</v>
      </c>
      <c r="F405" s="8">
        <v>464</v>
      </c>
      <c r="G405" s="8">
        <v>300</v>
      </c>
      <c r="H405" s="8">
        <v>164</v>
      </c>
      <c r="I405" s="8">
        <v>0</v>
      </c>
    </row>
    <row r="406" spans="1:9" x14ac:dyDescent="0.25">
      <c r="A406" s="2" t="s">
        <v>13</v>
      </c>
      <c r="B406" s="2" t="s">
        <v>14</v>
      </c>
      <c r="C406" s="6">
        <v>41092</v>
      </c>
      <c r="D406" s="7">
        <v>0.70833333333333337</v>
      </c>
      <c r="E406" s="8">
        <v>320</v>
      </c>
      <c r="F406" s="8">
        <v>379</v>
      </c>
      <c r="G406" s="8">
        <v>263</v>
      </c>
      <c r="H406" s="8">
        <v>116</v>
      </c>
      <c r="I406" s="8">
        <v>0</v>
      </c>
    </row>
    <row r="407" spans="1:9" x14ac:dyDescent="0.25">
      <c r="A407" s="2" t="s">
        <v>13</v>
      </c>
      <c r="B407" s="2" t="s">
        <v>14</v>
      </c>
      <c r="C407" s="6">
        <v>41092</v>
      </c>
      <c r="D407" s="7">
        <v>0.72916666666666663</v>
      </c>
      <c r="E407" s="8">
        <v>317</v>
      </c>
      <c r="F407" s="8">
        <v>247</v>
      </c>
      <c r="G407" s="8">
        <v>181</v>
      </c>
      <c r="H407" s="8">
        <v>66</v>
      </c>
      <c r="I407" s="8">
        <v>0</v>
      </c>
    </row>
    <row r="408" spans="1:9" x14ac:dyDescent="0.25">
      <c r="A408" s="2" t="s">
        <v>13</v>
      </c>
      <c r="B408" s="2" t="s">
        <v>14</v>
      </c>
      <c r="C408" s="6">
        <v>41092</v>
      </c>
      <c r="D408" s="7">
        <v>0.75</v>
      </c>
      <c r="E408" s="8">
        <v>240</v>
      </c>
      <c r="F408" s="8">
        <v>132</v>
      </c>
      <c r="G408" s="8">
        <v>98</v>
      </c>
      <c r="H408" s="8">
        <v>34</v>
      </c>
      <c r="I408" s="8">
        <v>0</v>
      </c>
    </row>
    <row r="409" spans="1:9" x14ac:dyDescent="0.25">
      <c r="A409" s="2" t="s">
        <v>13</v>
      </c>
      <c r="B409" s="2" t="s">
        <v>14</v>
      </c>
      <c r="C409" s="6">
        <v>41092</v>
      </c>
      <c r="D409" s="7">
        <v>0.77083333333333337</v>
      </c>
      <c r="E409" s="8">
        <v>221</v>
      </c>
      <c r="F409" s="8">
        <v>68</v>
      </c>
      <c r="G409" s="8">
        <v>68</v>
      </c>
      <c r="H409" s="8">
        <v>0</v>
      </c>
      <c r="I409" s="8">
        <v>0</v>
      </c>
    </row>
    <row r="410" spans="1:9" x14ac:dyDescent="0.25">
      <c r="A410" s="2" t="s">
        <v>13</v>
      </c>
      <c r="B410" s="2" t="s">
        <v>14</v>
      </c>
      <c r="C410" s="6">
        <v>41092</v>
      </c>
      <c r="D410" s="7">
        <v>0.79166666666666663</v>
      </c>
      <c r="E410" s="8">
        <v>211</v>
      </c>
      <c r="F410" s="8">
        <v>41</v>
      </c>
      <c r="G410" s="8">
        <v>39</v>
      </c>
      <c r="H410" s="8">
        <v>2</v>
      </c>
      <c r="I410" s="8">
        <v>0</v>
      </c>
    </row>
    <row r="411" spans="1:9" x14ac:dyDescent="0.25">
      <c r="A411" s="2" t="s">
        <v>13</v>
      </c>
      <c r="B411" s="2" t="s">
        <v>14</v>
      </c>
      <c r="C411" s="6">
        <v>41092</v>
      </c>
      <c r="D411" s="7">
        <v>0.8125</v>
      </c>
      <c r="E411" s="8">
        <v>192</v>
      </c>
      <c r="F411" s="8">
        <v>48</v>
      </c>
      <c r="G411" s="8">
        <v>48</v>
      </c>
      <c r="H411" s="8">
        <v>0</v>
      </c>
      <c r="I411" s="8">
        <v>0</v>
      </c>
    </row>
    <row r="412" spans="1:9" x14ac:dyDescent="0.25">
      <c r="A412" s="2" t="s">
        <v>13</v>
      </c>
      <c r="B412" s="2" t="s">
        <v>14</v>
      </c>
      <c r="C412" s="6">
        <v>41093</v>
      </c>
      <c r="D412" s="7">
        <v>0.33333333333333331</v>
      </c>
      <c r="E412" s="8">
        <v>350</v>
      </c>
      <c r="F412" s="8">
        <v>135</v>
      </c>
      <c r="G412" s="8">
        <v>129</v>
      </c>
      <c r="H412" s="8">
        <v>6</v>
      </c>
      <c r="I412" s="8">
        <v>0</v>
      </c>
    </row>
    <row r="413" spans="1:9" x14ac:dyDescent="0.25">
      <c r="A413" s="2" t="s">
        <v>13</v>
      </c>
      <c r="B413" s="2" t="s">
        <v>14</v>
      </c>
      <c r="C413" s="6">
        <v>41093</v>
      </c>
      <c r="D413" s="7">
        <v>0.35416666666666669</v>
      </c>
      <c r="E413" s="8">
        <v>419</v>
      </c>
      <c r="F413" s="8">
        <v>216</v>
      </c>
      <c r="G413" s="8">
        <v>165</v>
      </c>
      <c r="H413" s="8">
        <v>51</v>
      </c>
      <c r="I413" s="8">
        <v>0</v>
      </c>
    </row>
    <row r="414" spans="1:9" x14ac:dyDescent="0.25">
      <c r="A414" s="2" t="s">
        <v>13</v>
      </c>
      <c r="B414" s="2" t="s">
        <v>14</v>
      </c>
      <c r="C414" s="6">
        <v>41093</v>
      </c>
      <c r="D414" s="7">
        <v>0.375</v>
      </c>
      <c r="E414" s="8">
        <v>432</v>
      </c>
      <c r="F414" s="8">
        <v>352</v>
      </c>
      <c r="G414" s="8">
        <v>269</v>
      </c>
      <c r="H414" s="8">
        <v>83</v>
      </c>
      <c r="I414" s="8">
        <v>0</v>
      </c>
    </row>
    <row r="415" spans="1:9" x14ac:dyDescent="0.25">
      <c r="A415" s="2" t="s">
        <v>13</v>
      </c>
      <c r="B415" s="2" t="s">
        <v>14</v>
      </c>
      <c r="C415" s="6">
        <v>41093</v>
      </c>
      <c r="D415" s="7">
        <v>0.39583333333333331</v>
      </c>
      <c r="E415" s="8">
        <v>448</v>
      </c>
      <c r="F415" s="8">
        <v>480</v>
      </c>
      <c r="G415" s="8">
        <v>347</v>
      </c>
      <c r="H415" s="8">
        <v>133</v>
      </c>
      <c r="I415" s="8">
        <v>0</v>
      </c>
    </row>
    <row r="416" spans="1:9" x14ac:dyDescent="0.25">
      <c r="A416" s="2" t="s">
        <v>13</v>
      </c>
      <c r="B416" s="2" t="s">
        <v>14</v>
      </c>
      <c r="C416" s="6">
        <v>41093</v>
      </c>
      <c r="D416" s="7">
        <v>0.41666666666666669</v>
      </c>
      <c r="E416" s="8">
        <v>505</v>
      </c>
      <c r="F416" s="8">
        <v>492</v>
      </c>
      <c r="G416" s="8">
        <v>394</v>
      </c>
      <c r="H416" s="8">
        <v>98</v>
      </c>
      <c r="I416" s="8">
        <v>0</v>
      </c>
    </row>
    <row r="417" spans="1:9" x14ac:dyDescent="0.25">
      <c r="A417" s="2" t="s">
        <v>13</v>
      </c>
      <c r="B417" s="2" t="s">
        <v>14</v>
      </c>
      <c r="C417" s="6">
        <v>41093</v>
      </c>
      <c r="D417" s="7">
        <v>0.4375</v>
      </c>
      <c r="E417" s="8">
        <v>514</v>
      </c>
      <c r="F417" s="8">
        <v>494</v>
      </c>
      <c r="G417" s="8">
        <v>400</v>
      </c>
      <c r="H417" s="8">
        <v>94</v>
      </c>
      <c r="I417" s="8">
        <v>0</v>
      </c>
    </row>
    <row r="418" spans="1:9" x14ac:dyDescent="0.25">
      <c r="A418" s="2" t="s">
        <v>13</v>
      </c>
      <c r="B418" s="2" t="s">
        <v>14</v>
      </c>
      <c r="C418" s="6">
        <v>41093</v>
      </c>
      <c r="D418" s="7">
        <v>0.45833333333333331</v>
      </c>
      <c r="E418" s="8">
        <v>528</v>
      </c>
      <c r="F418" s="8">
        <v>513</v>
      </c>
      <c r="G418" s="8">
        <v>380</v>
      </c>
      <c r="H418" s="8">
        <v>133</v>
      </c>
      <c r="I418" s="8">
        <v>0</v>
      </c>
    </row>
    <row r="419" spans="1:9" x14ac:dyDescent="0.25">
      <c r="A419" s="2" t="s">
        <v>13</v>
      </c>
      <c r="B419" s="2" t="s">
        <v>14</v>
      </c>
      <c r="C419" s="6">
        <v>41093</v>
      </c>
      <c r="D419" s="7">
        <v>0.47916666666666669</v>
      </c>
      <c r="E419" s="8">
        <v>532</v>
      </c>
      <c r="F419" s="8">
        <v>470</v>
      </c>
      <c r="G419" s="8">
        <v>368</v>
      </c>
      <c r="H419" s="8">
        <v>102</v>
      </c>
      <c r="I419" s="8">
        <v>0</v>
      </c>
    </row>
    <row r="420" spans="1:9" x14ac:dyDescent="0.25">
      <c r="A420" s="2" t="s">
        <v>13</v>
      </c>
      <c r="B420" s="2" t="s">
        <v>14</v>
      </c>
      <c r="C420" s="6">
        <v>41093</v>
      </c>
      <c r="D420" s="7">
        <v>0.5</v>
      </c>
      <c r="E420" s="8">
        <v>516</v>
      </c>
      <c r="F420" s="8">
        <v>361</v>
      </c>
      <c r="G420" s="8">
        <v>321</v>
      </c>
      <c r="H420" s="8">
        <v>40</v>
      </c>
      <c r="I420" s="8">
        <v>0</v>
      </c>
    </row>
    <row r="421" spans="1:9" x14ac:dyDescent="0.25">
      <c r="A421" s="2" t="s">
        <v>13</v>
      </c>
      <c r="B421" s="2" t="s">
        <v>14</v>
      </c>
      <c r="C421" s="6">
        <v>41093</v>
      </c>
      <c r="D421" s="7">
        <v>0.52083333333333337</v>
      </c>
      <c r="E421" s="8">
        <v>478</v>
      </c>
      <c r="F421" s="8">
        <v>289</v>
      </c>
      <c r="G421" s="8">
        <v>289</v>
      </c>
      <c r="H421" s="8">
        <v>0</v>
      </c>
      <c r="I421" s="8">
        <v>0</v>
      </c>
    </row>
    <row r="422" spans="1:9" x14ac:dyDescent="0.25">
      <c r="A422" s="2" t="s">
        <v>13</v>
      </c>
      <c r="B422" s="2" t="s">
        <v>14</v>
      </c>
      <c r="C422" s="6">
        <v>41093</v>
      </c>
      <c r="D422" s="7">
        <v>0.54166666666666663</v>
      </c>
      <c r="E422" s="8">
        <v>492</v>
      </c>
      <c r="F422" s="8">
        <v>301</v>
      </c>
      <c r="G422" s="8">
        <v>301</v>
      </c>
      <c r="H422" s="8">
        <v>0</v>
      </c>
      <c r="I422" s="8">
        <v>0</v>
      </c>
    </row>
    <row r="423" spans="1:9" x14ac:dyDescent="0.25">
      <c r="A423" s="2" t="s">
        <v>13</v>
      </c>
      <c r="B423" s="2" t="s">
        <v>14</v>
      </c>
      <c r="C423" s="6">
        <v>41093</v>
      </c>
      <c r="D423" s="7">
        <v>0.5625</v>
      </c>
      <c r="E423" s="8">
        <v>512</v>
      </c>
      <c r="F423" s="8">
        <v>359</v>
      </c>
      <c r="G423" s="8">
        <v>348</v>
      </c>
      <c r="H423" s="8">
        <v>11</v>
      </c>
      <c r="I423" s="8">
        <v>0</v>
      </c>
    </row>
    <row r="424" spans="1:9" x14ac:dyDescent="0.25">
      <c r="A424" s="2" t="s">
        <v>13</v>
      </c>
      <c r="B424" s="2" t="s">
        <v>14</v>
      </c>
      <c r="C424" s="6">
        <v>41093</v>
      </c>
      <c r="D424" s="7">
        <v>0.58333333333333337</v>
      </c>
      <c r="E424" s="8">
        <v>526</v>
      </c>
      <c r="F424" s="8">
        <v>374</v>
      </c>
      <c r="G424" s="8">
        <v>291</v>
      </c>
      <c r="H424" s="8">
        <v>83</v>
      </c>
      <c r="I424" s="8">
        <v>0</v>
      </c>
    </row>
    <row r="425" spans="1:9" x14ac:dyDescent="0.25">
      <c r="A425" s="2" t="s">
        <v>13</v>
      </c>
      <c r="B425" s="2" t="s">
        <v>14</v>
      </c>
      <c r="C425" s="6">
        <v>41093</v>
      </c>
      <c r="D425" s="7">
        <v>0.60416666666666663</v>
      </c>
      <c r="E425" s="8">
        <v>416</v>
      </c>
      <c r="F425" s="8">
        <v>431</v>
      </c>
      <c r="G425" s="8">
        <v>346</v>
      </c>
      <c r="H425" s="8">
        <v>85</v>
      </c>
      <c r="I425" s="8">
        <v>0</v>
      </c>
    </row>
    <row r="426" spans="1:9" x14ac:dyDescent="0.25">
      <c r="A426" s="2" t="s">
        <v>13</v>
      </c>
      <c r="B426" s="2" t="s">
        <v>14</v>
      </c>
      <c r="C426" s="6">
        <v>41093</v>
      </c>
      <c r="D426" s="7">
        <v>0.625</v>
      </c>
      <c r="E426" s="8">
        <v>409</v>
      </c>
      <c r="F426" s="8">
        <v>448</v>
      </c>
      <c r="G426" s="8">
        <v>331</v>
      </c>
      <c r="H426" s="8">
        <v>117</v>
      </c>
      <c r="I426" s="8">
        <v>0</v>
      </c>
    </row>
    <row r="427" spans="1:9" x14ac:dyDescent="0.25">
      <c r="A427" s="2" t="s">
        <v>13</v>
      </c>
      <c r="B427" s="2" t="s">
        <v>14</v>
      </c>
      <c r="C427" s="6">
        <v>41093</v>
      </c>
      <c r="D427" s="7">
        <v>0.64583333333333337</v>
      </c>
      <c r="E427" s="8">
        <v>397</v>
      </c>
      <c r="F427" s="8">
        <v>443</v>
      </c>
      <c r="G427" s="8">
        <v>362</v>
      </c>
      <c r="H427" s="8">
        <v>81</v>
      </c>
      <c r="I427" s="8">
        <v>0</v>
      </c>
    </row>
    <row r="428" spans="1:9" x14ac:dyDescent="0.25">
      <c r="A428" s="2" t="s">
        <v>13</v>
      </c>
      <c r="B428" s="2" t="s">
        <v>14</v>
      </c>
      <c r="C428" s="6">
        <v>41093</v>
      </c>
      <c r="D428" s="7">
        <v>0.66666666666666663</v>
      </c>
      <c r="E428" s="8">
        <v>339</v>
      </c>
      <c r="F428" s="8">
        <v>450</v>
      </c>
      <c r="G428" s="8">
        <v>361</v>
      </c>
      <c r="H428" s="8">
        <v>89</v>
      </c>
      <c r="I428" s="8">
        <v>0</v>
      </c>
    </row>
    <row r="429" spans="1:9" x14ac:dyDescent="0.25">
      <c r="A429" s="2" t="s">
        <v>13</v>
      </c>
      <c r="B429" s="2" t="s">
        <v>14</v>
      </c>
      <c r="C429" s="6">
        <v>41093</v>
      </c>
      <c r="D429" s="7">
        <v>0.6875</v>
      </c>
      <c r="E429" s="8">
        <v>336</v>
      </c>
      <c r="F429" s="8">
        <v>402</v>
      </c>
      <c r="G429" s="8">
        <v>299</v>
      </c>
      <c r="H429" s="8">
        <v>103</v>
      </c>
      <c r="I429" s="8">
        <v>0</v>
      </c>
    </row>
    <row r="430" spans="1:9" x14ac:dyDescent="0.25">
      <c r="A430" s="2" t="s">
        <v>13</v>
      </c>
      <c r="B430" s="2" t="s">
        <v>14</v>
      </c>
      <c r="C430" s="6">
        <v>41093</v>
      </c>
      <c r="D430" s="7">
        <v>0.70833333333333337</v>
      </c>
      <c r="E430" s="8">
        <v>325</v>
      </c>
      <c r="F430" s="8">
        <v>395</v>
      </c>
      <c r="G430" s="8">
        <v>254</v>
      </c>
      <c r="H430" s="8">
        <v>141</v>
      </c>
      <c r="I430" s="8">
        <v>0</v>
      </c>
    </row>
    <row r="431" spans="1:9" x14ac:dyDescent="0.25">
      <c r="A431" s="2" t="s">
        <v>13</v>
      </c>
      <c r="B431" s="2" t="s">
        <v>14</v>
      </c>
      <c r="C431" s="6">
        <v>41093</v>
      </c>
      <c r="D431" s="7">
        <v>0.72916666666666663</v>
      </c>
      <c r="E431" s="8">
        <v>272</v>
      </c>
      <c r="F431" s="8">
        <v>329</v>
      </c>
      <c r="G431" s="8">
        <v>208</v>
      </c>
      <c r="H431" s="8">
        <v>121</v>
      </c>
      <c r="I431" s="8">
        <v>0</v>
      </c>
    </row>
    <row r="432" spans="1:9" x14ac:dyDescent="0.25">
      <c r="A432" s="2" t="s">
        <v>13</v>
      </c>
      <c r="B432" s="2" t="s">
        <v>14</v>
      </c>
      <c r="C432" s="6">
        <v>41093</v>
      </c>
      <c r="D432" s="7">
        <v>0.75</v>
      </c>
      <c r="E432" s="8">
        <v>228</v>
      </c>
      <c r="F432" s="8">
        <v>146</v>
      </c>
      <c r="G432" s="8">
        <v>95</v>
      </c>
      <c r="H432" s="8">
        <v>51</v>
      </c>
      <c r="I432" s="8">
        <v>0</v>
      </c>
    </row>
    <row r="433" spans="1:9" x14ac:dyDescent="0.25">
      <c r="A433" s="2" t="s">
        <v>13</v>
      </c>
      <c r="B433" s="2" t="s">
        <v>14</v>
      </c>
      <c r="C433" s="6">
        <v>41093</v>
      </c>
      <c r="D433" s="7">
        <v>0.77083333333333337</v>
      </c>
      <c r="E433" s="8">
        <v>220</v>
      </c>
      <c r="F433" s="8">
        <v>85</v>
      </c>
      <c r="G433" s="8">
        <v>68</v>
      </c>
      <c r="H433" s="8">
        <v>17</v>
      </c>
      <c r="I433" s="8">
        <v>0</v>
      </c>
    </row>
    <row r="434" spans="1:9" x14ac:dyDescent="0.25">
      <c r="A434" s="2" t="s">
        <v>13</v>
      </c>
      <c r="B434" s="2" t="s">
        <v>14</v>
      </c>
      <c r="C434" s="6">
        <v>41093</v>
      </c>
      <c r="D434" s="7">
        <v>0.79166666666666663</v>
      </c>
      <c r="E434" s="8">
        <v>217</v>
      </c>
      <c r="F434" s="8">
        <v>42</v>
      </c>
      <c r="G434" s="8">
        <v>41</v>
      </c>
      <c r="H434" s="8">
        <v>1</v>
      </c>
      <c r="I434" s="8">
        <v>0</v>
      </c>
    </row>
    <row r="435" spans="1:9" x14ac:dyDescent="0.25">
      <c r="A435" s="2" t="s">
        <v>13</v>
      </c>
      <c r="B435" s="2" t="s">
        <v>14</v>
      </c>
      <c r="C435" s="6">
        <v>41093</v>
      </c>
      <c r="D435" s="7">
        <v>0.8125</v>
      </c>
      <c r="E435" s="8">
        <v>221</v>
      </c>
      <c r="F435" s="8">
        <v>37</v>
      </c>
      <c r="G435" s="8">
        <v>37</v>
      </c>
      <c r="H435" s="8">
        <v>0</v>
      </c>
      <c r="I435" s="8">
        <v>0</v>
      </c>
    </row>
    <row r="436" spans="1:9" x14ac:dyDescent="0.25">
      <c r="A436" s="2" t="s">
        <v>13</v>
      </c>
      <c r="B436" s="2" t="s">
        <v>14</v>
      </c>
      <c r="C436" s="6">
        <v>41094</v>
      </c>
      <c r="D436" s="7">
        <v>0.33333333333333331</v>
      </c>
      <c r="E436" s="8">
        <v>359</v>
      </c>
      <c r="F436" s="8">
        <v>140</v>
      </c>
      <c r="G436" s="8">
        <v>138</v>
      </c>
      <c r="H436" s="8">
        <v>2</v>
      </c>
      <c r="I436" s="8">
        <v>0</v>
      </c>
    </row>
    <row r="437" spans="1:9" x14ac:dyDescent="0.25">
      <c r="A437" s="2" t="s">
        <v>13</v>
      </c>
      <c r="B437" s="2" t="s">
        <v>14</v>
      </c>
      <c r="C437" s="6">
        <v>41094</v>
      </c>
      <c r="D437" s="7">
        <v>0.35416666666666669</v>
      </c>
      <c r="E437" s="8">
        <v>390</v>
      </c>
      <c r="F437" s="8">
        <v>251</v>
      </c>
      <c r="G437" s="8">
        <v>209</v>
      </c>
      <c r="H437" s="8">
        <v>42</v>
      </c>
      <c r="I437" s="8">
        <v>0</v>
      </c>
    </row>
    <row r="438" spans="1:9" x14ac:dyDescent="0.25">
      <c r="A438" s="2" t="s">
        <v>13</v>
      </c>
      <c r="B438" s="2" t="s">
        <v>14</v>
      </c>
      <c r="C438" s="6">
        <v>41094</v>
      </c>
      <c r="D438" s="7">
        <v>0.375</v>
      </c>
      <c r="E438" s="8">
        <v>418</v>
      </c>
      <c r="F438" s="8">
        <v>421</v>
      </c>
      <c r="G438" s="8">
        <v>330</v>
      </c>
      <c r="H438" s="8">
        <v>91</v>
      </c>
      <c r="I438" s="8">
        <v>0</v>
      </c>
    </row>
    <row r="439" spans="1:9" x14ac:dyDescent="0.25">
      <c r="A439" s="2" t="s">
        <v>13</v>
      </c>
      <c r="B439" s="2" t="s">
        <v>14</v>
      </c>
      <c r="C439" s="6">
        <v>41094</v>
      </c>
      <c r="D439" s="7">
        <v>0.39583333333333331</v>
      </c>
      <c r="E439" s="8">
        <v>439</v>
      </c>
      <c r="F439" s="8">
        <v>485</v>
      </c>
      <c r="G439" s="8">
        <v>374</v>
      </c>
      <c r="H439" s="8">
        <v>111</v>
      </c>
      <c r="I439" s="8">
        <v>0</v>
      </c>
    </row>
    <row r="440" spans="1:9" x14ac:dyDescent="0.25">
      <c r="A440" s="2" t="s">
        <v>13</v>
      </c>
      <c r="B440" s="2" t="s">
        <v>14</v>
      </c>
      <c r="C440" s="6">
        <v>41094</v>
      </c>
      <c r="D440" s="7">
        <v>0.41666666666666669</v>
      </c>
      <c r="E440" s="8">
        <v>498</v>
      </c>
      <c r="F440" s="8">
        <v>551</v>
      </c>
      <c r="G440" s="8">
        <v>398</v>
      </c>
      <c r="H440" s="8">
        <v>153</v>
      </c>
      <c r="I440" s="8">
        <v>0</v>
      </c>
    </row>
    <row r="441" spans="1:9" x14ac:dyDescent="0.25">
      <c r="A441" s="2" t="s">
        <v>13</v>
      </c>
      <c r="B441" s="2" t="s">
        <v>14</v>
      </c>
      <c r="C441" s="6">
        <v>41094</v>
      </c>
      <c r="D441" s="7">
        <v>0.4375</v>
      </c>
      <c r="E441" s="8">
        <v>509</v>
      </c>
      <c r="F441" s="8">
        <v>575</v>
      </c>
      <c r="G441" s="8">
        <v>412</v>
      </c>
      <c r="H441" s="8">
        <v>163</v>
      </c>
      <c r="I441" s="8">
        <v>0</v>
      </c>
    </row>
    <row r="442" spans="1:9" x14ac:dyDescent="0.25">
      <c r="A442" s="2" t="s">
        <v>13</v>
      </c>
      <c r="B442" s="2" t="s">
        <v>14</v>
      </c>
      <c r="C442" s="6">
        <v>41094</v>
      </c>
      <c r="D442" s="7">
        <v>0.45833333333333331</v>
      </c>
      <c r="E442" s="8">
        <v>417</v>
      </c>
      <c r="F442" s="8">
        <v>557</v>
      </c>
      <c r="G442" s="8">
        <v>390</v>
      </c>
      <c r="H442" s="8">
        <v>167</v>
      </c>
      <c r="I442" s="8">
        <v>0</v>
      </c>
    </row>
    <row r="443" spans="1:9" x14ac:dyDescent="0.25">
      <c r="A443" s="2" t="s">
        <v>13</v>
      </c>
      <c r="B443" s="2" t="s">
        <v>14</v>
      </c>
      <c r="C443" s="6">
        <v>41094</v>
      </c>
      <c r="D443" s="7">
        <v>0.47916666666666669</v>
      </c>
      <c r="E443" s="8">
        <v>419</v>
      </c>
      <c r="F443" s="8">
        <v>503</v>
      </c>
      <c r="G443" s="8">
        <v>383</v>
      </c>
      <c r="H443" s="8">
        <v>120</v>
      </c>
      <c r="I443" s="8">
        <v>0</v>
      </c>
    </row>
    <row r="444" spans="1:9" x14ac:dyDescent="0.25">
      <c r="A444" s="2" t="s">
        <v>13</v>
      </c>
      <c r="B444" s="2" t="s">
        <v>14</v>
      </c>
      <c r="C444" s="6">
        <v>41094</v>
      </c>
      <c r="D444" s="7">
        <v>0.5</v>
      </c>
      <c r="E444" s="8">
        <v>518</v>
      </c>
      <c r="F444" s="8">
        <v>394</v>
      </c>
      <c r="G444" s="8">
        <v>345</v>
      </c>
      <c r="H444" s="8">
        <v>49</v>
      </c>
      <c r="I444" s="8">
        <v>0</v>
      </c>
    </row>
    <row r="445" spans="1:9" x14ac:dyDescent="0.25">
      <c r="A445" s="2" t="s">
        <v>13</v>
      </c>
      <c r="B445" s="2" t="s">
        <v>14</v>
      </c>
      <c r="C445" s="6">
        <v>41094</v>
      </c>
      <c r="D445" s="7">
        <v>0.52083333333333337</v>
      </c>
      <c r="E445" s="8">
        <v>480</v>
      </c>
      <c r="F445" s="8">
        <v>315</v>
      </c>
      <c r="G445" s="8">
        <v>313</v>
      </c>
      <c r="H445" s="8">
        <v>2</v>
      </c>
      <c r="I445" s="8">
        <v>0</v>
      </c>
    </row>
    <row r="446" spans="1:9" x14ac:dyDescent="0.25">
      <c r="A446" s="2" t="s">
        <v>13</v>
      </c>
      <c r="B446" s="2" t="s">
        <v>14</v>
      </c>
      <c r="C446" s="6">
        <v>41094</v>
      </c>
      <c r="D446" s="7">
        <v>0.54166666666666663</v>
      </c>
      <c r="E446" s="8">
        <v>525</v>
      </c>
      <c r="F446" s="8">
        <v>330</v>
      </c>
      <c r="G446" s="8">
        <v>316</v>
      </c>
      <c r="H446" s="8">
        <v>14</v>
      </c>
      <c r="I446" s="8">
        <v>0</v>
      </c>
    </row>
    <row r="447" spans="1:9" x14ac:dyDescent="0.25">
      <c r="A447" s="2" t="s">
        <v>13</v>
      </c>
      <c r="B447" s="2" t="s">
        <v>14</v>
      </c>
      <c r="C447" s="6">
        <v>41094</v>
      </c>
      <c r="D447" s="7">
        <v>0.5625</v>
      </c>
      <c r="E447" s="8">
        <v>254</v>
      </c>
      <c r="F447" s="8">
        <v>319</v>
      </c>
      <c r="G447" s="8">
        <v>270</v>
      </c>
      <c r="H447" s="8">
        <v>49</v>
      </c>
      <c r="I447" s="8">
        <v>0</v>
      </c>
    </row>
    <row r="448" spans="1:9" x14ac:dyDescent="0.25">
      <c r="A448" s="2" t="s">
        <v>13</v>
      </c>
      <c r="B448" s="2" t="s">
        <v>14</v>
      </c>
      <c r="C448" s="6">
        <v>41094</v>
      </c>
      <c r="D448" s="7">
        <v>0.58333333333333337</v>
      </c>
      <c r="E448" s="8">
        <v>263</v>
      </c>
      <c r="F448" s="8">
        <v>383</v>
      </c>
      <c r="G448" s="8">
        <v>333</v>
      </c>
      <c r="H448" s="8">
        <v>50</v>
      </c>
      <c r="I448" s="8">
        <v>0</v>
      </c>
    </row>
    <row r="449" spans="1:9" x14ac:dyDescent="0.25">
      <c r="A449" s="2" t="s">
        <v>13</v>
      </c>
      <c r="B449" s="2" t="s">
        <v>14</v>
      </c>
      <c r="C449" s="6">
        <v>41094</v>
      </c>
      <c r="D449" s="7">
        <v>0.60416666666666663</v>
      </c>
      <c r="E449" s="8">
        <v>245</v>
      </c>
      <c r="F449" s="8">
        <v>460</v>
      </c>
      <c r="G449" s="8">
        <v>391</v>
      </c>
      <c r="H449" s="8">
        <v>69</v>
      </c>
      <c r="I449" s="8">
        <v>0</v>
      </c>
    </row>
    <row r="450" spans="1:9" x14ac:dyDescent="0.25">
      <c r="A450" s="2" t="s">
        <v>13</v>
      </c>
      <c r="B450" s="2" t="s">
        <v>14</v>
      </c>
      <c r="C450" s="6">
        <v>41094</v>
      </c>
      <c r="D450" s="7">
        <v>0.625</v>
      </c>
      <c r="E450" s="8">
        <v>242</v>
      </c>
      <c r="F450" s="8">
        <v>435</v>
      </c>
      <c r="G450" s="8">
        <v>374</v>
      </c>
      <c r="H450" s="8">
        <v>61</v>
      </c>
      <c r="I450" s="8">
        <v>0</v>
      </c>
    </row>
    <row r="451" spans="1:9" x14ac:dyDescent="0.25">
      <c r="A451" s="2" t="s">
        <v>13</v>
      </c>
      <c r="B451" s="2" t="s">
        <v>14</v>
      </c>
      <c r="C451" s="6">
        <v>41094</v>
      </c>
      <c r="D451" s="7">
        <v>0.64583333333333337</v>
      </c>
      <c r="E451" s="8">
        <v>247</v>
      </c>
      <c r="F451" s="8">
        <v>431</v>
      </c>
      <c r="G451" s="8">
        <v>357</v>
      </c>
      <c r="H451" s="8">
        <v>74</v>
      </c>
      <c r="I451" s="8">
        <v>0</v>
      </c>
    </row>
    <row r="452" spans="1:9" x14ac:dyDescent="0.25">
      <c r="A452" s="2" t="s">
        <v>13</v>
      </c>
      <c r="B452" s="2" t="s">
        <v>14</v>
      </c>
      <c r="C452" s="6">
        <v>41094</v>
      </c>
      <c r="D452" s="7">
        <v>0.66666666666666663</v>
      </c>
      <c r="E452" s="8">
        <v>446</v>
      </c>
      <c r="F452" s="8">
        <v>406</v>
      </c>
      <c r="G452" s="8">
        <v>318</v>
      </c>
      <c r="H452" s="8">
        <v>88</v>
      </c>
      <c r="I452" s="8">
        <v>0</v>
      </c>
    </row>
    <row r="453" spans="1:9" x14ac:dyDescent="0.25">
      <c r="A453" s="2" t="s">
        <v>13</v>
      </c>
      <c r="B453" s="2" t="s">
        <v>14</v>
      </c>
      <c r="C453" s="6">
        <v>41094</v>
      </c>
      <c r="D453" s="7">
        <v>0.6875</v>
      </c>
      <c r="E453" s="8">
        <v>412</v>
      </c>
      <c r="F453" s="8">
        <v>469</v>
      </c>
      <c r="G453" s="8">
        <v>327</v>
      </c>
      <c r="H453" s="8">
        <v>142</v>
      </c>
      <c r="I453" s="8">
        <v>0</v>
      </c>
    </row>
    <row r="454" spans="1:9" x14ac:dyDescent="0.25">
      <c r="A454" s="2" t="s">
        <v>13</v>
      </c>
      <c r="B454" s="2" t="s">
        <v>14</v>
      </c>
      <c r="C454" s="6">
        <v>41094</v>
      </c>
      <c r="D454" s="7">
        <v>0.70833333333333337</v>
      </c>
      <c r="E454" s="8">
        <v>328</v>
      </c>
      <c r="F454" s="8">
        <v>413</v>
      </c>
      <c r="G454" s="8">
        <v>286</v>
      </c>
      <c r="H454" s="8">
        <v>127</v>
      </c>
      <c r="I454" s="8">
        <v>0</v>
      </c>
    </row>
    <row r="455" spans="1:9" x14ac:dyDescent="0.25">
      <c r="A455" s="2" t="s">
        <v>13</v>
      </c>
      <c r="B455" s="2" t="s">
        <v>14</v>
      </c>
      <c r="C455" s="6">
        <v>41094</v>
      </c>
      <c r="D455" s="7">
        <v>0.72916666666666663</v>
      </c>
      <c r="E455" s="8">
        <v>330</v>
      </c>
      <c r="F455" s="8">
        <v>299</v>
      </c>
      <c r="G455" s="8">
        <v>201</v>
      </c>
      <c r="H455" s="8">
        <v>98</v>
      </c>
      <c r="I455" s="8">
        <v>0</v>
      </c>
    </row>
    <row r="456" spans="1:9" x14ac:dyDescent="0.25">
      <c r="A456" s="2" t="s">
        <v>13</v>
      </c>
      <c r="B456" s="2" t="s">
        <v>14</v>
      </c>
      <c r="C456" s="6">
        <v>41094</v>
      </c>
      <c r="D456" s="7">
        <v>0.75</v>
      </c>
      <c r="E456" s="8">
        <v>246</v>
      </c>
      <c r="F456" s="8">
        <v>150</v>
      </c>
      <c r="G456" s="8">
        <v>124</v>
      </c>
      <c r="H456" s="8">
        <v>26</v>
      </c>
      <c r="I456" s="8">
        <v>0</v>
      </c>
    </row>
    <row r="457" spans="1:9" x14ac:dyDescent="0.25">
      <c r="A457" s="2" t="s">
        <v>13</v>
      </c>
      <c r="B457" s="2" t="s">
        <v>14</v>
      </c>
      <c r="C457" s="6">
        <v>41094</v>
      </c>
      <c r="D457" s="7">
        <v>0.77083333333333337</v>
      </c>
      <c r="E457" s="8">
        <v>227</v>
      </c>
      <c r="F457" s="8">
        <v>69</v>
      </c>
      <c r="G457" s="8">
        <v>66</v>
      </c>
      <c r="H457" s="8">
        <v>3</v>
      </c>
      <c r="I457" s="8">
        <v>0</v>
      </c>
    </row>
    <row r="458" spans="1:9" x14ac:dyDescent="0.25">
      <c r="A458" s="2" t="s">
        <v>13</v>
      </c>
      <c r="B458" s="2" t="s">
        <v>14</v>
      </c>
      <c r="C458" s="6">
        <v>41094</v>
      </c>
      <c r="D458" s="7">
        <v>0.79166666666666663</v>
      </c>
      <c r="E458" s="8">
        <v>229</v>
      </c>
      <c r="F458" s="8">
        <v>60</v>
      </c>
      <c r="G458" s="8">
        <v>60</v>
      </c>
      <c r="H458" s="8">
        <v>0</v>
      </c>
      <c r="I458" s="8">
        <v>0</v>
      </c>
    </row>
    <row r="459" spans="1:9" x14ac:dyDescent="0.25">
      <c r="A459" s="2" t="s">
        <v>13</v>
      </c>
      <c r="B459" s="2" t="s">
        <v>14</v>
      </c>
      <c r="C459" s="6">
        <v>41094</v>
      </c>
      <c r="D459" s="7">
        <v>0.8125</v>
      </c>
      <c r="E459" s="8">
        <v>221</v>
      </c>
      <c r="F459" s="8">
        <v>43</v>
      </c>
      <c r="G459" s="8">
        <v>43</v>
      </c>
      <c r="H459" s="8">
        <v>0</v>
      </c>
      <c r="I459" s="8">
        <v>0</v>
      </c>
    </row>
    <row r="460" spans="1:9" x14ac:dyDescent="0.25">
      <c r="A460" s="2" t="s">
        <v>13</v>
      </c>
      <c r="B460" s="2" t="s">
        <v>14</v>
      </c>
      <c r="C460" s="6">
        <v>41095</v>
      </c>
      <c r="D460" s="7">
        <v>0.33333333333333331</v>
      </c>
      <c r="E460" s="8">
        <v>386</v>
      </c>
      <c r="F460" s="8">
        <v>111</v>
      </c>
      <c r="G460" s="8">
        <v>100</v>
      </c>
      <c r="H460" s="8">
        <v>11</v>
      </c>
      <c r="I460" s="8">
        <v>0</v>
      </c>
    </row>
    <row r="461" spans="1:9" x14ac:dyDescent="0.25">
      <c r="A461" s="2" t="s">
        <v>13</v>
      </c>
      <c r="B461" s="2" t="s">
        <v>14</v>
      </c>
      <c r="C461" s="6">
        <v>41095</v>
      </c>
      <c r="D461" s="7">
        <v>0.35416666666666669</v>
      </c>
      <c r="E461" s="8">
        <v>412</v>
      </c>
      <c r="F461" s="8">
        <v>209</v>
      </c>
      <c r="G461" s="8">
        <v>184</v>
      </c>
      <c r="H461" s="8">
        <v>25</v>
      </c>
      <c r="I461" s="8">
        <v>0</v>
      </c>
    </row>
    <row r="462" spans="1:9" x14ac:dyDescent="0.25">
      <c r="A462" s="2" t="s">
        <v>13</v>
      </c>
      <c r="B462" s="2" t="s">
        <v>14</v>
      </c>
      <c r="C462" s="6">
        <v>41095</v>
      </c>
      <c r="D462" s="7">
        <v>0.375</v>
      </c>
      <c r="E462" s="8">
        <v>469</v>
      </c>
      <c r="F462" s="8">
        <v>291</v>
      </c>
      <c r="G462" s="8">
        <v>235</v>
      </c>
      <c r="H462" s="8">
        <v>56</v>
      </c>
      <c r="I462" s="8">
        <v>0</v>
      </c>
    </row>
    <row r="463" spans="1:9" x14ac:dyDescent="0.25">
      <c r="A463" s="2" t="s">
        <v>13</v>
      </c>
      <c r="B463" s="2" t="s">
        <v>14</v>
      </c>
      <c r="C463" s="6">
        <v>41095</v>
      </c>
      <c r="D463" s="7">
        <v>0.39583333333333331</v>
      </c>
      <c r="E463" s="8">
        <v>511</v>
      </c>
      <c r="F463" s="8">
        <v>412</v>
      </c>
      <c r="G463" s="8">
        <v>327</v>
      </c>
      <c r="H463" s="8">
        <v>85</v>
      </c>
      <c r="I463" s="8">
        <v>0</v>
      </c>
    </row>
    <row r="464" spans="1:9" x14ac:dyDescent="0.25">
      <c r="A464" s="2" t="s">
        <v>13</v>
      </c>
      <c r="B464" s="2" t="s">
        <v>14</v>
      </c>
      <c r="C464" s="6">
        <v>41095</v>
      </c>
      <c r="D464" s="7">
        <v>0.41666666666666669</v>
      </c>
      <c r="E464" s="8">
        <v>337</v>
      </c>
      <c r="F464" s="8">
        <v>471</v>
      </c>
      <c r="G464" s="8">
        <v>395</v>
      </c>
      <c r="H464" s="8">
        <v>76</v>
      </c>
      <c r="I464" s="8">
        <v>0</v>
      </c>
    </row>
    <row r="465" spans="1:9" x14ac:dyDescent="0.25">
      <c r="A465" s="2" t="s">
        <v>13</v>
      </c>
      <c r="B465" s="2" t="s">
        <v>14</v>
      </c>
      <c r="C465" s="6">
        <v>41095</v>
      </c>
      <c r="D465" s="7">
        <v>0.4375</v>
      </c>
      <c r="E465" s="8">
        <v>339</v>
      </c>
      <c r="F465" s="8">
        <v>473</v>
      </c>
      <c r="G465" s="8">
        <v>395</v>
      </c>
      <c r="H465" s="8">
        <v>78</v>
      </c>
      <c r="I465" s="8">
        <v>0</v>
      </c>
    </row>
    <row r="466" spans="1:9" x14ac:dyDescent="0.25">
      <c r="A466" s="2" t="s">
        <v>13</v>
      </c>
      <c r="B466" s="2" t="s">
        <v>14</v>
      </c>
      <c r="C466" s="6">
        <v>41095</v>
      </c>
      <c r="D466" s="7">
        <v>0.45833333333333331</v>
      </c>
      <c r="E466" s="8">
        <v>353</v>
      </c>
      <c r="F466" s="8">
        <v>505</v>
      </c>
      <c r="G466" s="8">
        <v>377</v>
      </c>
      <c r="H466" s="8">
        <v>128</v>
      </c>
      <c r="I466" s="8">
        <v>0</v>
      </c>
    </row>
    <row r="467" spans="1:9" x14ac:dyDescent="0.25">
      <c r="A467" s="2" t="s">
        <v>13</v>
      </c>
      <c r="B467" s="2" t="s">
        <v>14</v>
      </c>
      <c r="C467" s="6">
        <v>41095</v>
      </c>
      <c r="D467" s="7">
        <v>0.47916666666666669</v>
      </c>
      <c r="E467" s="8">
        <v>564</v>
      </c>
      <c r="F467" s="8">
        <v>437</v>
      </c>
      <c r="G467" s="8">
        <v>361</v>
      </c>
      <c r="H467" s="8">
        <v>76</v>
      </c>
      <c r="I467" s="8">
        <v>0</v>
      </c>
    </row>
    <row r="468" spans="1:9" x14ac:dyDescent="0.25">
      <c r="A468" s="2" t="s">
        <v>13</v>
      </c>
      <c r="B468" s="2" t="s">
        <v>14</v>
      </c>
      <c r="C468" s="6">
        <v>41095</v>
      </c>
      <c r="D468" s="7">
        <v>0.5</v>
      </c>
      <c r="E468" s="8">
        <v>510</v>
      </c>
      <c r="F468" s="8">
        <v>354</v>
      </c>
      <c r="G468" s="8">
        <v>328</v>
      </c>
      <c r="H468" s="8">
        <v>26</v>
      </c>
      <c r="I468" s="8">
        <v>0</v>
      </c>
    </row>
    <row r="469" spans="1:9" x14ac:dyDescent="0.25">
      <c r="A469" s="2" t="s">
        <v>13</v>
      </c>
      <c r="B469" s="2" t="s">
        <v>14</v>
      </c>
      <c r="C469" s="6">
        <v>41095</v>
      </c>
      <c r="D469" s="7">
        <v>0.52083333333333337</v>
      </c>
      <c r="E469" s="8">
        <v>477</v>
      </c>
      <c r="F469" s="8">
        <v>244</v>
      </c>
      <c r="G469" s="8">
        <v>244</v>
      </c>
      <c r="H469" s="8">
        <v>0</v>
      </c>
      <c r="I469" s="8">
        <v>0</v>
      </c>
    </row>
    <row r="470" spans="1:9" x14ac:dyDescent="0.25">
      <c r="A470" s="2" t="s">
        <v>13</v>
      </c>
      <c r="B470" s="2" t="s">
        <v>14</v>
      </c>
      <c r="C470" s="6">
        <v>41095</v>
      </c>
      <c r="D470" s="7">
        <v>0.54166666666666663</v>
      </c>
      <c r="E470" s="8">
        <v>489</v>
      </c>
      <c r="F470" s="8">
        <v>249</v>
      </c>
      <c r="G470" s="8">
        <v>246</v>
      </c>
      <c r="H470" s="8">
        <v>3</v>
      </c>
      <c r="I470" s="8">
        <v>0</v>
      </c>
    </row>
    <row r="471" spans="1:9" x14ac:dyDescent="0.25">
      <c r="A471" s="2" t="s">
        <v>13</v>
      </c>
      <c r="B471" s="2" t="s">
        <v>14</v>
      </c>
      <c r="C471" s="6">
        <v>41095</v>
      </c>
      <c r="D471" s="7">
        <v>0.5625</v>
      </c>
      <c r="E471" s="8">
        <v>516</v>
      </c>
      <c r="F471" s="8">
        <v>280</v>
      </c>
      <c r="G471" s="8">
        <v>263</v>
      </c>
      <c r="H471" s="8">
        <v>17</v>
      </c>
      <c r="I471" s="8">
        <v>0</v>
      </c>
    </row>
    <row r="472" spans="1:9" x14ac:dyDescent="0.25">
      <c r="A472" s="2" t="s">
        <v>13</v>
      </c>
      <c r="B472" s="2" t="s">
        <v>14</v>
      </c>
      <c r="C472" s="6">
        <v>41095</v>
      </c>
      <c r="D472" s="7">
        <v>0.58333333333333337</v>
      </c>
      <c r="E472" s="8">
        <v>522</v>
      </c>
      <c r="F472" s="8">
        <v>365</v>
      </c>
      <c r="G472" s="8">
        <v>284</v>
      </c>
      <c r="H472" s="8">
        <v>81</v>
      </c>
      <c r="I472" s="8">
        <v>0</v>
      </c>
    </row>
    <row r="473" spans="1:9" x14ac:dyDescent="0.25">
      <c r="A473" s="2" t="s">
        <v>13</v>
      </c>
      <c r="B473" s="2" t="s">
        <v>14</v>
      </c>
      <c r="C473" s="6">
        <v>41095</v>
      </c>
      <c r="D473" s="7">
        <v>0.60416666666666663</v>
      </c>
      <c r="E473" s="8">
        <v>513</v>
      </c>
      <c r="F473" s="8">
        <v>347</v>
      </c>
      <c r="G473" s="8">
        <v>315</v>
      </c>
      <c r="H473" s="8">
        <v>32</v>
      </c>
      <c r="I473" s="8">
        <v>0</v>
      </c>
    </row>
    <row r="474" spans="1:9" x14ac:dyDescent="0.25">
      <c r="A474" s="2" t="s">
        <v>13</v>
      </c>
      <c r="B474" s="2" t="s">
        <v>14</v>
      </c>
      <c r="C474" s="6">
        <v>41095</v>
      </c>
      <c r="D474" s="7">
        <v>0.625</v>
      </c>
      <c r="E474" s="8">
        <v>507</v>
      </c>
      <c r="F474" s="8">
        <v>383</v>
      </c>
      <c r="G474" s="8">
        <v>344</v>
      </c>
      <c r="H474" s="8">
        <v>39</v>
      </c>
      <c r="I474" s="8">
        <v>0</v>
      </c>
    </row>
    <row r="475" spans="1:9" x14ac:dyDescent="0.25">
      <c r="A475" s="2" t="s">
        <v>13</v>
      </c>
      <c r="B475" s="2" t="s">
        <v>14</v>
      </c>
      <c r="C475" s="6">
        <v>41095</v>
      </c>
      <c r="D475" s="7">
        <v>0.64583333333333337</v>
      </c>
      <c r="E475" s="8">
        <v>403</v>
      </c>
      <c r="F475" s="8">
        <v>403</v>
      </c>
      <c r="G475" s="8">
        <v>332</v>
      </c>
      <c r="H475" s="8">
        <v>71</v>
      </c>
      <c r="I475" s="8">
        <v>0</v>
      </c>
    </row>
    <row r="476" spans="1:9" x14ac:dyDescent="0.25">
      <c r="A476" s="2" t="s">
        <v>13</v>
      </c>
      <c r="B476" s="2" t="s">
        <v>14</v>
      </c>
      <c r="C476" s="6">
        <v>41095</v>
      </c>
      <c r="D476" s="7">
        <v>0.66666666666666663</v>
      </c>
      <c r="E476" s="8">
        <v>351</v>
      </c>
      <c r="F476" s="8">
        <v>425</v>
      </c>
      <c r="G476" s="8">
        <v>330</v>
      </c>
      <c r="H476" s="8">
        <v>95</v>
      </c>
      <c r="I476" s="8">
        <v>0</v>
      </c>
    </row>
    <row r="477" spans="1:9" x14ac:dyDescent="0.25">
      <c r="A477" s="2" t="s">
        <v>13</v>
      </c>
      <c r="B477" s="2" t="s">
        <v>14</v>
      </c>
      <c r="C477" s="6">
        <v>41095</v>
      </c>
      <c r="D477" s="7">
        <v>0.6875</v>
      </c>
      <c r="E477" s="8">
        <v>337</v>
      </c>
      <c r="F477" s="8">
        <v>423</v>
      </c>
      <c r="G477" s="8">
        <v>296</v>
      </c>
      <c r="H477" s="8">
        <v>127</v>
      </c>
      <c r="I477" s="8">
        <v>0</v>
      </c>
    </row>
    <row r="478" spans="1:9" x14ac:dyDescent="0.25">
      <c r="A478" s="2" t="s">
        <v>13</v>
      </c>
      <c r="B478" s="2" t="s">
        <v>14</v>
      </c>
      <c r="C478" s="6">
        <v>41095</v>
      </c>
      <c r="D478" s="7">
        <v>0.70833333333333337</v>
      </c>
      <c r="E478" s="8">
        <v>292</v>
      </c>
      <c r="F478" s="8">
        <v>383</v>
      </c>
      <c r="G478" s="8">
        <v>252</v>
      </c>
      <c r="H478" s="8">
        <v>131</v>
      </c>
      <c r="I478" s="8">
        <v>0</v>
      </c>
    </row>
    <row r="479" spans="1:9" x14ac:dyDescent="0.25">
      <c r="A479" s="2" t="s">
        <v>13</v>
      </c>
      <c r="B479" s="2" t="s">
        <v>14</v>
      </c>
      <c r="C479" s="6">
        <v>41095</v>
      </c>
      <c r="D479" s="7">
        <v>0.72916666666666663</v>
      </c>
      <c r="E479" s="8">
        <v>308</v>
      </c>
      <c r="F479" s="8">
        <v>293</v>
      </c>
      <c r="G479" s="8">
        <v>191</v>
      </c>
      <c r="H479" s="8">
        <v>102</v>
      </c>
      <c r="I479" s="8">
        <v>0</v>
      </c>
    </row>
    <row r="480" spans="1:9" x14ac:dyDescent="0.25">
      <c r="A480" s="2" t="s">
        <v>13</v>
      </c>
      <c r="B480" s="2" t="s">
        <v>14</v>
      </c>
      <c r="C480" s="6">
        <v>41095</v>
      </c>
      <c r="D480" s="7">
        <v>0.75</v>
      </c>
      <c r="E480" s="8">
        <v>248</v>
      </c>
      <c r="F480" s="8">
        <v>135</v>
      </c>
      <c r="G480" s="8">
        <v>104</v>
      </c>
      <c r="H480" s="8">
        <v>31</v>
      </c>
      <c r="I480" s="8">
        <v>0</v>
      </c>
    </row>
    <row r="481" spans="1:9" x14ac:dyDescent="0.25">
      <c r="A481" s="2" t="s">
        <v>13</v>
      </c>
      <c r="B481" s="2" t="s">
        <v>14</v>
      </c>
      <c r="C481" s="6">
        <v>41095</v>
      </c>
      <c r="D481" s="7">
        <v>0.77083333333333337</v>
      </c>
      <c r="E481" s="8">
        <v>239</v>
      </c>
      <c r="F481" s="8">
        <v>71</v>
      </c>
      <c r="G481" s="8">
        <v>66</v>
      </c>
      <c r="H481" s="8">
        <v>5</v>
      </c>
      <c r="I481" s="8">
        <v>0</v>
      </c>
    </row>
    <row r="482" spans="1:9" x14ac:dyDescent="0.25">
      <c r="A482" s="2" t="s">
        <v>13</v>
      </c>
      <c r="B482" s="2" t="s">
        <v>14</v>
      </c>
      <c r="C482" s="6">
        <v>41095</v>
      </c>
      <c r="D482" s="7">
        <v>0.79166666666666663</v>
      </c>
      <c r="E482" s="8">
        <v>239</v>
      </c>
      <c r="F482" s="8">
        <v>47</v>
      </c>
      <c r="G482" s="8">
        <v>44</v>
      </c>
      <c r="H482" s="8">
        <v>3</v>
      </c>
      <c r="I482" s="8">
        <v>0</v>
      </c>
    </row>
    <row r="483" spans="1:9" x14ac:dyDescent="0.25">
      <c r="A483" s="2" t="s">
        <v>13</v>
      </c>
      <c r="B483" s="2" t="s">
        <v>14</v>
      </c>
      <c r="C483" s="6">
        <v>41095</v>
      </c>
      <c r="D483" s="7">
        <v>0.8125</v>
      </c>
      <c r="E483" s="8">
        <v>223</v>
      </c>
      <c r="F483" s="8">
        <v>38</v>
      </c>
      <c r="G483" s="8">
        <v>37</v>
      </c>
      <c r="H483" s="8">
        <v>1</v>
      </c>
      <c r="I483" s="8">
        <v>0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Q05">
    <tabColor theme="3" tint="0.59999389629810485"/>
  </sheetPr>
  <dimension ref="A1:R50"/>
  <sheetViews>
    <sheetView showGridLines="0" workbookViewId="0">
      <selection sqref="A1:R1"/>
    </sheetView>
  </sheetViews>
  <sheetFormatPr defaultRowHeight="15" x14ac:dyDescent="0.25"/>
  <cols>
    <col min="1" max="1" width="22" bestFit="1" customWidth="1"/>
  </cols>
  <sheetData>
    <row r="1" spans="1:18" ht="123" customHeight="1" thickBot="1" x14ac:dyDescent="0.3">
      <c r="A1" s="134" t="s">
        <v>1361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6"/>
    </row>
    <row r="9" spans="1:18" x14ac:dyDescent="0.25">
      <c r="A9" s="38" t="s">
        <v>1359</v>
      </c>
    </row>
    <row r="10" spans="1:18" x14ac:dyDescent="0.25">
      <c r="A10" s="37"/>
    </row>
    <row r="11" spans="1:18" x14ac:dyDescent="0.25">
      <c r="A11" s="37"/>
    </row>
    <row r="12" spans="1:18" x14ac:dyDescent="0.25">
      <c r="A12" s="37"/>
    </row>
    <row r="13" spans="1:18" x14ac:dyDescent="0.25">
      <c r="A13" s="37"/>
    </row>
    <row r="14" spans="1:18" x14ac:dyDescent="0.25">
      <c r="A14" s="37"/>
    </row>
    <row r="15" spans="1:18" x14ac:dyDescent="0.25">
      <c r="A15" s="37"/>
    </row>
    <row r="16" spans="1:18" x14ac:dyDescent="0.25">
      <c r="A16" s="37"/>
    </row>
    <row r="17" spans="1:1" x14ac:dyDescent="0.25">
      <c r="A17" s="37"/>
    </row>
    <row r="18" spans="1:1" x14ac:dyDescent="0.25">
      <c r="A18" s="37"/>
    </row>
    <row r="19" spans="1:1" x14ac:dyDescent="0.25">
      <c r="A19" s="37"/>
    </row>
    <row r="20" spans="1:1" x14ac:dyDescent="0.25">
      <c r="A20" s="37"/>
    </row>
    <row r="21" spans="1:1" x14ac:dyDescent="0.25">
      <c r="A21" s="37"/>
    </row>
    <row r="22" spans="1:1" x14ac:dyDescent="0.25">
      <c r="A22" s="37"/>
    </row>
    <row r="23" spans="1:1" x14ac:dyDescent="0.25">
      <c r="A23" s="37"/>
    </row>
    <row r="24" spans="1:1" x14ac:dyDescent="0.25">
      <c r="A24" s="37"/>
    </row>
    <row r="25" spans="1:1" x14ac:dyDescent="0.25">
      <c r="A25" s="37"/>
    </row>
    <row r="26" spans="1:1" x14ac:dyDescent="0.25">
      <c r="A26" s="37"/>
    </row>
    <row r="27" spans="1:1" x14ac:dyDescent="0.25">
      <c r="A27" s="37"/>
    </row>
    <row r="28" spans="1:1" x14ac:dyDescent="0.25">
      <c r="A28" s="37"/>
    </row>
    <row r="29" spans="1:1" x14ac:dyDescent="0.25">
      <c r="A29" s="37"/>
    </row>
    <row r="30" spans="1:1" x14ac:dyDescent="0.25">
      <c r="A30" s="37"/>
    </row>
    <row r="31" spans="1:1" x14ac:dyDescent="0.25">
      <c r="A31" s="37"/>
    </row>
    <row r="32" spans="1:1" x14ac:dyDescent="0.25">
      <c r="A32" s="37"/>
    </row>
    <row r="33" spans="1:1" x14ac:dyDescent="0.25">
      <c r="A33" s="37"/>
    </row>
    <row r="34" spans="1:1" x14ac:dyDescent="0.25">
      <c r="A34" s="37"/>
    </row>
    <row r="35" spans="1:1" x14ac:dyDescent="0.25">
      <c r="A35" s="37"/>
    </row>
    <row r="36" spans="1:1" x14ac:dyDescent="0.25">
      <c r="A36" s="37"/>
    </row>
    <row r="37" spans="1:1" x14ac:dyDescent="0.25">
      <c r="A37" s="37"/>
    </row>
    <row r="38" spans="1:1" x14ac:dyDescent="0.25">
      <c r="A38" s="37"/>
    </row>
    <row r="39" spans="1:1" x14ac:dyDescent="0.25">
      <c r="A39" s="37"/>
    </row>
    <row r="40" spans="1:1" x14ac:dyDescent="0.25">
      <c r="A40" s="37"/>
    </row>
    <row r="41" spans="1:1" x14ac:dyDescent="0.25">
      <c r="A41" s="37"/>
    </row>
    <row r="42" spans="1:1" x14ac:dyDescent="0.25">
      <c r="A42" s="37"/>
    </row>
    <row r="43" spans="1:1" x14ac:dyDescent="0.25">
      <c r="A43" s="37"/>
    </row>
    <row r="44" spans="1:1" x14ac:dyDescent="0.25">
      <c r="A44" s="37"/>
    </row>
    <row r="45" spans="1:1" x14ac:dyDescent="0.25">
      <c r="A45" s="37"/>
    </row>
    <row r="46" spans="1:1" x14ac:dyDescent="0.25">
      <c r="A46" s="37"/>
    </row>
    <row r="47" spans="1:1" x14ac:dyDescent="0.25">
      <c r="A47" s="37"/>
    </row>
    <row r="48" spans="1:1" x14ac:dyDescent="0.25">
      <c r="A48" s="37"/>
    </row>
    <row r="49" spans="1:1" x14ac:dyDescent="0.25">
      <c r="A49" s="37"/>
    </row>
    <row r="50" spans="1:1" x14ac:dyDescent="0.25">
      <c r="A50" s="37"/>
    </row>
  </sheetData>
  <mergeCells count="1">
    <mergeCell ref="A1:R1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4579" r:id="rId3" name="btnFibonacci">
          <controlPr autoLine="0" r:id="rId4">
            <anchor moveWithCells="1">
              <from>
                <xdr:col>0</xdr:col>
                <xdr:colOff>28575</xdr:colOff>
                <xdr:row>6</xdr:row>
                <xdr:rowOff>0</xdr:rowOff>
              </from>
              <to>
                <xdr:col>1</xdr:col>
                <xdr:colOff>9525</xdr:colOff>
                <xdr:row>7</xdr:row>
                <xdr:rowOff>114300</xdr:rowOff>
              </to>
            </anchor>
          </controlPr>
        </control>
      </mc:Choice>
      <mc:Fallback>
        <control shapeId="24579" r:id="rId3" name="btnFibonacci"/>
      </mc:Fallback>
    </mc:AlternateContent>
    <mc:AlternateContent xmlns:mc="http://schemas.openxmlformats.org/markup-compatibility/2006">
      <mc:Choice Requires="x14">
        <control shapeId="24578" r:id="rId5" name="TextBox1">
          <controlPr autoLine="0" r:id="rId6">
            <anchor>
              <from>
                <xdr:col>1</xdr:col>
                <xdr:colOff>28575</xdr:colOff>
                <xdr:row>2</xdr:row>
                <xdr:rowOff>180975</xdr:rowOff>
              </from>
              <to>
                <xdr:col>2</xdr:col>
                <xdr:colOff>104775</xdr:colOff>
                <xdr:row>4</xdr:row>
                <xdr:rowOff>47625</xdr:rowOff>
              </to>
            </anchor>
          </controlPr>
        </control>
      </mc:Choice>
      <mc:Fallback>
        <control shapeId="24578" r:id="rId5" name="TextBox1"/>
      </mc:Fallback>
    </mc:AlternateContent>
    <mc:AlternateContent xmlns:mc="http://schemas.openxmlformats.org/markup-compatibility/2006">
      <mc:Choice Requires="x14">
        <control shapeId="24577" r:id="rId7" name="Label1">
          <controlPr defaultSize="0" autoLine="0" r:id="rId8">
            <anchor>
              <from>
                <xdr:col>0</xdr:col>
                <xdr:colOff>28575</xdr:colOff>
                <xdr:row>3</xdr:row>
                <xdr:rowOff>19050</xdr:rowOff>
              </from>
              <to>
                <xdr:col>0</xdr:col>
                <xdr:colOff>1400175</xdr:colOff>
                <xdr:row>4</xdr:row>
                <xdr:rowOff>0</xdr:rowOff>
              </to>
            </anchor>
          </controlPr>
        </control>
      </mc:Choice>
      <mc:Fallback>
        <control shapeId="24577" r:id="rId7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Q06">
    <tabColor theme="3" tint="0.59999389629810485"/>
  </sheetPr>
  <dimension ref="A1:I33"/>
  <sheetViews>
    <sheetView showGridLines="0" workbookViewId="0">
      <selection sqref="A1:I1"/>
    </sheetView>
  </sheetViews>
  <sheetFormatPr defaultRowHeight="15" x14ac:dyDescent="0.25"/>
  <cols>
    <col min="1" max="1" width="33.42578125" bestFit="1" customWidth="1"/>
    <col min="2" max="2" width="1.28515625" customWidth="1"/>
    <col min="3" max="3" width="33.42578125" bestFit="1" customWidth="1"/>
    <col min="4" max="4" width="1.28515625" customWidth="1"/>
    <col min="5" max="5" width="33.42578125" bestFit="1" customWidth="1"/>
    <col min="6" max="6" width="1.28515625" customWidth="1"/>
    <col min="7" max="7" width="33.42578125" bestFit="1" customWidth="1"/>
    <col min="8" max="8" width="1.28515625" customWidth="1"/>
    <col min="9" max="9" width="33.42578125" customWidth="1"/>
  </cols>
  <sheetData>
    <row r="1" spans="1:9" ht="84.75" customHeight="1" thickBot="1" x14ac:dyDescent="0.3">
      <c r="A1" s="134" t="s">
        <v>1415</v>
      </c>
      <c r="B1" s="135"/>
      <c r="C1" s="135"/>
      <c r="D1" s="135"/>
      <c r="E1" s="135"/>
      <c r="F1" s="135"/>
      <c r="G1" s="135"/>
      <c r="H1" s="135"/>
      <c r="I1" s="136"/>
    </row>
    <row r="3" spans="1:9" x14ac:dyDescent="0.25">
      <c r="A3" s="154" t="s">
        <v>1414</v>
      </c>
      <c r="B3" s="155"/>
      <c r="C3" s="155"/>
      <c r="D3" s="155"/>
      <c r="E3" s="155"/>
      <c r="F3" s="155"/>
      <c r="G3" s="155"/>
      <c r="H3" s="155"/>
      <c r="I3" s="156"/>
    </row>
    <row r="4" spans="1:9" ht="4.5" customHeight="1" x14ac:dyDescent="0.25">
      <c r="G4" s="76"/>
    </row>
    <row r="5" spans="1:9" x14ac:dyDescent="0.25">
      <c r="A5" s="83" t="s">
        <v>1385</v>
      </c>
      <c r="C5" s="73" t="s">
        <v>1386</v>
      </c>
      <c r="E5" s="83" t="s">
        <v>1387</v>
      </c>
      <c r="G5" s="73" t="s">
        <v>1388</v>
      </c>
      <c r="I5" s="80" t="s">
        <v>1389</v>
      </c>
    </row>
    <row r="6" spans="1:9" x14ac:dyDescent="0.25">
      <c r="A6" s="84" t="s">
        <v>1390</v>
      </c>
      <c r="C6" s="74" t="s">
        <v>1391</v>
      </c>
      <c r="E6" s="84" t="s">
        <v>1392</v>
      </c>
      <c r="G6" s="74" t="s">
        <v>1392</v>
      </c>
      <c r="I6" s="81" t="s">
        <v>1393</v>
      </c>
    </row>
    <row r="7" spans="1:9" x14ac:dyDescent="0.25">
      <c r="A7" s="84" t="s">
        <v>1394</v>
      </c>
      <c r="C7" s="74" t="s">
        <v>1395</v>
      </c>
      <c r="E7" s="84" t="s">
        <v>1396</v>
      </c>
      <c r="G7" s="74" t="s">
        <v>1396</v>
      </c>
      <c r="I7" s="81" t="s">
        <v>1392</v>
      </c>
    </row>
    <row r="8" spans="1:9" x14ac:dyDescent="0.25">
      <c r="A8" s="85" t="s">
        <v>1397</v>
      </c>
      <c r="C8" s="75" t="s">
        <v>1398</v>
      </c>
      <c r="E8" s="85" t="s">
        <v>1399</v>
      </c>
      <c r="G8" s="75" t="s">
        <v>1399</v>
      </c>
      <c r="I8" s="82"/>
    </row>
    <row r="9" spans="1:9" x14ac:dyDescent="0.25">
      <c r="A9" s="73" t="s">
        <v>1400</v>
      </c>
      <c r="C9" s="83" t="s">
        <v>1401</v>
      </c>
      <c r="E9" s="73" t="s">
        <v>1402</v>
      </c>
    </row>
    <row r="10" spans="1:9" x14ac:dyDescent="0.25">
      <c r="A10" s="74" t="s">
        <v>1403</v>
      </c>
      <c r="C10" s="84" t="s">
        <v>1392</v>
      </c>
      <c r="E10" s="74" t="s">
        <v>1392</v>
      </c>
    </row>
    <row r="11" spans="1:9" x14ac:dyDescent="0.25">
      <c r="A11" s="74" t="s">
        <v>1404</v>
      </c>
      <c r="C11" s="84" t="s">
        <v>1405</v>
      </c>
      <c r="E11" s="74" t="s">
        <v>1405</v>
      </c>
    </row>
    <row r="12" spans="1:9" x14ac:dyDescent="0.25">
      <c r="A12" s="75" t="s">
        <v>1398</v>
      </c>
      <c r="C12" s="85" t="s">
        <v>1399</v>
      </c>
      <c r="E12" s="75" t="s">
        <v>1399</v>
      </c>
    </row>
    <row r="13" spans="1:9" x14ac:dyDescent="0.25">
      <c r="A13" s="83" t="s">
        <v>1406</v>
      </c>
      <c r="C13" s="73" t="s">
        <v>1407</v>
      </c>
    </row>
    <row r="14" spans="1:9" x14ac:dyDescent="0.25">
      <c r="A14" s="84" t="s">
        <v>1408</v>
      </c>
      <c r="C14" s="74" t="s">
        <v>1392</v>
      </c>
    </row>
    <row r="15" spans="1:9" x14ac:dyDescent="0.25">
      <c r="A15" s="84" t="s">
        <v>1409</v>
      </c>
      <c r="C15" s="74" t="s">
        <v>1410</v>
      </c>
    </row>
    <row r="16" spans="1:9" x14ac:dyDescent="0.25">
      <c r="A16" s="85" t="s">
        <v>1399</v>
      </c>
      <c r="C16" s="75" t="s">
        <v>1399</v>
      </c>
    </row>
    <row r="17" spans="1:5" x14ac:dyDescent="0.25">
      <c r="A17" s="73" t="s">
        <v>1411</v>
      </c>
    </row>
    <row r="18" spans="1:5" x14ac:dyDescent="0.25">
      <c r="A18" s="74" t="s">
        <v>1408</v>
      </c>
    </row>
    <row r="19" spans="1:5" x14ac:dyDescent="0.25">
      <c r="A19" s="74" t="s">
        <v>1412</v>
      </c>
    </row>
    <row r="20" spans="1:5" x14ac:dyDescent="0.25">
      <c r="A20" s="75" t="s">
        <v>1413</v>
      </c>
    </row>
    <row r="23" spans="1:5" ht="15.75" thickBot="1" x14ac:dyDescent="0.3"/>
    <row r="24" spans="1:5" x14ac:dyDescent="0.25">
      <c r="E24" s="77">
        <v>0</v>
      </c>
    </row>
    <row r="25" spans="1:5" x14ac:dyDescent="0.25">
      <c r="E25" s="78">
        <v>1</v>
      </c>
    </row>
    <row r="26" spans="1:5" x14ac:dyDescent="0.25">
      <c r="E26" s="78">
        <v>2</v>
      </c>
    </row>
    <row r="27" spans="1:5" x14ac:dyDescent="0.25">
      <c r="E27" s="78">
        <v>3</v>
      </c>
    </row>
    <row r="28" spans="1:5" x14ac:dyDescent="0.25">
      <c r="E28" s="78">
        <v>4</v>
      </c>
    </row>
    <row r="29" spans="1:5" x14ac:dyDescent="0.25">
      <c r="E29" s="78">
        <v>7</v>
      </c>
    </row>
    <row r="30" spans="1:5" x14ac:dyDescent="0.25">
      <c r="E30" s="78">
        <v>7</v>
      </c>
    </row>
    <row r="31" spans="1:5" x14ac:dyDescent="0.25">
      <c r="E31" s="78">
        <v>8</v>
      </c>
    </row>
    <row r="32" spans="1:5" x14ac:dyDescent="0.25">
      <c r="E32" s="78">
        <v>9</v>
      </c>
    </row>
    <row r="33" spans="5:5" ht="15.75" thickBot="1" x14ac:dyDescent="0.3">
      <c r="E33" s="79">
        <v>10</v>
      </c>
    </row>
  </sheetData>
  <mergeCells count="2">
    <mergeCell ref="A1:I1"/>
    <mergeCell ref="A3:I3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9697" r:id="rId3" name="CommandButton1">
          <controlPr autoLine="0" r:id="rId4">
            <anchor moveWithCells="1">
              <from>
                <xdr:col>4</xdr:col>
                <xdr:colOff>295275</xdr:colOff>
                <xdr:row>20</xdr:row>
                <xdr:rowOff>0</xdr:rowOff>
              </from>
              <to>
                <xdr:col>4</xdr:col>
                <xdr:colOff>1990725</xdr:colOff>
                <xdr:row>22</xdr:row>
                <xdr:rowOff>76200</xdr:rowOff>
              </to>
            </anchor>
          </controlPr>
        </control>
      </mc:Choice>
      <mc:Fallback>
        <control shapeId="296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Q07">
    <tabColor theme="3" tint="0.59999389629810485"/>
  </sheetPr>
  <dimension ref="A1:L21"/>
  <sheetViews>
    <sheetView showGridLines="0" workbookViewId="0"/>
  </sheetViews>
  <sheetFormatPr defaultRowHeight="15" x14ac:dyDescent="0.25"/>
  <cols>
    <col min="1" max="1" width="23.7109375" customWidth="1"/>
    <col min="2" max="2" width="5.7109375" customWidth="1"/>
    <col min="3" max="3" width="12.140625" customWidth="1"/>
    <col min="4" max="4" width="13.140625" customWidth="1"/>
    <col min="5" max="5" width="17.28515625" customWidth="1"/>
    <col min="6" max="6" width="14.42578125" customWidth="1"/>
    <col min="7" max="7" width="14" customWidth="1"/>
    <col min="8" max="8" width="12.5703125" customWidth="1"/>
    <col min="9" max="9" width="5.7109375" customWidth="1"/>
  </cols>
  <sheetData>
    <row r="1" spans="1:12" x14ac:dyDescent="0.25">
      <c r="A1" s="95" t="s">
        <v>1416</v>
      </c>
      <c r="B1" s="96"/>
      <c r="C1" s="96"/>
      <c r="D1" s="96"/>
      <c r="E1" s="96"/>
      <c r="F1" s="96"/>
      <c r="G1" s="96"/>
      <c r="H1" s="96"/>
      <c r="I1" s="97"/>
      <c r="J1" s="97"/>
      <c r="K1" s="97"/>
      <c r="L1" s="89"/>
    </row>
    <row r="2" spans="1:12" x14ac:dyDescent="0.25">
      <c r="A2" s="90"/>
      <c r="B2" s="86"/>
      <c r="C2" s="86"/>
      <c r="D2" s="86"/>
      <c r="E2" s="86"/>
      <c r="F2" s="86"/>
      <c r="G2" s="86"/>
      <c r="H2" s="86"/>
      <c r="I2" s="86"/>
      <c r="J2" s="86"/>
      <c r="K2" s="86"/>
      <c r="L2" s="91"/>
    </row>
    <row r="3" spans="1:12" x14ac:dyDescent="0.25">
      <c r="A3" s="98" t="s">
        <v>1417</v>
      </c>
      <c r="B3" s="99" t="s">
        <v>1428</v>
      </c>
      <c r="C3" s="86"/>
      <c r="D3" s="86"/>
      <c r="E3" s="86"/>
      <c r="F3" s="86"/>
      <c r="G3" s="86"/>
      <c r="H3" s="86"/>
      <c r="I3" s="86"/>
      <c r="J3" s="86"/>
      <c r="K3" s="86"/>
      <c r="L3" s="91"/>
    </row>
    <row r="4" spans="1:12" x14ac:dyDescent="0.25">
      <c r="A4" s="98" t="s">
        <v>1425</v>
      </c>
      <c r="B4" s="86" t="s">
        <v>1418</v>
      </c>
      <c r="C4" s="86"/>
      <c r="D4" s="86"/>
      <c r="E4" s="86"/>
      <c r="F4" s="86"/>
      <c r="G4" s="86"/>
      <c r="H4" s="86"/>
      <c r="I4" s="86"/>
      <c r="J4" s="86"/>
      <c r="K4" s="86"/>
      <c r="L4" s="91"/>
    </row>
    <row r="5" spans="1:12" ht="15.75" thickBot="1" x14ac:dyDescent="0.3">
      <c r="A5" s="100"/>
      <c r="B5" s="86"/>
      <c r="C5" s="86"/>
      <c r="D5" s="86"/>
      <c r="E5" s="86"/>
      <c r="F5" s="86"/>
      <c r="G5" s="86"/>
      <c r="H5" s="86"/>
      <c r="I5" s="86"/>
      <c r="J5" s="86"/>
      <c r="K5" s="86"/>
      <c r="L5" s="91"/>
    </row>
    <row r="6" spans="1:12" x14ac:dyDescent="0.25">
      <c r="A6" s="98" t="s">
        <v>1419</v>
      </c>
      <c r="B6" s="87"/>
      <c r="C6" s="88"/>
      <c r="D6" s="88"/>
      <c r="E6" s="88"/>
      <c r="F6" s="88"/>
      <c r="G6" s="88"/>
      <c r="H6" s="88"/>
      <c r="I6" s="89"/>
      <c r="J6" s="86"/>
      <c r="K6" s="86"/>
      <c r="L6" s="91"/>
    </row>
    <row r="7" spans="1:12" x14ac:dyDescent="0.25">
      <c r="A7" s="90"/>
      <c r="B7" s="90"/>
      <c r="C7" s="86" t="s">
        <v>1420</v>
      </c>
      <c r="D7" s="86"/>
      <c r="E7" s="86"/>
      <c r="F7" s="86"/>
      <c r="G7" s="86"/>
      <c r="H7" s="86"/>
      <c r="I7" s="91"/>
      <c r="J7" s="86"/>
      <c r="K7" s="86"/>
      <c r="L7" s="91"/>
    </row>
    <row r="8" spans="1:12" x14ac:dyDescent="0.25">
      <c r="A8" s="90"/>
      <c r="B8" s="90"/>
      <c r="C8" s="86"/>
      <c r="D8" s="86"/>
      <c r="E8" s="86"/>
      <c r="F8" s="86"/>
      <c r="G8" s="86"/>
      <c r="H8" s="86"/>
      <c r="I8" s="91"/>
      <c r="J8" s="86"/>
      <c r="K8" s="86"/>
      <c r="L8" s="91"/>
    </row>
    <row r="9" spans="1:12" x14ac:dyDescent="0.25">
      <c r="A9" s="90"/>
      <c r="B9" s="90"/>
      <c r="C9" s="86" t="s">
        <v>1421</v>
      </c>
      <c r="D9" s="86"/>
      <c r="E9" s="86"/>
      <c r="F9" s="86"/>
      <c r="G9" s="86"/>
      <c r="H9" s="86"/>
      <c r="I9" s="91"/>
      <c r="J9" s="86"/>
      <c r="K9" s="86"/>
      <c r="L9" s="91"/>
    </row>
    <row r="10" spans="1:12" x14ac:dyDescent="0.25">
      <c r="A10" s="86"/>
      <c r="B10" s="90"/>
      <c r="C10" s="86"/>
      <c r="D10" s="86"/>
      <c r="E10" s="86"/>
      <c r="F10" s="86"/>
      <c r="G10" s="86"/>
      <c r="H10" s="86"/>
      <c r="I10" s="91"/>
      <c r="J10" s="86"/>
      <c r="K10" s="86"/>
      <c r="L10" s="91"/>
    </row>
    <row r="11" spans="1:12" x14ac:dyDescent="0.25">
      <c r="A11" s="90"/>
      <c r="B11" s="90"/>
      <c r="C11" s="105" t="s">
        <v>0</v>
      </c>
      <c r="D11" s="10" t="s">
        <v>1</v>
      </c>
      <c r="E11" s="10" t="s">
        <v>2</v>
      </c>
      <c r="F11" s="10" t="s">
        <v>3</v>
      </c>
      <c r="G11" s="10" t="s">
        <v>4</v>
      </c>
      <c r="H11" s="10" t="s">
        <v>5</v>
      </c>
      <c r="I11" s="91"/>
      <c r="J11" s="86"/>
      <c r="K11" s="86"/>
      <c r="L11" s="91"/>
    </row>
    <row r="12" spans="1:12" x14ac:dyDescent="0.25">
      <c r="A12" s="90"/>
      <c r="B12" s="90"/>
      <c r="C12" s="11" t="s">
        <v>6</v>
      </c>
      <c r="D12" s="11" t="s">
        <v>8</v>
      </c>
      <c r="E12" s="12">
        <v>616684</v>
      </c>
      <c r="F12" s="12">
        <v>593638</v>
      </c>
      <c r="G12" s="12">
        <v>22957</v>
      </c>
      <c r="H12" s="12">
        <v>89</v>
      </c>
      <c r="I12" s="91"/>
      <c r="J12" s="86"/>
      <c r="K12" s="86"/>
      <c r="L12" s="91"/>
    </row>
    <row r="13" spans="1:12" x14ac:dyDescent="0.25">
      <c r="A13" s="90"/>
      <c r="B13" s="90"/>
      <c r="C13" s="11" t="s">
        <v>6</v>
      </c>
      <c r="D13" s="11" t="s">
        <v>7</v>
      </c>
      <c r="E13" s="12">
        <v>814634</v>
      </c>
      <c r="F13" s="12">
        <v>754427</v>
      </c>
      <c r="G13" s="12">
        <v>45355</v>
      </c>
      <c r="H13" s="12">
        <v>14852</v>
      </c>
      <c r="I13" s="91"/>
      <c r="J13" s="86"/>
      <c r="K13" s="86"/>
      <c r="L13" s="91"/>
    </row>
    <row r="14" spans="1:12" x14ac:dyDescent="0.25">
      <c r="A14" s="90"/>
      <c r="B14" s="90"/>
      <c r="C14" s="86"/>
      <c r="D14" s="86"/>
      <c r="E14" s="86"/>
      <c r="F14" s="86"/>
      <c r="G14" s="86"/>
      <c r="H14" s="86"/>
      <c r="I14" s="91"/>
      <c r="J14" s="86"/>
      <c r="K14" s="86"/>
      <c r="L14" s="91"/>
    </row>
    <row r="15" spans="1:12" x14ac:dyDescent="0.25">
      <c r="A15" s="90"/>
      <c r="B15" s="90"/>
      <c r="C15" s="86" t="s">
        <v>1422</v>
      </c>
      <c r="D15" s="86"/>
      <c r="E15" s="86"/>
      <c r="F15" s="86"/>
      <c r="G15" s="86"/>
      <c r="H15" s="86"/>
      <c r="I15" s="91"/>
      <c r="J15" s="86"/>
      <c r="K15" s="86"/>
      <c r="L15" s="91"/>
    </row>
    <row r="16" spans="1:12" x14ac:dyDescent="0.25">
      <c r="A16" s="90"/>
      <c r="B16" s="90"/>
      <c r="C16" s="86"/>
      <c r="D16" s="86"/>
      <c r="E16" s="86"/>
      <c r="F16" s="86"/>
      <c r="G16" s="86"/>
      <c r="H16" s="86"/>
      <c r="I16" s="91"/>
      <c r="J16" s="86"/>
      <c r="K16" s="86"/>
      <c r="L16" s="91"/>
    </row>
    <row r="17" spans="1:12" x14ac:dyDescent="0.25">
      <c r="A17" s="90"/>
      <c r="B17" s="90"/>
      <c r="C17" s="86" t="s">
        <v>1423</v>
      </c>
      <c r="D17" s="86"/>
      <c r="E17" s="86"/>
      <c r="F17" s="86"/>
      <c r="G17" s="86"/>
      <c r="H17" s="86"/>
      <c r="I17" s="91"/>
      <c r="J17" s="86"/>
      <c r="K17" s="86"/>
      <c r="L17" s="91"/>
    </row>
    <row r="18" spans="1:12" x14ac:dyDescent="0.25">
      <c r="A18" s="90"/>
      <c r="B18" s="90"/>
      <c r="C18" s="86" t="s">
        <v>1424</v>
      </c>
      <c r="D18" s="86"/>
      <c r="E18" s="86"/>
      <c r="F18" s="86"/>
      <c r="G18" s="86"/>
      <c r="H18" s="86"/>
      <c r="I18" s="91"/>
      <c r="J18" s="86"/>
      <c r="K18" s="86"/>
      <c r="L18" s="91"/>
    </row>
    <row r="19" spans="1:12" ht="15.75" thickBot="1" x14ac:dyDescent="0.3">
      <c r="A19" s="90"/>
      <c r="B19" s="92"/>
      <c r="C19" s="93"/>
      <c r="D19" s="93"/>
      <c r="E19" s="93"/>
      <c r="F19" s="93"/>
      <c r="G19" s="93"/>
      <c r="H19" s="93"/>
      <c r="I19" s="94"/>
      <c r="J19" s="86"/>
      <c r="K19" s="86"/>
      <c r="L19" s="91"/>
    </row>
    <row r="20" spans="1:12" x14ac:dyDescent="0.25">
      <c r="A20" s="90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91"/>
    </row>
    <row r="21" spans="1:12" ht="15.75" thickBot="1" x14ac:dyDescent="0.3">
      <c r="A21" s="92"/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4"/>
    </row>
  </sheetData>
  <hyperlinks>
    <hyperlink ref="B3" r:id="rId1"/>
  </hyperlinks>
  <pageMargins left="0.511811024" right="0.511811024" top="0.78740157499999996" bottom="0.78740157499999996" header="0.31496062000000002" footer="0.31496062000000002"/>
  <drawing r:id="rId2"/>
  <legacyDrawing r:id="rId3"/>
  <controls>
    <mc:AlternateContent xmlns:mc="http://schemas.openxmlformats.org/markup-compatibility/2006">
      <mc:Choice Requires="x14">
        <control shapeId="38913" r:id="rId4" name="CommandButton1">
          <controlPr defaultSize="0" autoLine="0" r:id="rId5">
            <anchor moveWithCells="1">
              <from>
                <xdr:col>4</xdr:col>
                <xdr:colOff>133350</xdr:colOff>
                <xdr:row>22</xdr:row>
                <xdr:rowOff>66675</xdr:rowOff>
              </from>
              <to>
                <xdr:col>6</xdr:col>
                <xdr:colOff>685800</xdr:colOff>
                <xdr:row>25</xdr:row>
                <xdr:rowOff>66675</xdr:rowOff>
              </to>
            </anchor>
          </controlPr>
        </control>
      </mc:Choice>
      <mc:Fallback>
        <control shapeId="38913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08">
    <tabColor theme="5" tint="0.59999389629810485"/>
  </sheetPr>
  <dimension ref="A1:O1208"/>
  <sheetViews>
    <sheetView showGridLines="0" workbookViewId="0">
      <selection sqref="A1:M1"/>
    </sheetView>
  </sheetViews>
  <sheetFormatPr defaultRowHeight="15" x14ac:dyDescent="0.25"/>
  <cols>
    <col min="1" max="1" width="12.42578125" bestFit="1" customWidth="1"/>
    <col min="2" max="2" width="11.85546875" bestFit="1" customWidth="1"/>
    <col min="3" max="3" width="10.7109375" bestFit="1" customWidth="1"/>
    <col min="4" max="4" width="12.5703125" bestFit="1" customWidth="1"/>
    <col min="5" max="5" width="17.28515625" bestFit="1" customWidth="1"/>
    <col min="6" max="6" width="18" bestFit="1" customWidth="1"/>
    <col min="7" max="7" width="6.85546875" customWidth="1"/>
    <col min="8" max="8" width="11.140625" bestFit="1" customWidth="1"/>
    <col min="9" max="9" width="11.85546875" bestFit="1" customWidth="1"/>
    <col min="10" max="10" width="10.7109375" bestFit="1" customWidth="1"/>
    <col min="11" max="11" width="12.5703125" bestFit="1" customWidth="1"/>
    <col min="12" max="12" width="17.28515625" bestFit="1" customWidth="1"/>
    <col min="13" max="13" width="11.140625" bestFit="1" customWidth="1"/>
    <col min="14" max="14" width="15.7109375" bestFit="1" customWidth="1"/>
    <col min="15" max="15" width="16.5703125" bestFit="1" customWidth="1"/>
  </cols>
  <sheetData>
    <row r="1" spans="1:15" ht="108" customHeight="1" thickBot="1" x14ac:dyDescent="0.3">
      <c r="A1" s="134" t="s">
        <v>1429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6"/>
    </row>
    <row r="3" spans="1:15" ht="15.75" thickBot="1" x14ac:dyDescent="0.3">
      <c r="A3" s="13" t="s">
        <v>18</v>
      </c>
    </row>
    <row r="4" spans="1:15" ht="83.25" customHeight="1" thickBot="1" x14ac:dyDescent="0.3">
      <c r="A4" s="157" t="s">
        <v>1443</v>
      </c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9"/>
    </row>
    <row r="6" spans="1:15" x14ac:dyDescent="0.25">
      <c r="A6" s="13" t="s">
        <v>16</v>
      </c>
      <c r="H6" s="13" t="s">
        <v>17</v>
      </c>
    </row>
    <row r="7" spans="1:15" ht="30" customHeight="1" x14ac:dyDescent="0.25">
      <c r="A7" s="23" t="s">
        <v>41</v>
      </c>
      <c r="B7" s="23" t="s">
        <v>40</v>
      </c>
      <c r="C7" s="23" t="s">
        <v>20</v>
      </c>
      <c r="D7" s="23" t="s">
        <v>31</v>
      </c>
      <c r="E7" s="23" t="s">
        <v>22</v>
      </c>
      <c r="F7" s="23" t="s">
        <v>42</v>
      </c>
      <c r="H7" s="23" t="s">
        <v>41</v>
      </c>
      <c r="I7" s="23" t="s">
        <v>40</v>
      </c>
      <c r="J7" s="23" t="s">
        <v>20</v>
      </c>
      <c r="K7" s="23" t="s">
        <v>31</v>
      </c>
      <c r="L7" s="23" t="s">
        <v>22</v>
      </c>
      <c r="M7" s="23" t="s">
        <v>32</v>
      </c>
      <c r="N7" s="23" t="s">
        <v>43</v>
      </c>
      <c r="O7" s="23" t="s">
        <v>33</v>
      </c>
    </row>
    <row r="8" spans="1:15" x14ac:dyDescent="0.25">
      <c r="A8" s="22" t="s">
        <v>37</v>
      </c>
      <c r="B8" s="24">
        <v>610208</v>
      </c>
      <c r="C8" s="20">
        <v>41131</v>
      </c>
      <c r="D8" s="24">
        <v>477</v>
      </c>
      <c r="E8" s="24">
        <v>67</v>
      </c>
      <c r="F8" s="24">
        <v>228</v>
      </c>
      <c r="H8" s="21" t="s">
        <v>37</v>
      </c>
      <c r="I8" s="24">
        <v>610208</v>
      </c>
      <c r="J8" s="20">
        <v>41122</v>
      </c>
      <c r="K8" s="25">
        <v>85</v>
      </c>
      <c r="L8" s="25">
        <v>0</v>
      </c>
      <c r="M8" s="25">
        <v>0</v>
      </c>
      <c r="N8" s="25">
        <v>0</v>
      </c>
      <c r="O8" s="25">
        <v>0</v>
      </c>
    </row>
    <row r="9" spans="1:15" x14ac:dyDescent="0.25">
      <c r="A9" s="22" t="s">
        <v>37</v>
      </c>
      <c r="B9" s="24">
        <v>610208</v>
      </c>
      <c r="C9" s="20">
        <v>41133</v>
      </c>
      <c r="D9" s="24">
        <v>477</v>
      </c>
      <c r="E9" s="24">
        <v>18</v>
      </c>
      <c r="F9" s="24">
        <v>378</v>
      </c>
      <c r="H9" s="21" t="s">
        <v>37</v>
      </c>
      <c r="I9" s="24">
        <v>610208</v>
      </c>
      <c r="J9" s="20">
        <v>41122</v>
      </c>
      <c r="K9" s="25">
        <v>477</v>
      </c>
      <c r="L9" s="25">
        <v>42</v>
      </c>
      <c r="M9" s="25">
        <v>14777</v>
      </c>
      <c r="N9" s="25">
        <v>12</v>
      </c>
      <c r="O9" s="25">
        <v>0</v>
      </c>
    </row>
    <row r="10" spans="1:15" x14ac:dyDescent="0.25">
      <c r="A10" s="22" t="s">
        <v>37</v>
      </c>
      <c r="B10" s="24">
        <v>610208</v>
      </c>
      <c r="C10" s="20">
        <v>41134</v>
      </c>
      <c r="D10" s="24">
        <v>477</v>
      </c>
      <c r="E10" s="24">
        <v>58</v>
      </c>
      <c r="F10" s="24">
        <v>286</v>
      </c>
      <c r="H10" s="21" t="s">
        <v>37</v>
      </c>
      <c r="I10" s="24">
        <v>610208</v>
      </c>
      <c r="J10" s="20">
        <v>41122</v>
      </c>
      <c r="K10" s="25">
        <v>478</v>
      </c>
      <c r="L10" s="25">
        <v>18</v>
      </c>
      <c r="M10" s="25">
        <v>5612</v>
      </c>
      <c r="N10" s="25">
        <v>0</v>
      </c>
      <c r="O10" s="25">
        <v>0</v>
      </c>
    </row>
    <row r="11" spans="1:15" x14ac:dyDescent="0.25">
      <c r="A11" s="22" t="s">
        <v>37</v>
      </c>
      <c r="B11" s="24">
        <v>610208</v>
      </c>
      <c r="C11" s="20">
        <v>41135</v>
      </c>
      <c r="D11" s="24">
        <v>477</v>
      </c>
      <c r="E11" s="24">
        <v>21</v>
      </c>
      <c r="F11" s="24">
        <v>317</v>
      </c>
      <c r="H11" s="21" t="s">
        <v>37</v>
      </c>
      <c r="I11" s="24">
        <v>610208</v>
      </c>
      <c r="J11" s="20">
        <v>41122</v>
      </c>
      <c r="K11" s="25">
        <v>481</v>
      </c>
      <c r="L11" s="25">
        <v>0</v>
      </c>
      <c r="M11" s="25">
        <v>0</v>
      </c>
      <c r="N11" s="25">
        <v>0</v>
      </c>
      <c r="O11" s="25">
        <v>0</v>
      </c>
    </row>
    <row r="12" spans="1:15" x14ac:dyDescent="0.25">
      <c r="A12" s="22" t="s">
        <v>37</v>
      </c>
      <c r="B12" s="24">
        <v>610208</v>
      </c>
      <c r="C12" s="20">
        <v>41136</v>
      </c>
      <c r="D12" s="24">
        <v>477</v>
      </c>
      <c r="E12" s="24">
        <v>1</v>
      </c>
      <c r="F12" s="24">
        <v>346</v>
      </c>
      <c r="H12" s="21" t="s">
        <v>37</v>
      </c>
      <c r="I12" s="24">
        <v>610208</v>
      </c>
      <c r="J12" s="20">
        <v>41122</v>
      </c>
      <c r="K12" s="25">
        <v>790</v>
      </c>
      <c r="L12" s="25">
        <v>0</v>
      </c>
      <c r="M12" s="25">
        <v>0</v>
      </c>
      <c r="N12" s="25">
        <v>0</v>
      </c>
      <c r="O12" s="25">
        <v>0</v>
      </c>
    </row>
    <row r="13" spans="1:15" x14ac:dyDescent="0.25">
      <c r="A13" s="22" t="s">
        <v>36</v>
      </c>
      <c r="B13" s="24">
        <v>610832</v>
      </c>
      <c r="C13" s="20">
        <v>41131</v>
      </c>
      <c r="D13" s="24">
        <v>477</v>
      </c>
      <c r="E13" s="24">
        <v>52</v>
      </c>
      <c r="F13" s="24">
        <v>326</v>
      </c>
      <c r="H13" s="21" t="s">
        <v>37</v>
      </c>
      <c r="I13" s="24">
        <v>610208</v>
      </c>
      <c r="J13" s="20">
        <v>41123</v>
      </c>
      <c r="K13" s="25">
        <v>85</v>
      </c>
      <c r="L13" s="25">
        <v>0</v>
      </c>
      <c r="M13" s="25">
        <v>0</v>
      </c>
      <c r="N13" s="25">
        <v>0</v>
      </c>
      <c r="O13" s="25">
        <v>0</v>
      </c>
    </row>
    <row r="14" spans="1:15" x14ac:dyDescent="0.25">
      <c r="A14" s="22" t="s">
        <v>36</v>
      </c>
      <c r="B14" s="24">
        <v>610832</v>
      </c>
      <c r="C14" s="20">
        <v>41133</v>
      </c>
      <c r="D14" s="24">
        <v>477</v>
      </c>
      <c r="E14" s="24">
        <v>28</v>
      </c>
      <c r="F14" s="24">
        <v>275</v>
      </c>
      <c r="H14" s="21" t="s">
        <v>37</v>
      </c>
      <c r="I14" s="24">
        <v>610208</v>
      </c>
      <c r="J14" s="20">
        <v>41123</v>
      </c>
      <c r="K14" s="25">
        <v>477</v>
      </c>
      <c r="L14" s="25">
        <v>52</v>
      </c>
      <c r="M14" s="25">
        <v>17432</v>
      </c>
      <c r="N14" s="25">
        <v>10</v>
      </c>
      <c r="O14" s="25">
        <v>0</v>
      </c>
    </row>
    <row r="15" spans="1:15" x14ac:dyDescent="0.25">
      <c r="A15" s="22" t="s">
        <v>36</v>
      </c>
      <c r="B15" s="24">
        <v>610832</v>
      </c>
      <c r="C15" s="20">
        <v>41134</v>
      </c>
      <c r="D15" s="24">
        <v>477</v>
      </c>
      <c r="E15" s="24">
        <v>48</v>
      </c>
      <c r="F15" s="24">
        <v>348</v>
      </c>
      <c r="H15" s="21" t="s">
        <v>37</v>
      </c>
      <c r="I15" s="24">
        <v>610208</v>
      </c>
      <c r="J15" s="20">
        <v>41123</v>
      </c>
      <c r="K15" s="25">
        <v>478</v>
      </c>
      <c r="L15" s="25">
        <v>10</v>
      </c>
      <c r="M15" s="25">
        <v>2251</v>
      </c>
      <c r="N15" s="25">
        <v>0</v>
      </c>
      <c r="O15" s="25">
        <v>0</v>
      </c>
    </row>
    <row r="16" spans="1:15" x14ac:dyDescent="0.25">
      <c r="A16" s="22" t="s">
        <v>36</v>
      </c>
      <c r="B16" s="24">
        <v>610832</v>
      </c>
      <c r="C16" s="20">
        <v>41135</v>
      </c>
      <c r="D16" s="24">
        <v>477</v>
      </c>
      <c r="E16" s="24">
        <v>20</v>
      </c>
      <c r="F16" s="24">
        <v>393</v>
      </c>
      <c r="H16" s="21" t="s">
        <v>37</v>
      </c>
      <c r="I16" s="24">
        <v>610208</v>
      </c>
      <c r="J16" s="20">
        <v>41123</v>
      </c>
      <c r="K16" s="25">
        <v>481</v>
      </c>
      <c r="L16" s="25">
        <v>0</v>
      </c>
      <c r="M16" s="25">
        <v>0</v>
      </c>
      <c r="N16" s="25">
        <v>0</v>
      </c>
      <c r="O16" s="25">
        <v>0</v>
      </c>
    </row>
    <row r="17" spans="1:15" x14ac:dyDescent="0.25">
      <c r="A17" s="22" t="s">
        <v>36</v>
      </c>
      <c r="B17" s="24">
        <v>610832</v>
      </c>
      <c r="C17" s="20">
        <v>41136</v>
      </c>
      <c r="D17" s="24">
        <v>477</v>
      </c>
      <c r="E17" s="24">
        <v>3</v>
      </c>
      <c r="F17" s="24">
        <v>279</v>
      </c>
      <c r="H17" s="21" t="s">
        <v>37</v>
      </c>
      <c r="I17" s="24">
        <v>610208</v>
      </c>
      <c r="J17" s="20">
        <v>41123</v>
      </c>
      <c r="K17" s="25">
        <v>790</v>
      </c>
      <c r="L17" s="25">
        <v>0</v>
      </c>
      <c r="M17" s="25">
        <v>0</v>
      </c>
      <c r="N17" s="25">
        <v>0</v>
      </c>
      <c r="O17" s="25">
        <v>0</v>
      </c>
    </row>
    <row r="18" spans="1:15" x14ac:dyDescent="0.25">
      <c r="A18" s="22" t="s">
        <v>35</v>
      </c>
      <c r="B18" s="24">
        <v>611419</v>
      </c>
      <c r="C18" s="20">
        <v>41131</v>
      </c>
      <c r="D18" s="24">
        <v>477</v>
      </c>
      <c r="E18" s="24">
        <v>53</v>
      </c>
      <c r="F18" s="24">
        <v>213</v>
      </c>
      <c r="H18" s="21" t="s">
        <v>37</v>
      </c>
      <c r="I18" s="24">
        <v>610208</v>
      </c>
      <c r="J18" s="20">
        <v>41124</v>
      </c>
      <c r="K18" s="25">
        <v>85</v>
      </c>
      <c r="L18" s="25">
        <v>0</v>
      </c>
      <c r="M18" s="25">
        <v>0</v>
      </c>
      <c r="N18" s="25">
        <v>0</v>
      </c>
      <c r="O18" s="25">
        <v>0</v>
      </c>
    </row>
    <row r="19" spans="1:15" x14ac:dyDescent="0.25">
      <c r="A19" s="22" t="s">
        <v>35</v>
      </c>
      <c r="B19" s="24">
        <v>611419</v>
      </c>
      <c r="C19" s="20">
        <v>41132</v>
      </c>
      <c r="D19" s="24">
        <v>477</v>
      </c>
      <c r="E19" s="24">
        <v>53</v>
      </c>
      <c r="F19" s="24">
        <v>283</v>
      </c>
      <c r="H19" s="21" t="s">
        <v>37</v>
      </c>
      <c r="I19" s="24">
        <v>610208</v>
      </c>
      <c r="J19" s="20">
        <v>41124</v>
      </c>
      <c r="K19" s="25">
        <v>477</v>
      </c>
      <c r="L19" s="25">
        <v>25</v>
      </c>
      <c r="M19" s="25">
        <v>8907</v>
      </c>
      <c r="N19" s="25">
        <v>0</v>
      </c>
      <c r="O19" s="25">
        <v>0</v>
      </c>
    </row>
    <row r="20" spans="1:15" x14ac:dyDescent="0.25">
      <c r="A20" s="22" t="s">
        <v>35</v>
      </c>
      <c r="B20" s="24">
        <v>611419</v>
      </c>
      <c r="C20" s="20">
        <v>41134</v>
      </c>
      <c r="D20" s="24">
        <v>477</v>
      </c>
      <c r="E20" s="24">
        <v>44</v>
      </c>
      <c r="F20" s="24">
        <v>247</v>
      </c>
      <c r="H20" s="21" t="s">
        <v>37</v>
      </c>
      <c r="I20" s="24">
        <v>610208</v>
      </c>
      <c r="J20" s="20">
        <v>41124</v>
      </c>
      <c r="K20" s="25">
        <v>478</v>
      </c>
      <c r="L20" s="25">
        <v>11</v>
      </c>
      <c r="M20" s="25">
        <v>3076</v>
      </c>
      <c r="N20" s="25">
        <v>3</v>
      </c>
      <c r="O20" s="25">
        <v>0</v>
      </c>
    </row>
    <row r="21" spans="1:15" x14ac:dyDescent="0.25">
      <c r="A21" s="22" t="s">
        <v>35</v>
      </c>
      <c r="B21" s="24">
        <v>611419</v>
      </c>
      <c r="C21" s="20">
        <v>41135</v>
      </c>
      <c r="D21" s="24">
        <v>477</v>
      </c>
      <c r="E21" s="24">
        <v>51</v>
      </c>
      <c r="F21" s="24">
        <v>231</v>
      </c>
      <c r="H21" s="21" t="s">
        <v>37</v>
      </c>
      <c r="I21" s="24">
        <v>610208</v>
      </c>
      <c r="J21" s="20">
        <v>41124</v>
      </c>
      <c r="K21" s="25">
        <v>481</v>
      </c>
      <c r="L21" s="25">
        <v>28</v>
      </c>
      <c r="M21" s="25">
        <v>7755</v>
      </c>
      <c r="N21" s="25">
        <v>2</v>
      </c>
      <c r="O21" s="25">
        <v>0</v>
      </c>
    </row>
    <row r="22" spans="1:15" x14ac:dyDescent="0.25">
      <c r="A22" s="22" t="s">
        <v>34</v>
      </c>
      <c r="B22" s="24">
        <v>613447</v>
      </c>
      <c r="C22" s="20">
        <v>41131</v>
      </c>
      <c r="D22" s="24">
        <v>477</v>
      </c>
      <c r="E22" s="24">
        <v>52</v>
      </c>
      <c r="F22" s="24">
        <v>337</v>
      </c>
      <c r="H22" s="21" t="s">
        <v>37</v>
      </c>
      <c r="I22" s="24">
        <v>610208</v>
      </c>
      <c r="J22" s="20">
        <v>41124</v>
      </c>
      <c r="K22" s="25">
        <v>790</v>
      </c>
      <c r="L22" s="25">
        <v>0</v>
      </c>
      <c r="M22" s="25">
        <v>0</v>
      </c>
      <c r="N22" s="25">
        <v>0</v>
      </c>
      <c r="O22" s="25">
        <v>0</v>
      </c>
    </row>
    <row r="23" spans="1:15" x14ac:dyDescent="0.25">
      <c r="A23" s="22" t="s">
        <v>34</v>
      </c>
      <c r="B23" s="24">
        <v>613447</v>
      </c>
      <c r="C23" s="20">
        <v>41132</v>
      </c>
      <c r="D23" s="24">
        <v>477</v>
      </c>
      <c r="E23" s="24">
        <v>61</v>
      </c>
      <c r="F23" s="24">
        <v>295</v>
      </c>
      <c r="H23" s="21" t="s">
        <v>37</v>
      </c>
      <c r="I23" s="24">
        <v>610208</v>
      </c>
      <c r="J23" s="20">
        <v>41125</v>
      </c>
      <c r="K23" s="25">
        <v>85</v>
      </c>
      <c r="L23" s="25">
        <v>0</v>
      </c>
      <c r="M23" s="25">
        <v>0</v>
      </c>
      <c r="N23" s="25">
        <v>0</v>
      </c>
      <c r="O23" s="25">
        <v>0</v>
      </c>
    </row>
    <row r="24" spans="1:15" x14ac:dyDescent="0.25">
      <c r="A24" s="22" t="s">
        <v>34</v>
      </c>
      <c r="B24" s="24">
        <v>613447</v>
      </c>
      <c r="C24" s="20">
        <v>41134</v>
      </c>
      <c r="D24" s="24">
        <v>477</v>
      </c>
      <c r="E24" s="24">
        <v>48</v>
      </c>
      <c r="F24" s="24">
        <v>308</v>
      </c>
      <c r="H24" s="21" t="s">
        <v>37</v>
      </c>
      <c r="I24" s="24">
        <v>610208</v>
      </c>
      <c r="J24" s="20">
        <v>41125</v>
      </c>
      <c r="K24" s="25">
        <v>477</v>
      </c>
      <c r="L24" s="25">
        <v>19</v>
      </c>
      <c r="M24" s="25">
        <v>4061</v>
      </c>
      <c r="N24" s="25">
        <v>2</v>
      </c>
      <c r="O24" s="25">
        <v>0</v>
      </c>
    </row>
    <row r="25" spans="1:15" x14ac:dyDescent="0.25">
      <c r="A25" s="22" t="s">
        <v>34</v>
      </c>
      <c r="B25" s="24">
        <v>613447</v>
      </c>
      <c r="C25" s="20">
        <v>41135</v>
      </c>
      <c r="D25" s="24">
        <v>477</v>
      </c>
      <c r="E25" s="24">
        <v>26</v>
      </c>
      <c r="F25" s="24">
        <v>208</v>
      </c>
      <c r="H25" s="21" t="s">
        <v>37</v>
      </c>
      <c r="I25" s="24">
        <v>610208</v>
      </c>
      <c r="J25" s="20">
        <v>41125</v>
      </c>
      <c r="K25" s="25">
        <v>478</v>
      </c>
      <c r="L25" s="25">
        <v>53</v>
      </c>
      <c r="M25" s="25">
        <v>14541</v>
      </c>
      <c r="N25" s="25">
        <v>17</v>
      </c>
      <c r="O25" s="25">
        <v>0</v>
      </c>
    </row>
    <row r="26" spans="1:15" x14ac:dyDescent="0.25">
      <c r="A26" s="22" t="s">
        <v>34</v>
      </c>
      <c r="B26" s="24">
        <v>613447</v>
      </c>
      <c r="C26" s="20">
        <v>41136</v>
      </c>
      <c r="D26" s="24">
        <v>477</v>
      </c>
      <c r="E26" s="24">
        <v>1</v>
      </c>
      <c r="F26" s="24">
        <v>238</v>
      </c>
      <c r="H26" s="21" t="s">
        <v>37</v>
      </c>
      <c r="I26" s="24">
        <v>610208</v>
      </c>
      <c r="J26" s="20">
        <v>41125</v>
      </c>
      <c r="K26" s="25">
        <v>481</v>
      </c>
      <c r="L26" s="25">
        <v>0</v>
      </c>
      <c r="M26" s="25">
        <v>0</v>
      </c>
      <c r="N26" s="25">
        <v>0</v>
      </c>
      <c r="O26" s="25">
        <v>0</v>
      </c>
    </row>
    <row r="27" spans="1:15" x14ac:dyDescent="0.25">
      <c r="H27" s="21" t="s">
        <v>37</v>
      </c>
      <c r="I27" s="24">
        <v>610208</v>
      </c>
      <c r="J27" s="20">
        <v>41125</v>
      </c>
      <c r="K27" s="25">
        <v>790</v>
      </c>
      <c r="L27" s="25">
        <v>0</v>
      </c>
      <c r="M27" s="25">
        <v>0</v>
      </c>
      <c r="N27" s="25">
        <v>0</v>
      </c>
      <c r="O27" s="25">
        <v>0</v>
      </c>
    </row>
    <row r="28" spans="1:15" x14ac:dyDescent="0.25">
      <c r="H28" s="21" t="s">
        <v>37</v>
      </c>
      <c r="I28" s="24">
        <v>610208</v>
      </c>
      <c r="J28" s="20">
        <v>41127</v>
      </c>
      <c r="K28" s="25">
        <v>85</v>
      </c>
      <c r="L28" s="25">
        <v>0</v>
      </c>
      <c r="M28" s="25">
        <v>0</v>
      </c>
      <c r="N28" s="25">
        <v>0</v>
      </c>
      <c r="O28" s="25">
        <v>0</v>
      </c>
    </row>
    <row r="29" spans="1:15" x14ac:dyDescent="0.25">
      <c r="A29" s="110"/>
      <c r="B29" s="110"/>
      <c r="C29" s="110"/>
      <c r="D29" s="110"/>
      <c r="E29" s="110"/>
      <c r="F29" s="110"/>
      <c r="H29" s="21" t="s">
        <v>37</v>
      </c>
      <c r="I29" s="24">
        <v>610208</v>
      </c>
      <c r="J29" s="20">
        <v>41127</v>
      </c>
      <c r="K29" s="25">
        <v>477</v>
      </c>
      <c r="L29" s="25">
        <v>50</v>
      </c>
      <c r="M29" s="25">
        <v>14130</v>
      </c>
      <c r="N29" s="25">
        <v>20</v>
      </c>
      <c r="O29" s="25">
        <v>0</v>
      </c>
    </row>
    <row r="30" spans="1:15" x14ac:dyDescent="0.25">
      <c r="A30" s="106"/>
      <c r="B30" s="107"/>
      <c r="C30" s="108"/>
      <c r="D30" s="109"/>
      <c r="E30" s="109"/>
      <c r="F30" s="107"/>
      <c r="H30" s="21" t="s">
        <v>37</v>
      </c>
      <c r="I30" s="24">
        <v>610208</v>
      </c>
      <c r="J30" s="20">
        <v>41127</v>
      </c>
      <c r="K30" s="25">
        <v>478</v>
      </c>
      <c r="L30" s="25">
        <v>5</v>
      </c>
      <c r="M30" s="25">
        <v>1924</v>
      </c>
      <c r="N30" s="25">
        <v>2</v>
      </c>
      <c r="O30" s="25">
        <v>0</v>
      </c>
    </row>
    <row r="31" spans="1:15" x14ac:dyDescent="0.25">
      <c r="A31" s="106"/>
      <c r="B31" s="107"/>
      <c r="C31" s="108"/>
      <c r="D31" s="109"/>
      <c r="E31" s="109"/>
      <c r="F31" s="107"/>
      <c r="H31" s="21" t="s">
        <v>37</v>
      </c>
      <c r="I31" s="24">
        <v>610208</v>
      </c>
      <c r="J31" s="20">
        <v>41127</v>
      </c>
      <c r="K31" s="25">
        <v>481</v>
      </c>
      <c r="L31" s="25">
        <v>3</v>
      </c>
      <c r="M31" s="25">
        <v>374</v>
      </c>
      <c r="N31" s="25">
        <v>2</v>
      </c>
      <c r="O31" s="25">
        <v>0</v>
      </c>
    </row>
    <row r="32" spans="1:15" x14ac:dyDescent="0.25">
      <c r="A32" s="106"/>
      <c r="B32" s="107"/>
      <c r="C32" s="108"/>
      <c r="D32" s="109"/>
      <c r="E32" s="109"/>
      <c r="F32" s="107"/>
      <c r="H32" s="21" t="s">
        <v>37</v>
      </c>
      <c r="I32" s="24">
        <v>610208</v>
      </c>
      <c r="J32" s="20">
        <v>41127</v>
      </c>
      <c r="K32" s="25">
        <v>790</v>
      </c>
      <c r="L32" s="25">
        <v>0</v>
      </c>
      <c r="M32" s="25">
        <v>0</v>
      </c>
      <c r="N32" s="25">
        <v>0</v>
      </c>
      <c r="O32" s="25">
        <v>0</v>
      </c>
    </row>
    <row r="33" spans="1:15" x14ac:dyDescent="0.25">
      <c r="A33" s="106"/>
      <c r="B33" s="107"/>
      <c r="C33" s="108"/>
      <c r="D33" s="109"/>
      <c r="E33" s="109"/>
      <c r="F33" s="107"/>
      <c r="H33" s="21" t="s">
        <v>37</v>
      </c>
      <c r="I33" s="24">
        <v>610208</v>
      </c>
      <c r="J33" s="20">
        <v>41128</v>
      </c>
      <c r="K33" s="25">
        <v>85</v>
      </c>
      <c r="L33" s="25">
        <v>0</v>
      </c>
      <c r="M33" s="25">
        <v>0</v>
      </c>
      <c r="N33" s="25">
        <v>0</v>
      </c>
      <c r="O33" s="25">
        <v>0</v>
      </c>
    </row>
    <row r="34" spans="1:15" x14ac:dyDescent="0.25">
      <c r="A34" s="106"/>
      <c r="B34" s="107"/>
      <c r="C34" s="108"/>
      <c r="D34" s="109"/>
      <c r="E34" s="109"/>
      <c r="F34" s="107"/>
      <c r="H34" s="21" t="s">
        <v>37</v>
      </c>
      <c r="I34" s="24">
        <v>610208</v>
      </c>
      <c r="J34" s="20">
        <v>41128</v>
      </c>
      <c r="K34" s="25">
        <v>477</v>
      </c>
      <c r="L34" s="25">
        <v>42</v>
      </c>
      <c r="M34" s="25">
        <v>12830</v>
      </c>
      <c r="N34" s="25">
        <v>7</v>
      </c>
      <c r="O34" s="25">
        <v>0</v>
      </c>
    </row>
    <row r="35" spans="1:15" x14ac:dyDescent="0.25">
      <c r="A35" s="106"/>
      <c r="B35" s="107"/>
      <c r="C35" s="108"/>
      <c r="D35" s="109"/>
      <c r="E35" s="109"/>
      <c r="F35" s="107"/>
      <c r="H35" s="21" t="s">
        <v>37</v>
      </c>
      <c r="I35" s="24">
        <v>610208</v>
      </c>
      <c r="J35" s="20">
        <v>41128</v>
      </c>
      <c r="K35" s="25">
        <v>478</v>
      </c>
      <c r="L35" s="25">
        <v>11</v>
      </c>
      <c r="M35" s="25">
        <v>2858</v>
      </c>
      <c r="N35" s="25">
        <v>4</v>
      </c>
      <c r="O35" s="25">
        <v>0</v>
      </c>
    </row>
    <row r="36" spans="1:15" x14ac:dyDescent="0.25">
      <c r="A36" s="106"/>
      <c r="B36" s="107"/>
      <c r="C36" s="108"/>
      <c r="D36" s="109"/>
      <c r="E36" s="109"/>
      <c r="F36" s="107"/>
      <c r="H36" s="21" t="s">
        <v>37</v>
      </c>
      <c r="I36" s="24">
        <v>610208</v>
      </c>
      <c r="J36" s="20">
        <v>41128</v>
      </c>
      <c r="K36" s="25">
        <v>481</v>
      </c>
      <c r="L36" s="25">
        <v>18</v>
      </c>
      <c r="M36" s="25">
        <v>4732</v>
      </c>
      <c r="N36" s="25">
        <v>0</v>
      </c>
      <c r="O36" s="25">
        <v>0</v>
      </c>
    </row>
    <row r="37" spans="1:15" x14ac:dyDescent="0.25">
      <c r="A37" s="106"/>
      <c r="B37" s="107"/>
      <c r="C37" s="108"/>
      <c r="D37" s="109"/>
      <c r="E37" s="109"/>
      <c r="F37" s="107"/>
      <c r="H37" s="21" t="s">
        <v>37</v>
      </c>
      <c r="I37" s="24">
        <v>610208</v>
      </c>
      <c r="J37" s="20">
        <v>41128</v>
      </c>
      <c r="K37" s="25">
        <v>790</v>
      </c>
      <c r="L37" s="25">
        <v>0</v>
      </c>
      <c r="M37" s="25">
        <v>0</v>
      </c>
      <c r="N37" s="25">
        <v>0</v>
      </c>
      <c r="O37" s="25">
        <v>0</v>
      </c>
    </row>
    <row r="38" spans="1:15" x14ac:dyDescent="0.25">
      <c r="A38" s="106"/>
      <c r="B38" s="107"/>
      <c r="C38" s="108"/>
      <c r="D38" s="109"/>
      <c r="E38" s="109"/>
      <c r="F38" s="107"/>
      <c r="H38" s="21" t="s">
        <v>37</v>
      </c>
      <c r="I38" s="24">
        <v>610208</v>
      </c>
      <c r="J38" s="20">
        <v>41129</v>
      </c>
      <c r="K38" s="25">
        <v>85</v>
      </c>
      <c r="L38" s="25">
        <v>0</v>
      </c>
      <c r="M38" s="25">
        <v>0</v>
      </c>
      <c r="N38" s="25">
        <v>0</v>
      </c>
      <c r="O38" s="25">
        <v>0</v>
      </c>
    </row>
    <row r="39" spans="1:15" x14ac:dyDescent="0.25">
      <c r="A39" s="106"/>
      <c r="B39" s="107"/>
      <c r="C39" s="108"/>
      <c r="D39" s="109"/>
      <c r="E39" s="109"/>
      <c r="F39" s="107"/>
      <c r="H39" s="21" t="s">
        <v>37</v>
      </c>
      <c r="I39" s="24">
        <v>610208</v>
      </c>
      <c r="J39" s="20">
        <v>41129</v>
      </c>
      <c r="K39" s="25">
        <v>477</v>
      </c>
      <c r="L39" s="25">
        <v>43</v>
      </c>
      <c r="M39" s="25">
        <v>14404</v>
      </c>
      <c r="N39" s="25">
        <v>6</v>
      </c>
      <c r="O39" s="25">
        <v>0</v>
      </c>
    </row>
    <row r="40" spans="1:15" x14ac:dyDescent="0.25">
      <c r="A40" s="106"/>
      <c r="B40" s="107"/>
      <c r="C40" s="108"/>
      <c r="D40" s="109"/>
      <c r="E40" s="109"/>
      <c r="F40" s="107"/>
      <c r="H40" s="21" t="s">
        <v>37</v>
      </c>
      <c r="I40" s="24">
        <v>610208</v>
      </c>
      <c r="J40" s="20">
        <v>41129</v>
      </c>
      <c r="K40" s="25">
        <v>478</v>
      </c>
      <c r="L40" s="25">
        <v>8</v>
      </c>
      <c r="M40" s="25">
        <v>2572</v>
      </c>
      <c r="N40" s="25">
        <v>0</v>
      </c>
      <c r="O40" s="25">
        <v>0</v>
      </c>
    </row>
    <row r="41" spans="1:15" x14ac:dyDescent="0.25">
      <c r="A41" s="106"/>
      <c r="B41" s="107"/>
      <c r="C41" s="108"/>
      <c r="D41" s="109"/>
      <c r="E41" s="109"/>
      <c r="F41" s="107"/>
      <c r="H41" s="21" t="s">
        <v>37</v>
      </c>
      <c r="I41" s="24">
        <v>610208</v>
      </c>
      <c r="J41" s="20">
        <v>41129</v>
      </c>
      <c r="K41" s="25">
        <v>481</v>
      </c>
      <c r="L41" s="25">
        <v>14</v>
      </c>
      <c r="M41" s="25">
        <v>3551</v>
      </c>
      <c r="N41" s="25">
        <v>3</v>
      </c>
      <c r="O41" s="25">
        <v>0</v>
      </c>
    </row>
    <row r="42" spans="1:15" x14ac:dyDescent="0.25">
      <c r="A42" s="106"/>
      <c r="B42" s="107"/>
      <c r="C42" s="108"/>
      <c r="D42" s="109"/>
      <c r="E42" s="109"/>
      <c r="F42" s="107"/>
      <c r="H42" s="21" t="s">
        <v>37</v>
      </c>
      <c r="I42" s="24">
        <v>610208</v>
      </c>
      <c r="J42" s="20">
        <v>41129</v>
      </c>
      <c r="K42" s="25">
        <v>790</v>
      </c>
      <c r="L42" s="25">
        <v>0</v>
      </c>
      <c r="M42" s="25">
        <v>0</v>
      </c>
      <c r="N42" s="25">
        <v>0</v>
      </c>
      <c r="O42" s="25">
        <v>0</v>
      </c>
    </row>
    <row r="43" spans="1:15" x14ac:dyDescent="0.25">
      <c r="A43" s="106"/>
      <c r="B43" s="107"/>
      <c r="C43" s="108"/>
      <c r="D43" s="109"/>
      <c r="E43" s="109"/>
      <c r="F43" s="107"/>
      <c r="H43" s="21" t="s">
        <v>37</v>
      </c>
      <c r="I43" s="24">
        <v>610208</v>
      </c>
      <c r="J43" s="20">
        <v>41130</v>
      </c>
      <c r="K43" s="25">
        <v>85</v>
      </c>
      <c r="L43" s="25">
        <v>0</v>
      </c>
      <c r="M43" s="25">
        <v>0</v>
      </c>
      <c r="N43" s="25">
        <v>0</v>
      </c>
      <c r="O43" s="25">
        <v>0</v>
      </c>
    </row>
    <row r="44" spans="1:15" x14ac:dyDescent="0.25">
      <c r="A44" s="106"/>
      <c r="B44" s="107"/>
      <c r="C44" s="108"/>
      <c r="D44" s="109"/>
      <c r="E44" s="109"/>
      <c r="F44" s="107"/>
      <c r="H44" s="21" t="s">
        <v>37</v>
      </c>
      <c r="I44" s="24">
        <v>610208</v>
      </c>
      <c r="J44" s="20">
        <v>41130</v>
      </c>
      <c r="K44" s="25">
        <v>477</v>
      </c>
      <c r="L44" s="25">
        <v>52</v>
      </c>
      <c r="M44" s="25">
        <v>13921</v>
      </c>
      <c r="N44" s="25">
        <v>15</v>
      </c>
      <c r="O44" s="25">
        <v>0</v>
      </c>
    </row>
    <row r="45" spans="1:15" x14ac:dyDescent="0.25">
      <c r="A45" s="106"/>
      <c r="B45" s="107"/>
      <c r="C45" s="108"/>
      <c r="D45" s="109"/>
      <c r="E45" s="109"/>
      <c r="F45" s="107"/>
      <c r="H45" s="21" t="s">
        <v>37</v>
      </c>
      <c r="I45" s="24">
        <v>610208</v>
      </c>
      <c r="J45" s="20">
        <v>41130</v>
      </c>
      <c r="K45" s="25">
        <v>478</v>
      </c>
      <c r="L45" s="25">
        <v>18</v>
      </c>
      <c r="M45" s="25">
        <v>4872</v>
      </c>
      <c r="N45" s="25">
        <v>14</v>
      </c>
      <c r="O45" s="25">
        <v>0</v>
      </c>
    </row>
    <row r="46" spans="1:15" x14ac:dyDescent="0.25">
      <c r="A46" s="106"/>
      <c r="B46" s="107"/>
      <c r="C46" s="108"/>
      <c r="D46" s="109"/>
      <c r="E46" s="109"/>
      <c r="F46" s="107"/>
      <c r="H46" s="21" t="s">
        <v>37</v>
      </c>
      <c r="I46" s="24">
        <v>610208</v>
      </c>
      <c r="J46" s="20">
        <v>41130</v>
      </c>
      <c r="K46" s="25">
        <v>481</v>
      </c>
      <c r="L46" s="25">
        <v>2</v>
      </c>
      <c r="M46" s="25">
        <v>682</v>
      </c>
      <c r="N46" s="25">
        <v>0</v>
      </c>
      <c r="O46" s="25">
        <v>0</v>
      </c>
    </row>
    <row r="47" spans="1:15" x14ac:dyDescent="0.25">
      <c r="A47" s="106"/>
      <c r="B47" s="107"/>
      <c r="C47" s="108"/>
      <c r="D47" s="109"/>
      <c r="E47" s="109"/>
      <c r="F47" s="107"/>
      <c r="H47" s="21" t="s">
        <v>37</v>
      </c>
      <c r="I47" s="24">
        <v>610208</v>
      </c>
      <c r="J47" s="20">
        <v>41130</v>
      </c>
      <c r="K47" s="25">
        <v>790</v>
      </c>
      <c r="L47" s="25">
        <v>0</v>
      </c>
      <c r="M47" s="25">
        <v>0</v>
      </c>
      <c r="N47" s="25">
        <v>0</v>
      </c>
      <c r="O47" s="25">
        <v>0</v>
      </c>
    </row>
    <row r="48" spans="1:15" x14ac:dyDescent="0.25">
      <c r="A48" s="106"/>
      <c r="B48" s="107"/>
      <c r="C48" s="108"/>
      <c r="D48" s="109"/>
      <c r="E48" s="109"/>
      <c r="F48" s="107"/>
      <c r="H48" s="21" t="s">
        <v>37</v>
      </c>
      <c r="I48" s="24">
        <v>610208</v>
      </c>
      <c r="J48" s="20">
        <v>41131</v>
      </c>
      <c r="K48" s="25">
        <v>85</v>
      </c>
      <c r="L48" s="25">
        <v>0</v>
      </c>
      <c r="M48" s="25">
        <v>0</v>
      </c>
      <c r="N48" s="25">
        <v>0</v>
      </c>
      <c r="O48" s="25">
        <v>0</v>
      </c>
    </row>
    <row r="49" spans="8:15" x14ac:dyDescent="0.25">
      <c r="H49" s="21" t="s">
        <v>37</v>
      </c>
      <c r="I49" s="24">
        <v>610208</v>
      </c>
      <c r="J49" s="20">
        <v>41131</v>
      </c>
      <c r="K49" s="25">
        <v>477</v>
      </c>
      <c r="L49" s="25">
        <v>67</v>
      </c>
      <c r="M49" s="25">
        <v>15243</v>
      </c>
      <c r="N49" s="25">
        <v>13</v>
      </c>
      <c r="O49" s="25">
        <v>0</v>
      </c>
    </row>
    <row r="50" spans="8:15" x14ac:dyDescent="0.25">
      <c r="H50" s="21" t="s">
        <v>37</v>
      </c>
      <c r="I50" s="24">
        <v>610208</v>
      </c>
      <c r="J50" s="20">
        <v>41131</v>
      </c>
      <c r="K50" s="25">
        <v>478</v>
      </c>
      <c r="L50" s="25">
        <v>11</v>
      </c>
      <c r="M50" s="25">
        <v>2254</v>
      </c>
      <c r="N50" s="25">
        <v>0</v>
      </c>
      <c r="O50" s="25">
        <v>0</v>
      </c>
    </row>
    <row r="51" spans="8:15" x14ac:dyDescent="0.25">
      <c r="H51" s="21" t="s">
        <v>37</v>
      </c>
      <c r="I51" s="24">
        <v>610208</v>
      </c>
      <c r="J51" s="20">
        <v>41131</v>
      </c>
      <c r="K51" s="25">
        <v>481</v>
      </c>
      <c r="L51" s="25">
        <v>0</v>
      </c>
      <c r="M51" s="25">
        <v>0</v>
      </c>
      <c r="N51" s="25">
        <v>0</v>
      </c>
      <c r="O51" s="25">
        <v>0</v>
      </c>
    </row>
    <row r="52" spans="8:15" x14ac:dyDescent="0.25">
      <c r="H52" s="21" t="s">
        <v>37</v>
      </c>
      <c r="I52" s="24">
        <v>610208</v>
      </c>
      <c r="J52" s="20">
        <v>41131</v>
      </c>
      <c r="K52" s="25">
        <v>790</v>
      </c>
      <c r="L52" s="25">
        <v>0</v>
      </c>
      <c r="M52" s="25">
        <v>0</v>
      </c>
      <c r="N52" s="25">
        <v>0</v>
      </c>
      <c r="O52" s="25">
        <v>0</v>
      </c>
    </row>
    <row r="53" spans="8:15" x14ac:dyDescent="0.25">
      <c r="H53" s="21" t="s">
        <v>37</v>
      </c>
      <c r="I53" s="24">
        <v>610208</v>
      </c>
      <c r="J53" s="20">
        <v>41133</v>
      </c>
      <c r="K53" s="25">
        <v>85</v>
      </c>
      <c r="L53" s="25">
        <v>0</v>
      </c>
      <c r="M53" s="25">
        <v>0</v>
      </c>
      <c r="N53" s="25">
        <v>0</v>
      </c>
      <c r="O53" s="25">
        <v>0</v>
      </c>
    </row>
    <row r="54" spans="8:15" x14ac:dyDescent="0.25">
      <c r="H54" s="21" t="s">
        <v>37</v>
      </c>
      <c r="I54" s="24">
        <v>610208</v>
      </c>
      <c r="J54" s="20">
        <v>41133</v>
      </c>
      <c r="K54" s="25">
        <v>466</v>
      </c>
      <c r="L54" s="25">
        <v>1</v>
      </c>
      <c r="M54" s="25">
        <v>351</v>
      </c>
      <c r="N54" s="25">
        <v>0</v>
      </c>
      <c r="O54" s="25">
        <v>0</v>
      </c>
    </row>
    <row r="55" spans="8:15" x14ac:dyDescent="0.25">
      <c r="H55" s="21" t="s">
        <v>37</v>
      </c>
      <c r="I55" s="24">
        <v>610208</v>
      </c>
      <c r="J55" s="20">
        <v>41133</v>
      </c>
      <c r="K55" s="25">
        <v>477</v>
      </c>
      <c r="L55" s="25">
        <v>18</v>
      </c>
      <c r="M55" s="25">
        <v>6813</v>
      </c>
      <c r="N55" s="25">
        <v>0</v>
      </c>
      <c r="O55" s="25">
        <v>0</v>
      </c>
    </row>
    <row r="56" spans="8:15" x14ac:dyDescent="0.25">
      <c r="H56" s="21" t="s">
        <v>37</v>
      </c>
      <c r="I56" s="24">
        <v>610208</v>
      </c>
      <c r="J56" s="20">
        <v>41133</v>
      </c>
      <c r="K56" s="25">
        <v>478</v>
      </c>
      <c r="L56" s="25">
        <v>12</v>
      </c>
      <c r="M56" s="25">
        <v>3120</v>
      </c>
      <c r="N56" s="25">
        <v>3</v>
      </c>
      <c r="O56" s="25">
        <v>0</v>
      </c>
    </row>
    <row r="57" spans="8:15" x14ac:dyDescent="0.25">
      <c r="H57" s="21" t="s">
        <v>37</v>
      </c>
      <c r="I57" s="24">
        <v>610208</v>
      </c>
      <c r="J57" s="20">
        <v>41133</v>
      </c>
      <c r="K57" s="25">
        <v>481</v>
      </c>
      <c r="L57" s="25">
        <v>0</v>
      </c>
      <c r="M57" s="25">
        <v>0</v>
      </c>
      <c r="N57" s="25">
        <v>0</v>
      </c>
      <c r="O57" s="25">
        <v>0</v>
      </c>
    </row>
    <row r="58" spans="8:15" x14ac:dyDescent="0.25">
      <c r="H58" s="21" t="s">
        <v>37</v>
      </c>
      <c r="I58" s="24">
        <v>610208</v>
      </c>
      <c r="J58" s="20">
        <v>41133</v>
      </c>
      <c r="K58" s="25">
        <v>790</v>
      </c>
      <c r="L58" s="25">
        <v>0</v>
      </c>
      <c r="M58" s="25">
        <v>0</v>
      </c>
      <c r="N58" s="25">
        <v>0</v>
      </c>
      <c r="O58" s="25">
        <v>0</v>
      </c>
    </row>
    <row r="59" spans="8:15" x14ac:dyDescent="0.25">
      <c r="H59" s="21" t="s">
        <v>37</v>
      </c>
      <c r="I59" s="24">
        <v>610208</v>
      </c>
      <c r="J59" s="20">
        <v>41134</v>
      </c>
      <c r="K59" s="25">
        <v>85</v>
      </c>
      <c r="L59" s="25">
        <v>0</v>
      </c>
      <c r="M59" s="25">
        <v>0</v>
      </c>
      <c r="N59" s="25">
        <v>0</v>
      </c>
      <c r="O59" s="25">
        <v>0</v>
      </c>
    </row>
    <row r="60" spans="8:15" x14ac:dyDescent="0.25">
      <c r="H60" s="21" t="s">
        <v>37</v>
      </c>
      <c r="I60" s="24">
        <v>610208</v>
      </c>
      <c r="J60" s="20">
        <v>41134</v>
      </c>
      <c r="K60" s="25">
        <v>477</v>
      </c>
      <c r="L60" s="25">
        <v>58</v>
      </c>
      <c r="M60" s="25">
        <v>16595</v>
      </c>
      <c r="N60" s="25">
        <v>20</v>
      </c>
      <c r="O60" s="25">
        <v>0</v>
      </c>
    </row>
    <row r="61" spans="8:15" x14ac:dyDescent="0.25">
      <c r="H61" s="21" t="s">
        <v>37</v>
      </c>
      <c r="I61" s="24">
        <v>610208</v>
      </c>
      <c r="J61" s="20">
        <v>41134</v>
      </c>
      <c r="K61" s="25">
        <v>478</v>
      </c>
      <c r="L61" s="25">
        <v>9</v>
      </c>
      <c r="M61" s="25">
        <v>2912</v>
      </c>
      <c r="N61" s="25">
        <v>5</v>
      </c>
      <c r="O61" s="25">
        <v>0</v>
      </c>
    </row>
    <row r="62" spans="8:15" x14ac:dyDescent="0.25">
      <c r="H62" s="21" t="s">
        <v>37</v>
      </c>
      <c r="I62" s="24">
        <v>610208</v>
      </c>
      <c r="J62" s="20">
        <v>41134</v>
      </c>
      <c r="K62" s="25">
        <v>481</v>
      </c>
      <c r="L62" s="25">
        <v>0</v>
      </c>
      <c r="M62" s="25">
        <v>0</v>
      </c>
      <c r="N62" s="25">
        <v>0</v>
      </c>
      <c r="O62" s="25">
        <v>0</v>
      </c>
    </row>
    <row r="63" spans="8:15" x14ac:dyDescent="0.25">
      <c r="H63" s="21" t="s">
        <v>37</v>
      </c>
      <c r="I63" s="24">
        <v>610208</v>
      </c>
      <c r="J63" s="20">
        <v>41134</v>
      </c>
      <c r="K63" s="25">
        <v>790</v>
      </c>
      <c r="L63" s="25">
        <v>0</v>
      </c>
      <c r="M63" s="25">
        <v>0</v>
      </c>
      <c r="N63" s="25">
        <v>0</v>
      </c>
      <c r="O63" s="25">
        <v>0</v>
      </c>
    </row>
    <row r="64" spans="8:15" x14ac:dyDescent="0.25">
      <c r="H64" s="21" t="s">
        <v>37</v>
      </c>
      <c r="I64" s="24">
        <v>610208</v>
      </c>
      <c r="J64" s="20">
        <v>41135</v>
      </c>
      <c r="K64" s="25">
        <v>85</v>
      </c>
      <c r="L64" s="25">
        <v>0</v>
      </c>
      <c r="M64" s="25">
        <v>0</v>
      </c>
      <c r="N64" s="25">
        <v>0</v>
      </c>
      <c r="O64" s="25">
        <v>0</v>
      </c>
    </row>
    <row r="65" spans="8:15" x14ac:dyDescent="0.25">
      <c r="H65" s="21" t="s">
        <v>37</v>
      </c>
      <c r="I65" s="24">
        <v>610208</v>
      </c>
      <c r="J65" s="20">
        <v>41135</v>
      </c>
      <c r="K65" s="25">
        <v>466</v>
      </c>
      <c r="L65" s="25">
        <v>3</v>
      </c>
      <c r="M65" s="25">
        <v>572</v>
      </c>
      <c r="N65" s="25">
        <v>0</v>
      </c>
      <c r="O65" s="25">
        <v>0</v>
      </c>
    </row>
    <row r="66" spans="8:15" x14ac:dyDescent="0.25">
      <c r="H66" s="21" t="s">
        <v>37</v>
      </c>
      <c r="I66" s="24">
        <v>610208</v>
      </c>
      <c r="J66" s="20">
        <v>41135</v>
      </c>
      <c r="K66" s="25">
        <v>467</v>
      </c>
      <c r="L66" s="25">
        <v>0</v>
      </c>
      <c r="M66" s="25">
        <v>0</v>
      </c>
      <c r="N66" s="25">
        <v>0</v>
      </c>
      <c r="O66" s="25">
        <v>0</v>
      </c>
    </row>
    <row r="67" spans="8:15" x14ac:dyDescent="0.25">
      <c r="H67" s="21" t="s">
        <v>37</v>
      </c>
      <c r="I67" s="24">
        <v>610208</v>
      </c>
      <c r="J67" s="20">
        <v>41135</v>
      </c>
      <c r="K67" s="25">
        <v>477</v>
      </c>
      <c r="L67" s="25">
        <v>21</v>
      </c>
      <c r="M67" s="25">
        <v>6630</v>
      </c>
      <c r="N67" s="25">
        <v>33</v>
      </c>
      <c r="O67" s="25">
        <v>0</v>
      </c>
    </row>
    <row r="68" spans="8:15" x14ac:dyDescent="0.25">
      <c r="H68" s="21" t="s">
        <v>37</v>
      </c>
      <c r="I68" s="24">
        <v>610208</v>
      </c>
      <c r="J68" s="20">
        <v>41135</v>
      </c>
      <c r="K68" s="25">
        <v>478</v>
      </c>
      <c r="L68" s="25">
        <v>42</v>
      </c>
      <c r="M68" s="25">
        <v>12226</v>
      </c>
      <c r="N68" s="25">
        <v>6</v>
      </c>
      <c r="O68" s="25">
        <v>0</v>
      </c>
    </row>
    <row r="69" spans="8:15" x14ac:dyDescent="0.25">
      <c r="H69" s="21" t="s">
        <v>37</v>
      </c>
      <c r="I69" s="24">
        <v>610208</v>
      </c>
      <c r="J69" s="20">
        <v>41135</v>
      </c>
      <c r="K69" s="25">
        <v>481</v>
      </c>
      <c r="L69" s="25">
        <v>0</v>
      </c>
      <c r="M69" s="25">
        <v>0</v>
      </c>
      <c r="N69" s="25">
        <v>0</v>
      </c>
      <c r="O69" s="25">
        <v>0</v>
      </c>
    </row>
    <row r="70" spans="8:15" x14ac:dyDescent="0.25">
      <c r="H70" s="21" t="s">
        <v>37</v>
      </c>
      <c r="I70" s="24">
        <v>610208</v>
      </c>
      <c r="J70" s="20">
        <v>41135</v>
      </c>
      <c r="K70" s="25">
        <v>790</v>
      </c>
      <c r="L70" s="25">
        <v>0</v>
      </c>
      <c r="M70" s="25">
        <v>0</v>
      </c>
      <c r="N70" s="25">
        <v>0</v>
      </c>
      <c r="O70" s="25">
        <v>0</v>
      </c>
    </row>
    <row r="71" spans="8:15" x14ac:dyDescent="0.25">
      <c r="H71" s="21" t="s">
        <v>37</v>
      </c>
      <c r="I71" s="24">
        <v>610208</v>
      </c>
      <c r="J71" s="20">
        <v>41136</v>
      </c>
      <c r="K71" s="25">
        <v>85</v>
      </c>
      <c r="L71" s="25">
        <v>0</v>
      </c>
      <c r="M71" s="25">
        <v>0</v>
      </c>
      <c r="N71" s="25">
        <v>0</v>
      </c>
      <c r="O71" s="25">
        <v>0</v>
      </c>
    </row>
    <row r="72" spans="8:15" x14ac:dyDescent="0.25">
      <c r="H72" s="21" t="s">
        <v>37</v>
      </c>
      <c r="I72" s="24">
        <v>610208</v>
      </c>
      <c r="J72" s="20">
        <v>41136</v>
      </c>
      <c r="K72" s="25">
        <v>465</v>
      </c>
      <c r="L72" s="25">
        <v>0</v>
      </c>
      <c r="M72" s="25">
        <v>0</v>
      </c>
      <c r="N72" s="25">
        <v>0</v>
      </c>
      <c r="O72" s="25">
        <v>0</v>
      </c>
    </row>
    <row r="73" spans="8:15" x14ac:dyDescent="0.25">
      <c r="H73" s="21" t="s">
        <v>37</v>
      </c>
      <c r="I73" s="24">
        <v>610208</v>
      </c>
      <c r="J73" s="20">
        <v>41136</v>
      </c>
      <c r="K73" s="25">
        <v>466</v>
      </c>
      <c r="L73" s="25">
        <v>15</v>
      </c>
      <c r="M73" s="25">
        <v>4063</v>
      </c>
      <c r="N73" s="25">
        <v>0</v>
      </c>
      <c r="O73" s="25">
        <v>0</v>
      </c>
    </row>
    <row r="74" spans="8:15" x14ac:dyDescent="0.25">
      <c r="H74" s="21" t="s">
        <v>37</v>
      </c>
      <c r="I74" s="24">
        <v>610208</v>
      </c>
      <c r="J74" s="20">
        <v>41136</v>
      </c>
      <c r="K74" s="25">
        <v>467</v>
      </c>
      <c r="L74" s="25">
        <v>0</v>
      </c>
      <c r="M74" s="25">
        <v>0</v>
      </c>
      <c r="N74" s="25">
        <v>0</v>
      </c>
      <c r="O74" s="25">
        <v>0</v>
      </c>
    </row>
    <row r="75" spans="8:15" x14ac:dyDescent="0.25">
      <c r="H75" s="21" t="s">
        <v>37</v>
      </c>
      <c r="I75" s="24">
        <v>610208</v>
      </c>
      <c r="J75" s="20">
        <v>41136</v>
      </c>
      <c r="K75" s="25">
        <v>477</v>
      </c>
      <c r="L75" s="25">
        <v>1</v>
      </c>
      <c r="M75" s="25">
        <v>346</v>
      </c>
      <c r="N75" s="25">
        <v>0</v>
      </c>
      <c r="O75" s="25">
        <v>0</v>
      </c>
    </row>
    <row r="76" spans="8:15" x14ac:dyDescent="0.25">
      <c r="H76" s="21" t="s">
        <v>37</v>
      </c>
      <c r="I76" s="24">
        <v>610208</v>
      </c>
      <c r="J76" s="20">
        <v>41136</v>
      </c>
      <c r="K76" s="25">
        <v>478</v>
      </c>
      <c r="L76" s="25">
        <v>27</v>
      </c>
      <c r="M76" s="25">
        <v>7402</v>
      </c>
      <c r="N76" s="25">
        <v>0</v>
      </c>
      <c r="O76" s="25">
        <v>0</v>
      </c>
    </row>
    <row r="77" spans="8:15" x14ac:dyDescent="0.25">
      <c r="H77" s="21" t="s">
        <v>37</v>
      </c>
      <c r="I77" s="24">
        <v>610208</v>
      </c>
      <c r="J77" s="20">
        <v>41136</v>
      </c>
      <c r="K77" s="25">
        <v>480</v>
      </c>
      <c r="L77" s="25">
        <v>9</v>
      </c>
      <c r="M77" s="25">
        <v>1838</v>
      </c>
      <c r="N77" s="25">
        <v>0</v>
      </c>
      <c r="O77" s="25">
        <v>0</v>
      </c>
    </row>
    <row r="78" spans="8:15" x14ac:dyDescent="0.25">
      <c r="H78" s="21" t="s">
        <v>37</v>
      </c>
      <c r="I78" s="24">
        <v>610208</v>
      </c>
      <c r="J78" s="20">
        <v>41136</v>
      </c>
      <c r="K78" s="25">
        <v>481</v>
      </c>
      <c r="L78" s="25">
        <v>4</v>
      </c>
      <c r="M78" s="25">
        <v>1283</v>
      </c>
      <c r="N78" s="25">
        <v>0</v>
      </c>
      <c r="O78" s="25">
        <v>0</v>
      </c>
    </row>
    <row r="79" spans="8:15" x14ac:dyDescent="0.25">
      <c r="H79" s="21" t="s">
        <v>37</v>
      </c>
      <c r="I79" s="24">
        <v>610208</v>
      </c>
      <c r="J79" s="20">
        <v>41136</v>
      </c>
      <c r="K79" s="25">
        <v>482</v>
      </c>
      <c r="L79" s="25">
        <v>19</v>
      </c>
      <c r="M79" s="25">
        <v>5193</v>
      </c>
      <c r="N79" s="25">
        <v>0</v>
      </c>
      <c r="O79" s="25">
        <v>0</v>
      </c>
    </row>
    <row r="80" spans="8:15" x14ac:dyDescent="0.25">
      <c r="H80" s="21" t="s">
        <v>37</v>
      </c>
      <c r="I80" s="24">
        <v>610208</v>
      </c>
      <c r="J80" s="20">
        <v>41136</v>
      </c>
      <c r="K80" s="25">
        <v>790</v>
      </c>
      <c r="L80" s="25">
        <v>0</v>
      </c>
      <c r="M80" s="25">
        <v>0</v>
      </c>
      <c r="N80" s="25">
        <v>0</v>
      </c>
      <c r="O80" s="25">
        <v>0</v>
      </c>
    </row>
    <row r="81" spans="8:15" x14ac:dyDescent="0.25">
      <c r="H81" s="21" t="s">
        <v>37</v>
      </c>
      <c r="I81" s="24">
        <v>610208</v>
      </c>
      <c r="J81" s="20">
        <v>41137</v>
      </c>
      <c r="K81" s="25">
        <v>85</v>
      </c>
      <c r="L81" s="25">
        <v>0</v>
      </c>
      <c r="M81" s="25">
        <v>0</v>
      </c>
      <c r="N81" s="25">
        <v>0</v>
      </c>
      <c r="O81" s="25">
        <v>0</v>
      </c>
    </row>
    <row r="82" spans="8:15" x14ac:dyDescent="0.25">
      <c r="H82" s="21" t="s">
        <v>37</v>
      </c>
      <c r="I82" s="24">
        <v>610208</v>
      </c>
      <c r="J82" s="20">
        <v>41137</v>
      </c>
      <c r="K82" s="25">
        <v>465</v>
      </c>
      <c r="L82" s="25">
        <v>0</v>
      </c>
      <c r="M82" s="25">
        <v>0</v>
      </c>
      <c r="N82" s="25">
        <v>0</v>
      </c>
      <c r="O82" s="25">
        <v>0</v>
      </c>
    </row>
    <row r="83" spans="8:15" x14ac:dyDescent="0.25">
      <c r="H83" s="21" t="s">
        <v>37</v>
      </c>
      <c r="I83" s="24">
        <v>610208</v>
      </c>
      <c r="J83" s="20">
        <v>41137</v>
      </c>
      <c r="K83" s="25">
        <v>466</v>
      </c>
      <c r="L83" s="25">
        <v>38</v>
      </c>
      <c r="M83" s="25">
        <v>12317</v>
      </c>
      <c r="N83" s="25">
        <v>1</v>
      </c>
      <c r="O83" s="25">
        <v>0</v>
      </c>
    </row>
    <row r="84" spans="8:15" x14ac:dyDescent="0.25">
      <c r="H84" s="21" t="s">
        <v>37</v>
      </c>
      <c r="I84" s="24">
        <v>610208</v>
      </c>
      <c r="J84" s="20">
        <v>41137</v>
      </c>
      <c r="K84" s="25">
        <v>467</v>
      </c>
      <c r="L84" s="25">
        <v>0</v>
      </c>
      <c r="M84" s="25">
        <v>0</v>
      </c>
      <c r="N84" s="25">
        <v>0</v>
      </c>
      <c r="O84" s="25">
        <v>0</v>
      </c>
    </row>
    <row r="85" spans="8:15" x14ac:dyDescent="0.25">
      <c r="H85" s="21" t="s">
        <v>37</v>
      </c>
      <c r="I85" s="24">
        <v>610208</v>
      </c>
      <c r="J85" s="20">
        <v>41137</v>
      </c>
      <c r="K85" s="25">
        <v>477</v>
      </c>
      <c r="L85" s="25">
        <v>20</v>
      </c>
      <c r="M85" s="25">
        <v>6050</v>
      </c>
      <c r="N85" s="25">
        <v>0</v>
      </c>
      <c r="O85" s="25">
        <v>0</v>
      </c>
    </row>
    <row r="86" spans="8:15" x14ac:dyDescent="0.25">
      <c r="H86" s="21" t="s">
        <v>37</v>
      </c>
      <c r="I86" s="24">
        <v>610208</v>
      </c>
      <c r="J86" s="20">
        <v>41137</v>
      </c>
      <c r="K86" s="25">
        <v>478</v>
      </c>
      <c r="L86" s="25">
        <v>4</v>
      </c>
      <c r="M86" s="25">
        <v>798</v>
      </c>
      <c r="N86" s="25">
        <v>0</v>
      </c>
      <c r="O86" s="25">
        <v>0</v>
      </c>
    </row>
    <row r="87" spans="8:15" x14ac:dyDescent="0.25">
      <c r="H87" s="21" t="s">
        <v>37</v>
      </c>
      <c r="I87" s="24">
        <v>610208</v>
      </c>
      <c r="J87" s="20">
        <v>41137</v>
      </c>
      <c r="K87" s="25">
        <v>480</v>
      </c>
      <c r="L87" s="25">
        <v>1</v>
      </c>
      <c r="M87" s="25">
        <v>211</v>
      </c>
      <c r="N87" s="25">
        <v>0</v>
      </c>
      <c r="O87" s="25">
        <v>0</v>
      </c>
    </row>
    <row r="88" spans="8:15" x14ac:dyDescent="0.25">
      <c r="H88" s="21" t="s">
        <v>37</v>
      </c>
      <c r="I88" s="24">
        <v>610208</v>
      </c>
      <c r="J88" s="20">
        <v>41137</v>
      </c>
      <c r="K88" s="25">
        <v>481</v>
      </c>
      <c r="L88" s="25">
        <v>0</v>
      </c>
      <c r="M88" s="25">
        <v>0</v>
      </c>
      <c r="N88" s="25">
        <v>0</v>
      </c>
      <c r="O88" s="25">
        <v>0</v>
      </c>
    </row>
    <row r="89" spans="8:15" x14ac:dyDescent="0.25">
      <c r="H89" s="21" t="s">
        <v>37</v>
      </c>
      <c r="I89" s="24">
        <v>610208</v>
      </c>
      <c r="J89" s="20">
        <v>41137</v>
      </c>
      <c r="K89" s="25">
        <v>482</v>
      </c>
      <c r="L89" s="25">
        <v>5</v>
      </c>
      <c r="M89" s="25">
        <v>1238</v>
      </c>
      <c r="N89" s="25">
        <v>0</v>
      </c>
      <c r="O89" s="25">
        <v>0</v>
      </c>
    </row>
    <row r="90" spans="8:15" x14ac:dyDescent="0.25">
      <c r="H90" s="21" t="s">
        <v>37</v>
      </c>
      <c r="I90" s="24">
        <v>610208</v>
      </c>
      <c r="J90" s="20">
        <v>41137</v>
      </c>
      <c r="K90" s="25">
        <v>790</v>
      </c>
      <c r="L90" s="25">
        <v>0</v>
      </c>
      <c r="M90" s="25">
        <v>0</v>
      </c>
      <c r="N90" s="25">
        <v>0</v>
      </c>
      <c r="O90" s="25">
        <v>0</v>
      </c>
    </row>
    <row r="91" spans="8:15" x14ac:dyDescent="0.25">
      <c r="H91" s="21" t="s">
        <v>37</v>
      </c>
      <c r="I91" s="24">
        <v>610208</v>
      </c>
      <c r="J91" s="20">
        <v>41138</v>
      </c>
      <c r="K91" s="25">
        <v>85</v>
      </c>
      <c r="L91" s="25">
        <v>0</v>
      </c>
      <c r="M91" s="25">
        <v>0</v>
      </c>
      <c r="N91" s="25">
        <v>0</v>
      </c>
      <c r="O91" s="25">
        <v>0</v>
      </c>
    </row>
    <row r="92" spans="8:15" x14ac:dyDescent="0.25">
      <c r="H92" s="21" t="s">
        <v>37</v>
      </c>
      <c r="I92" s="24">
        <v>610208</v>
      </c>
      <c r="J92" s="20">
        <v>41138</v>
      </c>
      <c r="K92" s="25">
        <v>465</v>
      </c>
      <c r="L92" s="25">
        <v>0</v>
      </c>
      <c r="M92" s="25">
        <v>0</v>
      </c>
      <c r="N92" s="25">
        <v>0</v>
      </c>
      <c r="O92" s="25">
        <v>0</v>
      </c>
    </row>
    <row r="93" spans="8:15" x14ac:dyDescent="0.25">
      <c r="H93" s="21" t="s">
        <v>37</v>
      </c>
      <c r="I93" s="24">
        <v>610208</v>
      </c>
      <c r="J93" s="20">
        <v>41138</v>
      </c>
      <c r="K93" s="25">
        <v>466</v>
      </c>
      <c r="L93" s="25">
        <v>35</v>
      </c>
      <c r="M93" s="25">
        <v>10223</v>
      </c>
      <c r="N93" s="25">
        <v>0</v>
      </c>
      <c r="O93" s="25">
        <v>0</v>
      </c>
    </row>
    <row r="94" spans="8:15" x14ac:dyDescent="0.25">
      <c r="H94" s="21" t="s">
        <v>37</v>
      </c>
      <c r="I94" s="24">
        <v>610208</v>
      </c>
      <c r="J94" s="20">
        <v>41138</v>
      </c>
      <c r="K94" s="25">
        <v>467</v>
      </c>
      <c r="L94" s="25">
        <v>0</v>
      </c>
      <c r="M94" s="25">
        <v>0</v>
      </c>
      <c r="N94" s="25">
        <v>0</v>
      </c>
      <c r="O94" s="25">
        <v>0</v>
      </c>
    </row>
    <row r="95" spans="8:15" x14ac:dyDescent="0.25">
      <c r="H95" s="21" t="s">
        <v>37</v>
      </c>
      <c r="I95" s="24">
        <v>610208</v>
      </c>
      <c r="J95" s="20">
        <v>41138</v>
      </c>
      <c r="K95" s="25">
        <v>477</v>
      </c>
      <c r="L95" s="25">
        <v>17</v>
      </c>
      <c r="M95" s="25">
        <v>5300</v>
      </c>
      <c r="N95" s="25">
        <v>4</v>
      </c>
      <c r="O95" s="25">
        <v>0</v>
      </c>
    </row>
    <row r="96" spans="8:15" x14ac:dyDescent="0.25">
      <c r="H96" s="21" t="s">
        <v>37</v>
      </c>
      <c r="I96" s="24">
        <v>610208</v>
      </c>
      <c r="J96" s="20">
        <v>41138</v>
      </c>
      <c r="K96" s="25">
        <v>478</v>
      </c>
      <c r="L96" s="25">
        <v>1</v>
      </c>
      <c r="M96" s="25">
        <v>195</v>
      </c>
      <c r="N96" s="25">
        <v>0</v>
      </c>
      <c r="O96" s="25">
        <v>0</v>
      </c>
    </row>
    <row r="97" spans="8:15" x14ac:dyDescent="0.25">
      <c r="H97" s="21" t="s">
        <v>37</v>
      </c>
      <c r="I97" s="24">
        <v>610208</v>
      </c>
      <c r="J97" s="20">
        <v>41138</v>
      </c>
      <c r="K97" s="25">
        <v>480</v>
      </c>
      <c r="L97" s="25">
        <v>3</v>
      </c>
      <c r="M97" s="25">
        <v>351</v>
      </c>
      <c r="N97" s="25">
        <v>0</v>
      </c>
      <c r="O97" s="25">
        <v>0</v>
      </c>
    </row>
    <row r="98" spans="8:15" x14ac:dyDescent="0.25">
      <c r="H98" s="21" t="s">
        <v>37</v>
      </c>
      <c r="I98" s="24">
        <v>610208</v>
      </c>
      <c r="J98" s="20">
        <v>41138</v>
      </c>
      <c r="K98" s="25">
        <v>481</v>
      </c>
      <c r="L98" s="25">
        <v>0</v>
      </c>
      <c r="M98" s="25">
        <v>0</v>
      </c>
      <c r="N98" s="25">
        <v>0</v>
      </c>
      <c r="O98" s="25">
        <v>0</v>
      </c>
    </row>
    <row r="99" spans="8:15" x14ac:dyDescent="0.25">
      <c r="H99" s="21" t="s">
        <v>37</v>
      </c>
      <c r="I99" s="24">
        <v>610208</v>
      </c>
      <c r="J99" s="20">
        <v>41138</v>
      </c>
      <c r="K99" s="25">
        <v>482</v>
      </c>
      <c r="L99" s="25">
        <v>8</v>
      </c>
      <c r="M99" s="25">
        <v>1731</v>
      </c>
      <c r="N99" s="25">
        <v>0</v>
      </c>
      <c r="O99" s="25">
        <v>0</v>
      </c>
    </row>
    <row r="100" spans="8:15" x14ac:dyDescent="0.25">
      <c r="H100" s="21" t="s">
        <v>37</v>
      </c>
      <c r="I100" s="24">
        <v>610208</v>
      </c>
      <c r="J100" s="20">
        <v>41138</v>
      </c>
      <c r="K100" s="25">
        <v>790</v>
      </c>
      <c r="L100" s="25">
        <v>0</v>
      </c>
      <c r="M100" s="25">
        <v>0</v>
      </c>
      <c r="N100" s="25">
        <v>0</v>
      </c>
      <c r="O100" s="25">
        <v>0</v>
      </c>
    </row>
    <row r="101" spans="8:15" x14ac:dyDescent="0.25">
      <c r="H101" s="21" t="s">
        <v>37</v>
      </c>
      <c r="I101" s="24">
        <v>610208</v>
      </c>
      <c r="J101" s="20">
        <v>41139</v>
      </c>
      <c r="K101" s="25">
        <v>465</v>
      </c>
      <c r="L101" s="25">
        <v>0</v>
      </c>
      <c r="M101" s="25">
        <v>0</v>
      </c>
      <c r="N101" s="25">
        <v>0</v>
      </c>
      <c r="O101" s="25">
        <v>0</v>
      </c>
    </row>
    <row r="102" spans="8:15" x14ac:dyDescent="0.25">
      <c r="H102" s="21" t="s">
        <v>37</v>
      </c>
      <c r="I102" s="24">
        <v>610208</v>
      </c>
      <c r="J102" s="20">
        <v>41139</v>
      </c>
      <c r="K102" s="25">
        <v>467</v>
      </c>
      <c r="L102" s="25">
        <v>0</v>
      </c>
      <c r="M102" s="25">
        <v>0</v>
      </c>
      <c r="N102" s="25">
        <v>0</v>
      </c>
      <c r="O102" s="25">
        <v>0</v>
      </c>
    </row>
    <row r="103" spans="8:15" x14ac:dyDescent="0.25">
      <c r="H103" s="21" t="s">
        <v>37</v>
      </c>
      <c r="I103" s="24">
        <v>610208</v>
      </c>
      <c r="J103" s="20">
        <v>41139</v>
      </c>
      <c r="K103" s="25">
        <v>478</v>
      </c>
      <c r="L103" s="25">
        <v>21</v>
      </c>
      <c r="M103" s="25">
        <v>6477</v>
      </c>
      <c r="N103" s="25">
        <v>4</v>
      </c>
      <c r="O103" s="25">
        <v>0</v>
      </c>
    </row>
    <row r="104" spans="8:15" x14ac:dyDescent="0.25">
      <c r="H104" s="21" t="s">
        <v>37</v>
      </c>
      <c r="I104" s="24">
        <v>610208</v>
      </c>
      <c r="J104" s="20">
        <v>41139</v>
      </c>
      <c r="K104" s="25">
        <v>480</v>
      </c>
      <c r="L104" s="25">
        <v>11</v>
      </c>
      <c r="M104" s="25">
        <v>2133</v>
      </c>
      <c r="N104" s="25">
        <v>0</v>
      </c>
      <c r="O104" s="25">
        <v>0</v>
      </c>
    </row>
    <row r="105" spans="8:15" x14ac:dyDescent="0.25">
      <c r="H105" s="21" t="s">
        <v>37</v>
      </c>
      <c r="I105" s="24">
        <v>610208</v>
      </c>
      <c r="J105" s="20">
        <v>41139</v>
      </c>
      <c r="K105" s="25">
        <v>481</v>
      </c>
      <c r="L105" s="25">
        <v>0</v>
      </c>
      <c r="M105" s="25">
        <v>0</v>
      </c>
      <c r="N105" s="25">
        <v>0</v>
      </c>
      <c r="O105" s="25">
        <v>0</v>
      </c>
    </row>
    <row r="106" spans="8:15" x14ac:dyDescent="0.25">
      <c r="H106" s="21" t="s">
        <v>37</v>
      </c>
      <c r="I106" s="24">
        <v>610208</v>
      </c>
      <c r="J106" s="20">
        <v>41139</v>
      </c>
      <c r="K106" s="25">
        <v>482</v>
      </c>
      <c r="L106" s="25">
        <v>36</v>
      </c>
      <c r="M106" s="25">
        <v>9626</v>
      </c>
      <c r="N106" s="25">
        <v>0</v>
      </c>
      <c r="O106" s="25">
        <v>0</v>
      </c>
    </row>
    <row r="107" spans="8:15" x14ac:dyDescent="0.25">
      <c r="H107" s="21" t="s">
        <v>37</v>
      </c>
      <c r="I107" s="24">
        <v>610208</v>
      </c>
      <c r="J107" s="20">
        <v>41139</v>
      </c>
      <c r="K107" s="25">
        <v>790</v>
      </c>
      <c r="L107" s="25">
        <v>0</v>
      </c>
      <c r="M107" s="25">
        <v>0</v>
      </c>
      <c r="N107" s="25">
        <v>0</v>
      </c>
      <c r="O107" s="25">
        <v>0</v>
      </c>
    </row>
    <row r="108" spans="8:15" x14ac:dyDescent="0.25">
      <c r="H108" s="21" t="s">
        <v>37</v>
      </c>
      <c r="I108" s="24">
        <v>610208</v>
      </c>
      <c r="J108" s="20">
        <v>41141</v>
      </c>
      <c r="K108" s="25">
        <v>85</v>
      </c>
      <c r="L108" s="25">
        <v>0</v>
      </c>
      <c r="M108" s="25">
        <v>0</v>
      </c>
      <c r="N108" s="25">
        <v>0</v>
      </c>
      <c r="O108" s="25">
        <v>0</v>
      </c>
    </row>
    <row r="109" spans="8:15" x14ac:dyDescent="0.25">
      <c r="H109" s="21" t="s">
        <v>37</v>
      </c>
      <c r="I109" s="24">
        <v>610208</v>
      </c>
      <c r="J109" s="20">
        <v>41141</v>
      </c>
      <c r="K109" s="25">
        <v>465</v>
      </c>
      <c r="L109" s="25">
        <v>0</v>
      </c>
      <c r="M109" s="25">
        <v>0</v>
      </c>
      <c r="N109" s="25">
        <v>0</v>
      </c>
      <c r="O109" s="25">
        <v>0</v>
      </c>
    </row>
    <row r="110" spans="8:15" x14ac:dyDescent="0.25">
      <c r="H110" s="21" t="s">
        <v>37</v>
      </c>
      <c r="I110" s="24">
        <v>610208</v>
      </c>
      <c r="J110" s="20">
        <v>41141</v>
      </c>
      <c r="K110" s="25">
        <v>466</v>
      </c>
      <c r="L110" s="25">
        <v>43</v>
      </c>
      <c r="M110" s="25">
        <v>11590</v>
      </c>
      <c r="N110" s="25">
        <v>0</v>
      </c>
      <c r="O110" s="25">
        <v>0</v>
      </c>
    </row>
    <row r="111" spans="8:15" x14ac:dyDescent="0.25">
      <c r="H111" s="21" t="s">
        <v>37</v>
      </c>
      <c r="I111" s="24">
        <v>610208</v>
      </c>
      <c r="J111" s="20">
        <v>41141</v>
      </c>
      <c r="K111" s="25">
        <v>467</v>
      </c>
      <c r="L111" s="25">
        <v>0</v>
      </c>
      <c r="M111" s="25">
        <v>0</v>
      </c>
      <c r="N111" s="25">
        <v>0</v>
      </c>
      <c r="O111" s="25">
        <v>0</v>
      </c>
    </row>
    <row r="112" spans="8:15" x14ac:dyDescent="0.25">
      <c r="H112" s="21" t="s">
        <v>37</v>
      </c>
      <c r="I112" s="24">
        <v>610208</v>
      </c>
      <c r="J112" s="20">
        <v>41141</v>
      </c>
      <c r="K112" s="25">
        <v>477</v>
      </c>
      <c r="L112" s="25">
        <v>19</v>
      </c>
      <c r="M112" s="25">
        <v>4823</v>
      </c>
      <c r="N112" s="25">
        <v>1</v>
      </c>
      <c r="O112" s="25">
        <v>0</v>
      </c>
    </row>
    <row r="113" spans="8:15" x14ac:dyDescent="0.25">
      <c r="H113" s="21" t="s">
        <v>37</v>
      </c>
      <c r="I113" s="24">
        <v>610208</v>
      </c>
      <c r="J113" s="20">
        <v>41141</v>
      </c>
      <c r="K113" s="25">
        <v>478</v>
      </c>
      <c r="L113" s="25">
        <v>3</v>
      </c>
      <c r="M113" s="25">
        <v>668</v>
      </c>
      <c r="N113" s="25">
        <v>0</v>
      </c>
      <c r="O113" s="25">
        <v>0</v>
      </c>
    </row>
    <row r="114" spans="8:15" x14ac:dyDescent="0.25">
      <c r="H114" s="21" t="s">
        <v>37</v>
      </c>
      <c r="I114" s="24">
        <v>610208</v>
      </c>
      <c r="J114" s="20">
        <v>41141</v>
      </c>
      <c r="K114" s="25">
        <v>480</v>
      </c>
      <c r="L114" s="25">
        <v>3</v>
      </c>
      <c r="M114" s="25">
        <v>455</v>
      </c>
      <c r="N114" s="25">
        <v>0</v>
      </c>
      <c r="O114" s="25">
        <v>0</v>
      </c>
    </row>
    <row r="115" spans="8:15" x14ac:dyDescent="0.25">
      <c r="H115" s="21" t="s">
        <v>37</v>
      </c>
      <c r="I115" s="24">
        <v>610208</v>
      </c>
      <c r="J115" s="20">
        <v>41141</v>
      </c>
      <c r="K115" s="25">
        <v>481</v>
      </c>
      <c r="L115" s="25">
        <v>0</v>
      </c>
      <c r="M115" s="25">
        <v>0</v>
      </c>
      <c r="N115" s="25">
        <v>0</v>
      </c>
      <c r="O115" s="25">
        <v>0</v>
      </c>
    </row>
    <row r="116" spans="8:15" x14ac:dyDescent="0.25">
      <c r="H116" s="21" t="s">
        <v>37</v>
      </c>
      <c r="I116" s="24">
        <v>610208</v>
      </c>
      <c r="J116" s="20">
        <v>41141</v>
      </c>
      <c r="K116" s="25">
        <v>482</v>
      </c>
      <c r="L116" s="25">
        <v>10</v>
      </c>
      <c r="M116" s="25">
        <v>3160</v>
      </c>
      <c r="N116" s="25">
        <v>0</v>
      </c>
      <c r="O116" s="25">
        <v>0</v>
      </c>
    </row>
    <row r="117" spans="8:15" x14ac:dyDescent="0.25">
      <c r="H117" s="21" t="s">
        <v>37</v>
      </c>
      <c r="I117" s="24">
        <v>610208</v>
      </c>
      <c r="J117" s="20">
        <v>41141</v>
      </c>
      <c r="K117" s="25">
        <v>790</v>
      </c>
      <c r="L117" s="25">
        <v>0</v>
      </c>
      <c r="M117" s="25">
        <v>0</v>
      </c>
      <c r="N117" s="25">
        <v>0</v>
      </c>
      <c r="O117" s="25">
        <v>0</v>
      </c>
    </row>
    <row r="118" spans="8:15" x14ac:dyDescent="0.25">
      <c r="H118" s="21" t="s">
        <v>37</v>
      </c>
      <c r="I118" s="24">
        <v>610208</v>
      </c>
      <c r="J118" s="20">
        <v>41142</v>
      </c>
      <c r="K118" s="25">
        <v>85</v>
      </c>
      <c r="L118" s="25">
        <v>0</v>
      </c>
      <c r="M118" s="25">
        <v>0</v>
      </c>
      <c r="N118" s="25">
        <v>0</v>
      </c>
      <c r="O118" s="25">
        <v>0</v>
      </c>
    </row>
    <row r="119" spans="8:15" x14ac:dyDescent="0.25">
      <c r="H119" s="21" t="s">
        <v>37</v>
      </c>
      <c r="I119" s="24">
        <v>610208</v>
      </c>
      <c r="J119" s="20">
        <v>41142</v>
      </c>
      <c r="K119" s="25">
        <v>465</v>
      </c>
      <c r="L119" s="25">
        <v>0</v>
      </c>
      <c r="M119" s="25">
        <v>0</v>
      </c>
      <c r="N119" s="25">
        <v>0</v>
      </c>
      <c r="O119" s="25">
        <v>0</v>
      </c>
    </row>
    <row r="120" spans="8:15" x14ac:dyDescent="0.25">
      <c r="H120" s="21" t="s">
        <v>37</v>
      </c>
      <c r="I120" s="24">
        <v>610208</v>
      </c>
      <c r="J120" s="20">
        <v>41142</v>
      </c>
      <c r="K120" s="25">
        <v>466</v>
      </c>
      <c r="L120" s="25">
        <v>37</v>
      </c>
      <c r="M120" s="25">
        <v>9252</v>
      </c>
      <c r="N120" s="25">
        <v>23</v>
      </c>
      <c r="O120" s="25">
        <v>0</v>
      </c>
    </row>
    <row r="121" spans="8:15" x14ac:dyDescent="0.25">
      <c r="H121" s="21" t="s">
        <v>37</v>
      </c>
      <c r="I121" s="24">
        <v>610208</v>
      </c>
      <c r="J121" s="20">
        <v>41142</v>
      </c>
      <c r="K121" s="25">
        <v>467</v>
      </c>
      <c r="L121" s="25">
        <v>0</v>
      </c>
      <c r="M121" s="25">
        <v>0</v>
      </c>
      <c r="N121" s="25">
        <v>0</v>
      </c>
      <c r="O121" s="25">
        <v>0</v>
      </c>
    </row>
    <row r="122" spans="8:15" x14ac:dyDescent="0.25">
      <c r="H122" s="21" t="s">
        <v>37</v>
      </c>
      <c r="I122" s="24">
        <v>610208</v>
      </c>
      <c r="J122" s="20">
        <v>41142</v>
      </c>
      <c r="K122" s="25">
        <v>477</v>
      </c>
      <c r="L122" s="25">
        <v>16</v>
      </c>
      <c r="M122" s="25">
        <v>7219</v>
      </c>
      <c r="N122" s="25">
        <v>3</v>
      </c>
      <c r="O122" s="25">
        <v>0</v>
      </c>
    </row>
    <row r="123" spans="8:15" x14ac:dyDescent="0.25">
      <c r="H123" s="21" t="s">
        <v>37</v>
      </c>
      <c r="I123" s="24">
        <v>610208</v>
      </c>
      <c r="J123" s="20">
        <v>41142</v>
      </c>
      <c r="K123" s="25">
        <v>478</v>
      </c>
      <c r="L123" s="25">
        <v>2</v>
      </c>
      <c r="M123" s="25">
        <v>619</v>
      </c>
      <c r="N123" s="25">
        <v>0</v>
      </c>
      <c r="O123" s="25">
        <v>0</v>
      </c>
    </row>
    <row r="124" spans="8:15" x14ac:dyDescent="0.25">
      <c r="H124" s="21" t="s">
        <v>37</v>
      </c>
      <c r="I124" s="24">
        <v>610208</v>
      </c>
      <c r="J124" s="20">
        <v>41142</v>
      </c>
      <c r="K124" s="25">
        <v>480</v>
      </c>
      <c r="L124" s="25">
        <v>4</v>
      </c>
      <c r="M124" s="25">
        <v>1129</v>
      </c>
      <c r="N124" s="25">
        <v>0</v>
      </c>
      <c r="O124" s="25">
        <v>0</v>
      </c>
    </row>
    <row r="125" spans="8:15" x14ac:dyDescent="0.25">
      <c r="H125" s="21" t="s">
        <v>37</v>
      </c>
      <c r="I125" s="24">
        <v>610208</v>
      </c>
      <c r="J125" s="20">
        <v>41142</v>
      </c>
      <c r="K125" s="25">
        <v>481</v>
      </c>
      <c r="L125" s="25">
        <v>0</v>
      </c>
      <c r="M125" s="25">
        <v>0</v>
      </c>
      <c r="N125" s="25">
        <v>0</v>
      </c>
      <c r="O125" s="25">
        <v>0</v>
      </c>
    </row>
    <row r="126" spans="8:15" x14ac:dyDescent="0.25">
      <c r="H126" s="21" t="s">
        <v>37</v>
      </c>
      <c r="I126" s="24">
        <v>610208</v>
      </c>
      <c r="J126" s="20">
        <v>41142</v>
      </c>
      <c r="K126" s="25">
        <v>482</v>
      </c>
      <c r="L126" s="25">
        <v>8</v>
      </c>
      <c r="M126" s="25">
        <v>2171</v>
      </c>
      <c r="N126" s="25">
        <v>0</v>
      </c>
      <c r="O126" s="25">
        <v>0</v>
      </c>
    </row>
    <row r="127" spans="8:15" x14ac:dyDescent="0.25">
      <c r="H127" s="21" t="s">
        <v>37</v>
      </c>
      <c r="I127" s="24">
        <v>610208</v>
      </c>
      <c r="J127" s="20">
        <v>41142</v>
      </c>
      <c r="K127" s="25">
        <v>790</v>
      </c>
      <c r="L127" s="25">
        <v>0</v>
      </c>
      <c r="M127" s="25">
        <v>0</v>
      </c>
      <c r="N127" s="25">
        <v>0</v>
      </c>
      <c r="O127" s="25">
        <v>0</v>
      </c>
    </row>
    <row r="128" spans="8:15" x14ac:dyDescent="0.25">
      <c r="H128" s="21" t="s">
        <v>37</v>
      </c>
      <c r="I128" s="24">
        <v>610208</v>
      </c>
      <c r="J128" s="20">
        <v>41143</v>
      </c>
      <c r="K128" s="25">
        <v>85</v>
      </c>
      <c r="L128" s="25">
        <v>0</v>
      </c>
      <c r="M128" s="25">
        <v>0</v>
      </c>
      <c r="N128" s="25">
        <v>0</v>
      </c>
      <c r="O128" s="25">
        <v>0</v>
      </c>
    </row>
    <row r="129" spans="8:15" x14ac:dyDescent="0.25">
      <c r="H129" s="21" t="s">
        <v>37</v>
      </c>
      <c r="I129" s="24">
        <v>610208</v>
      </c>
      <c r="J129" s="20">
        <v>41143</v>
      </c>
      <c r="K129" s="25">
        <v>465</v>
      </c>
      <c r="L129" s="25">
        <v>0</v>
      </c>
      <c r="M129" s="25">
        <v>0</v>
      </c>
      <c r="N129" s="25">
        <v>0</v>
      </c>
      <c r="O129" s="25">
        <v>0</v>
      </c>
    </row>
    <row r="130" spans="8:15" x14ac:dyDescent="0.25">
      <c r="H130" s="21" t="s">
        <v>37</v>
      </c>
      <c r="I130" s="24">
        <v>610208</v>
      </c>
      <c r="J130" s="20">
        <v>41143</v>
      </c>
      <c r="K130" s="25">
        <v>466</v>
      </c>
      <c r="L130" s="25">
        <v>30</v>
      </c>
      <c r="M130" s="25">
        <v>8708</v>
      </c>
      <c r="N130" s="25">
        <v>2</v>
      </c>
      <c r="O130" s="25">
        <v>0</v>
      </c>
    </row>
    <row r="131" spans="8:15" x14ac:dyDescent="0.25">
      <c r="H131" s="21" t="s">
        <v>37</v>
      </c>
      <c r="I131" s="24">
        <v>610208</v>
      </c>
      <c r="J131" s="20">
        <v>41143</v>
      </c>
      <c r="K131" s="25">
        <v>477</v>
      </c>
      <c r="L131" s="25">
        <v>24</v>
      </c>
      <c r="M131" s="25">
        <v>6255</v>
      </c>
      <c r="N131" s="25">
        <v>8</v>
      </c>
      <c r="O131" s="25">
        <v>0</v>
      </c>
    </row>
    <row r="132" spans="8:15" x14ac:dyDescent="0.25">
      <c r="H132" s="21" t="s">
        <v>37</v>
      </c>
      <c r="I132" s="24">
        <v>610208</v>
      </c>
      <c r="J132" s="20">
        <v>41143</v>
      </c>
      <c r="K132" s="25">
        <v>478</v>
      </c>
      <c r="L132" s="25">
        <v>3</v>
      </c>
      <c r="M132" s="25">
        <v>627</v>
      </c>
      <c r="N132" s="25">
        <v>0</v>
      </c>
      <c r="O132" s="25">
        <v>0</v>
      </c>
    </row>
    <row r="133" spans="8:15" x14ac:dyDescent="0.25">
      <c r="H133" s="21" t="s">
        <v>37</v>
      </c>
      <c r="I133" s="24">
        <v>610208</v>
      </c>
      <c r="J133" s="20">
        <v>41143</v>
      </c>
      <c r="K133" s="25">
        <v>480</v>
      </c>
      <c r="L133" s="25">
        <v>4</v>
      </c>
      <c r="M133" s="25">
        <v>958</v>
      </c>
      <c r="N133" s="25">
        <v>0</v>
      </c>
      <c r="O133" s="25">
        <v>0</v>
      </c>
    </row>
    <row r="134" spans="8:15" x14ac:dyDescent="0.25">
      <c r="H134" s="21" t="s">
        <v>37</v>
      </c>
      <c r="I134" s="24">
        <v>610208</v>
      </c>
      <c r="J134" s="20">
        <v>41143</v>
      </c>
      <c r="K134" s="25">
        <v>481</v>
      </c>
      <c r="L134" s="25">
        <v>2</v>
      </c>
      <c r="M134" s="25">
        <v>825</v>
      </c>
      <c r="N134" s="25">
        <v>0</v>
      </c>
      <c r="O134" s="25">
        <v>0</v>
      </c>
    </row>
    <row r="135" spans="8:15" x14ac:dyDescent="0.25">
      <c r="H135" s="21" t="s">
        <v>37</v>
      </c>
      <c r="I135" s="24">
        <v>610208</v>
      </c>
      <c r="J135" s="20">
        <v>41143</v>
      </c>
      <c r="K135" s="25">
        <v>482</v>
      </c>
      <c r="L135" s="25">
        <v>6</v>
      </c>
      <c r="M135" s="25">
        <v>1447</v>
      </c>
      <c r="N135" s="25">
        <v>0</v>
      </c>
      <c r="O135" s="25">
        <v>0</v>
      </c>
    </row>
    <row r="136" spans="8:15" x14ac:dyDescent="0.25">
      <c r="H136" s="21" t="s">
        <v>37</v>
      </c>
      <c r="I136" s="24">
        <v>610208</v>
      </c>
      <c r="J136" s="20">
        <v>41143</v>
      </c>
      <c r="K136" s="25">
        <v>790</v>
      </c>
      <c r="L136" s="25">
        <v>0</v>
      </c>
      <c r="M136" s="25">
        <v>0</v>
      </c>
      <c r="N136" s="25">
        <v>0</v>
      </c>
      <c r="O136" s="25">
        <v>0</v>
      </c>
    </row>
    <row r="137" spans="8:15" x14ac:dyDescent="0.25">
      <c r="H137" s="21" t="s">
        <v>37</v>
      </c>
      <c r="I137" s="24">
        <v>610208</v>
      </c>
      <c r="J137" s="20">
        <v>41144</v>
      </c>
      <c r="K137" s="25">
        <v>85</v>
      </c>
      <c r="L137" s="25">
        <v>0</v>
      </c>
      <c r="M137" s="25">
        <v>0</v>
      </c>
      <c r="N137" s="25">
        <v>0</v>
      </c>
      <c r="O137" s="25">
        <v>0</v>
      </c>
    </row>
    <row r="138" spans="8:15" x14ac:dyDescent="0.25">
      <c r="H138" s="21" t="s">
        <v>37</v>
      </c>
      <c r="I138" s="24">
        <v>610208</v>
      </c>
      <c r="J138" s="20">
        <v>41144</v>
      </c>
      <c r="K138" s="25">
        <v>465</v>
      </c>
      <c r="L138" s="25">
        <v>0</v>
      </c>
      <c r="M138" s="25">
        <v>0</v>
      </c>
      <c r="N138" s="25">
        <v>0</v>
      </c>
      <c r="O138" s="25">
        <v>0</v>
      </c>
    </row>
    <row r="139" spans="8:15" x14ac:dyDescent="0.25">
      <c r="H139" s="21" t="s">
        <v>37</v>
      </c>
      <c r="I139" s="24">
        <v>610208</v>
      </c>
      <c r="J139" s="20">
        <v>41144</v>
      </c>
      <c r="K139" s="25">
        <v>466</v>
      </c>
      <c r="L139" s="25">
        <v>24</v>
      </c>
      <c r="M139" s="25">
        <v>6133</v>
      </c>
      <c r="N139" s="25">
        <v>7</v>
      </c>
      <c r="O139" s="25">
        <v>0</v>
      </c>
    </row>
    <row r="140" spans="8:15" x14ac:dyDescent="0.25">
      <c r="H140" s="21" t="s">
        <v>37</v>
      </c>
      <c r="I140" s="24">
        <v>610208</v>
      </c>
      <c r="J140" s="20">
        <v>41144</v>
      </c>
      <c r="K140" s="25">
        <v>467</v>
      </c>
      <c r="L140" s="25">
        <v>0</v>
      </c>
      <c r="M140" s="25">
        <v>0</v>
      </c>
      <c r="N140" s="25">
        <v>0</v>
      </c>
      <c r="O140" s="25">
        <v>0</v>
      </c>
    </row>
    <row r="141" spans="8:15" x14ac:dyDescent="0.25">
      <c r="H141" s="21" t="s">
        <v>37</v>
      </c>
      <c r="I141" s="24">
        <v>610208</v>
      </c>
      <c r="J141" s="20">
        <v>41144</v>
      </c>
      <c r="K141" s="25">
        <v>477</v>
      </c>
      <c r="L141" s="25">
        <v>30</v>
      </c>
      <c r="M141" s="25">
        <v>7860</v>
      </c>
      <c r="N141" s="25">
        <v>0</v>
      </c>
      <c r="O141" s="25">
        <v>0</v>
      </c>
    </row>
    <row r="142" spans="8:15" x14ac:dyDescent="0.25">
      <c r="H142" s="21" t="s">
        <v>37</v>
      </c>
      <c r="I142" s="24">
        <v>610208</v>
      </c>
      <c r="J142" s="20">
        <v>41144</v>
      </c>
      <c r="K142" s="25">
        <v>478</v>
      </c>
      <c r="L142" s="25">
        <v>4</v>
      </c>
      <c r="M142" s="25">
        <v>791</v>
      </c>
      <c r="N142" s="25">
        <v>1</v>
      </c>
      <c r="O142" s="25">
        <v>0</v>
      </c>
    </row>
    <row r="143" spans="8:15" x14ac:dyDescent="0.25">
      <c r="H143" s="21" t="s">
        <v>37</v>
      </c>
      <c r="I143" s="24">
        <v>610208</v>
      </c>
      <c r="J143" s="20">
        <v>41144</v>
      </c>
      <c r="K143" s="25">
        <v>480</v>
      </c>
      <c r="L143" s="25">
        <v>4</v>
      </c>
      <c r="M143" s="25">
        <v>1397</v>
      </c>
      <c r="N143" s="25">
        <v>0</v>
      </c>
      <c r="O143" s="25">
        <v>0</v>
      </c>
    </row>
    <row r="144" spans="8:15" x14ac:dyDescent="0.25">
      <c r="H144" s="21" t="s">
        <v>37</v>
      </c>
      <c r="I144" s="24">
        <v>610208</v>
      </c>
      <c r="J144" s="20">
        <v>41144</v>
      </c>
      <c r="K144" s="25">
        <v>481</v>
      </c>
      <c r="L144" s="25">
        <v>0</v>
      </c>
      <c r="M144" s="25">
        <v>0</v>
      </c>
      <c r="N144" s="25">
        <v>0</v>
      </c>
      <c r="O144" s="25">
        <v>0</v>
      </c>
    </row>
    <row r="145" spans="8:15" x14ac:dyDescent="0.25">
      <c r="H145" s="21" t="s">
        <v>37</v>
      </c>
      <c r="I145" s="24">
        <v>610208</v>
      </c>
      <c r="J145" s="20">
        <v>41144</v>
      </c>
      <c r="K145" s="25">
        <v>482</v>
      </c>
      <c r="L145" s="25">
        <v>14</v>
      </c>
      <c r="M145" s="25">
        <v>3804</v>
      </c>
      <c r="N145" s="25">
        <v>0</v>
      </c>
      <c r="O145" s="25">
        <v>0</v>
      </c>
    </row>
    <row r="146" spans="8:15" x14ac:dyDescent="0.25">
      <c r="H146" s="21" t="s">
        <v>37</v>
      </c>
      <c r="I146" s="24">
        <v>610208</v>
      </c>
      <c r="J146" s="20">
        <v>41144</v>
      </c>
      <c r="K146" s="25">
        <v>790</v>
      </c>
      <c r="L146" s="25">
        <v>0</v>
      </c>
      <c r="M146" s="25">
        <v>0</v>
      </c>
      <c r="N146" s="25">
        <v>0</v>
      </c>
      <c r="O146" s="25">
        <v>0</v>
      </c>
    </row>
    <row r="147" spans="8:15" x14ac:dyDescent="0.25">
      <c r="H147" s="21" t="s">
        <v>37</v>
      </c>
      <c r="I147" s="24">
        <v>610208</v>
      </c>
      <c r="J147" s="20">
        <v>41145</v>
      </c>
      <c r="K147" s="25">
        <v>85</v>
      </c>
      <c r="L147" s="25">
        <v>0</v>
      </c>
      <c r="M147" s="25">
        <v>0</v>
      </c>
      <c r="N147" s="25">
        <v>0</v>
      </c>
      <c r="O147" s="25">
        <v>0</v>
      </c>
    </row>
    <row r="148" spans="8:15" x14ac:dyDescent="0.25">
      <c r="H148" s="21" t="s">
        <v>37</v>
      </c>
      <c r="I148" s="24">
        <v>610208</v>
      </c>
      <c r="J148" s="20">
        <v>41145</v>
      </c>
      <c r="K148" s="25">
        <v>465</v>
      </c>
      <c r="L148" s="25">
        <v>0</v>
      </c>
      <c r="M148" s="25">
        <v>0</v>
      </c>
      <c r="N148" s="25">
        <v>0</v>
      </c>
      <c r="O148" s="25">
        <v>0</v>
      </c>
    </row>
    <row r="149" spans="8:15" x14ac:dyDescent="0.25">
      <c r="H149" s="21" t="s">
        <v>37</v>
      </c>
      <c r="I149" s="24">
        <v>610208</v>
      </c>
      <c r="J149" s="20">
        <v>41145</v>
      </c>
      <c r="K149" s="25">
        <v>466</v>
      </c>
      <c r="L149" s="25">
        <v>23</v>
      </c>
      <c r="M149" s="25">
        <v>5673</v>
      </c>
      <c r="N149" s="25">
        <v>0</v>
      </c>
      <c r="O149" s="25">
        <v>0</v>
      </c>
    </row>
    <row r="150" spans="8:15" x14ac:dyDescent="0.25">
      <c r="H150" s="21" t="s">
        <v>37</v>
      </c>
      <c r="I150" s="24">
        <v>610208</v>
      </c>
      <c r="J150" s="20">
        <v>41145</v>
      </c>
      <c r="K150" s="25">
        <v>467</v>
      </c>
      <c r="L150" s="25">
        <v>0</v>
      </c>
      <c r="M150" s="25">
        <v>0</v>
      </c>
      <c r="N150" s="25">
        <v>0</v>
      </c>
      <c r="O150" s="25">
        <v>0</v>
      </c>
    </row>
    <row r="151" spans="8:15" x14ac:dyDescent="0.25">
      <c r="H151" s="21" t="s">
        <v>37</v>
      </c>
      <c r="I151" s="24">
        <v>610208</v>
      </c>
      <c r="J151" s="20">
        <v>41145</v>
      </c>
      <c r="K151" s="25">
        <v>477</v>
      </c>
      <c r="L151" s="25">
        <v>24</v>
      </c>
      <c r="M151" s="25">
        <v>7022</v>
      </c>
      <c r="N151" s="25">
        <v>1</v>
      </c>
      <c r="O151" s="25">
        <v>0</v>
      </c>
    </row>
    <row r="152" spans="8:15" x14ac:dyDescent="0.25">
      <c r="H152" s="21" t="s">
        <v>37</v>
      </c>
      <c r="I152" s="24">
        <v>610208</v>
      </c>
      <c r="J152" s="20">
        <v>41145</v>
      </c>
      <c r="K152" s="25">
        <v>478</v>
      </c>
      <c r="L152" s="25">
        <v>1</v>
      </c>
      <c r="M152" s="25">
        <v>187</v>
      </c>
      <c r="N152" s="25">
        <v>0</v>
      </c>
      <c r="O152" s="25">
        <v>0</v>
      </c>
    </row>
    <row r="153" spans="8:15" x14ac:dyDescent="0.25">
      <c r="H153" s="21" t="s">
        <v>37</v>
      </c>
      <c r="I153" s="24">
        <v>610208</v>
      </c>
      <c r="J153" s="20">
        <v>41145</v>
      </c>
      <c r="K153" s="25">
        <v>480</v>
      </c>
      <c r="L153" s="25">
        <v>4</v>
      </c>
      <c r="M153" s="25">
        <v>1046</v>
      </c>
      <c r="N153" s="25">
        <v>0</v>
      </c>
      <c r="O153" s="25">
        <v>0</v>
      </c>
    </row>
    <row r="154" spans="8:15" x14ac:dyDescent="0.25">
      <c r="H154" s="21" t="s">
        <v>37</v>
      </c>
      <c r="I154" s="24">
        <v>610208</v>
      </c>
      <c r="J154" s="20">
        <v>41145</v>
      </c>
      <c r="K154" s="25">
        <v>481</v>
      </c>
      <c r="L154" s="25">
        <v>0</v>
      </c>
      <c r="M154" s="25">
        <v>0</v>
      </c>
      <c r="N154" s="25">
        <v>0</v>
      </c>
      <c r="O154" s="25">
        <v>0</v>
      </c>
    </row>
    <row r="155" spans="8:15" x14ac:dyDescent="0.25">
      <c r="H155" s="21" t="s">
        <v>37</v>
      </c>
      <c r="I155" s="24">
        <v>610208</v>
      </c>
      <c r="J155" s="20">
        <v>41145</v>
      </c>
      <c r="K155" s="25">
        <v>482</v>
      </c>
      <c r="L155" s="25">
        <v>11</v>
      </c>
      <c r="M155" s="25">
        <v>3696</v>
      </c>
      <c r="N155" s="25">
        <v>0</v>
      </c>
      <c r="O155" s="25">
        <v>0</v>
      </c>
    </row>
    <row r="156" spans="8:15" x14ac:dyDescent="0.25">
      <c r="H156" s="21" t="s">
        <v>37</v>
      </c>
      <c r="I156" s="24">
        <v>610208</v>
      </c>
      <c r="J156" s="20">
        <v>41145</v>
      </c>
      <c r="K156" s="25">
        <v>790</v>
      </c>
      <c r="L156" s="25">
        <v>0</v>
      </c>
      <c r="M156" s="25">
        <v>0</v>
      </c>
      <c r="N156" s="25">
        <v>0</v>
      </c>
      <c r="O156" s="25">
        <v>0</v>
      </c>
    </row>
    <row r="157" spans="8:15" x14ac:dyDescent="0.25">
      <c r="H157" s="21" t="s">
        <v>37</v>
      </c>
      <c r="I157" s="24">
        <v>610208</v>
      </c>
      <c r="J157" s="20">
        <v>41146</v>
      </c>
      <c r="K157" s="25">
        <v>473</v>
      </c>
      <c r="L157" s="25">
        <v>26</v>
      </c>
      <c r="M157" s="25">
        <v>6899</v>
      </c>
      <c r="N157" s="25">
        <v>0</v>
      </c>
      <c r="O157" s="25">
        <v>0</v>
      </c>
    </row>
    <row r="158" spans="8:15" x14ac:dyDescent="0.25">
      <c r="H158" s="21" t="s">
        <v>37</v>
      </c>
      <c r="I158" s="24">
        <v>610208</v>
      </c>
      <c r="J158" s="20">
        <v>41146</v>
      </c>
      <c r="K158" s="25">
        <v>474</v>
      </c>
      <c r="L158" s="25">
        <v>15</v>
      </c>
      <c r="M158" s="25">
        <v>3858</v>
      </c>
      <c r="N158" s="25">
        <v>0</v>
      </c>
      <c r="O158" s="25">
        <v>0</v>
      </c>
    </row>
    <row r="159" spans="8:15" x14ac:dyDescent="0.25">
      <c r="H159" s="21" t="s">
        <v>37</v>
      </c>
      <c r="I159" s="24">
        <v>610208</v>
      </c>
      <c r="J159" s="20">
        <v>41146</v>
      </c>
      <c r="K159" s="25">
        <v>475</v>
      </c>
      <c r="L159" s="25">
        <v>1</v>
      </c>
      <c r="M159" s="25">
        <v>148</v>
      </c>
      <c r="N159" s="25">
        <v>0</v>
      </c>
      <c r="O159" s="25">
        <v>0</v>
      </c>
    </row>
    <row r="160" spans="8:15" x14ac:dyDescent="0.25">
      <c r="H160" s="21" t="s">
        <v>37</v>
      </c>
      <c r="I160" s="24">
        <v>610208</v>
      </c>
      <c r="J160" s="20">
        <v>41146</v>
      </c>
      <c r="K160" s="25">
        <v>476</v>
      </c>
      <c r="L160" s="25">
        <v>38</v>
      </c>
      <c r="M160" s="25">
        <v>9230</v>
      </c>
      <c r="N160" s="25">
        <v>0</v>
      </c>
      <c r="O160" s="25">
        <v>0</v>
      </c>
    </row>
    <row r="161" spans="8:15" x14ac:dyDescent="0.25">
      <c r="H161" s="21" t="s">
        <v>37</v>
      </c>
      <c r="I161" s="24">
        <v>610208</v>
      </c>
      <c r="J161" s="20">
        <v>41146</v>
      </c>
      <c r="K161" s="25">
        <v>484</v>
      </c>
      <c r="L161" s="25">
        <v>0</v>
      </c>
      <c r="M161" s="25">
        <v>0</v>
      </c>
      <c r="N161" s="25">
        <v>0</v>
      </c>
      <c r="O161" s="25">
        <v>0</v>
      </c>
    </row>
    <row r="162" spans="8:15" x14ac:dyDescent="0.25">
      <c r="H162" s="21" t="s">
        <v>37</v>
      </c>
      <c r="I162" s="24">
        <v>610208</v>
      </c>
      <c r="J162" s="20">
        <v>41146</v>
      </c>
      <c r="K162" s="25">
        <v>791</v>
      </c>
      <c r="L162" s="25">
        <v>0</v>
      </c>
      <c r="M162" s="25">
        <v>0</v>
      </c>
      <c r="N162" s="25">
        <v>0</v>
      </c>
      <c r="O162" s="25">
        <v>0</v>
      </c>
    </row>
    <row r="163" spans="8:15" x14ac:dyDescent="0.25">
      <c r="H163" s="21" t="s">
        <v>37</v>
      </c>
      <c r="I163" s="24">
        <v>610208</v>
      </c>
      <c r="J163" s="20">
        <v>41148</v>
      </c>
      <c r="K163" s="25">
        <v>85</v>
      </c>
      <c r="L163" s="25">
        <v>0</v>
      </c>
      <c r="M163" s="25">
        <v>0</v>
      </c>
      <c r="N163" s="25">
        <v>0</v>
      </c>
      <c r="O163" s="25">
        <v>0</v>
      </c>
    </row>
    <row r="164" spans="8:15" x14ac:dyDescent="0.25">
      <c r="H164" s="21" t="s">
        <v>37</v>
      </c>
      <c r="I164" s="24">
        <v>610208</v>
      </c>
      <c r="J164" s="20">
        <v>41148</v>
      </c>
      <c r="K164" s="25">
        <v>465</v>
      </c>
      <c r="L164" s="25">
        <v>1</v>
      </c>
      <c r="M164" s="25">
        <v>341</v>
      </c>
      <c r="N164" s="25">
        <v>0</v>
      </c>
      <c r="O164" s="25">
        <v>0</v>
      </c>
    </row>
    <row r="165" spans="8:15" x14ac:dyDescent="0.25">
      <c r="H165" s="21" t="s">
        <v>37</v>
      </c>
      <c r="I165" s="24">
        <v>610208</v>
      </c>
      <c r="J165" s="20">
        <v>41148</v>
      </c>
      <c r="K165" s="25">
        <v>466</v>
      </c>
      <c r="L165" s="25">
        <v>5</v>
      </c>
      <c r="M165" s="25">
        <v>1325</v>
      </c>
      <c r="N165" s="25">
        <v>0</v>
      </c>
      <c r="O165" s="25">
        <v>0</v>
      </c>
    </row>
    <row r="166" spans="8:15" x14ac:dyDescent="0.25">
      <c r="H166" s="21" t="s">
        <v>37</v>
      </c>
      <c r="I166" s="24">
        <v>610208</v>
      </c>
      <c r="J166" s="20">
        <v>41148</v>
      </c>
      <c r="K166" s="25">
        <v>467</v>
      </c>
      <c r="L166" s="25">
        <v>0</v>
      </c>
      <c r="M166" s="25">
        <v>0</v>
      </c>
      <c r="N166" s="25">
        <v>0</v>
      </c>
      <c r="O166" s="25">
        <v>0</v>
      </c>
    </row>
    <row r="167" spans="8:15" x14ac:dyDescent="0.25">
      <c r="H167" s="21" t="s">
        <v>37</v>
      </c>
      <c r="I167" s="24">
        <v>610208</v>
      </c>
      <c r="J167" s="20">
        <v>41148</v>
      </c>
      <c r="K167" s="25">
        <v>477</v>
      </c>
      <c r="L167" s="25">
        <v>2</v>
      </c>
      <c r="M167" s="25">
        <v>412</v>
      </c>
      <c r="N167" s="25">
        <v>0</v>
      </c>
      <c r="O167" s="25">
        <v>0</v>
      </c>
    </row>
    <row r="168" spans="8:15" x14ac:dyDescent="0.25">
      <c r="H168" s="21" t="s">
        <v>37</v>
      </c>
      <c r="I168" s="24">
        <v>610208</v>
      </c>
      <c r="J168" s="20">
        <v>41148</v>
      </c>
      <c r="K168" s="25">
        <v>478</v>
      </c>
      <c r="L168" s="25">
        <v>54</v>
      </c>
      <c r="M168" s="25">
        <v>17777</v>
      </c>
      <c r="N168" s="25">
        <v>4</v>
      </c>
      <c r="O168" s="25">
        <v>0</v>
      </c>
    </row>
    <row r="169" spans="8:15" x14ac:dyDescent="0.25">
      <c r="H169" s="21" t="s">
        <v>37</v>
      </c>
      <c r="I169" s="24">
        <v>610208</v>
      </c>
      <c r="J169" s="20">
        <v>41148</v>
      </c>
      <c r="K169" s="25">
        <v>480</v>
      </c>
      <c r="L169" s="25">
        <v>2</v>
      </c>
      <c r="M169" s="25">
        <v>518</v>
      </c>
      <c r="N169" s="25">
        <v>0</v>
      </c>
      <c r="O169" s="25">
        <v>0</v>
      </c>
    </row>
    <row r="170" spans="8:15" x14ac:dyDescent="0.25">
      <c r="H170" s="21" t="s">
        <v>37</v>
      </c>
      <c r="I170" s="24">
        <v>610208</v>
      </c>
      <c r="J170" s="20">
        <v>41148</v>
      </c>
      <c r="K170" s="25">
        <v>481</v>
      </c>
      <c r="L170" s="25">
        <v>1</v>
      </c>
      <c r="M170" s="25">
        <v>255</v>
      </c>
      <c r="N170" s="25">
        <v>0</v>
      </c>
      <c r="O170" s="25">
        <v>0</v>
      </c>
    </row>
    <row r="171" spans="8:15" x14ac:dyDescent="0.25">
      <c r="H171" s="21" t="s">
        <v>37</v>
      </c>
      <c r="I171" s="24">
        <v>610208</v>
      </c>
      <c r="J171" s="20">
        <v>41148</v>
      </c>
      <c r="K171" s="25">
        <v>790</v>
      </c>
      <c r="L171" s="25">
        <v>0</v>
      </c>
      <c r="M171" s="25">
        <v>0</v>
      </c>
      <c r="N171" s="25">
        <v>0</v>
      </c>
      <c r="O171" s="25">
        <v>0</v>
      </c>
    </row>
    <row r="172" spans="8:15" x14ac:dyDescent="0.25">
      <c r="H172" s="21" t="s">
        <v>37</v>
      </c>
      <c r="I172" s="24">
        <v>610208</v>
      </c>
      <c r="J172" s="20">
        <v>41149</v>
      </c>
      <c r="K172" s="25">
        <v>85</v>
      </c>
      <c r="L172" s="25">
        <v>0</v>
      </c>
      <c r="M172" s="25">
        <v>0</v>
      </c>
      <c r="N172" s="25">
        <v>0</v>
      </c>
      <c r="O172" s="25">
        <v>0</v>
      </c>
    </row>
    <row r="173" spans="8:15" x14ac:dyDescent="0.25">
      <c r="H173" s="21" t="s">
        <v>37</v>
      </c>
      <c r="I173" s="24">
        <v>610208</v>
      </c>
      <c r="J173" s="20">
        <v>41149</v>
      </c>
      <c r="K173" s="25">
        <v>465</v>
      </c>
      <c r="L173" s="25">
        <v>0</v>
      </c>
      <c r="M173" s="25">
        <v>0</v>
      </c>
      <c r="N173" s="25">
        <v>0</v>
      </c>
      <c r="O173" s="25">
        <v>0</v>
      </c>
    </row>
    <row r="174" spans="8:15" x14ac:dyDescent="0.25">
      <c r="H174" s="21" t="s">
        <v>37</v>
      </c>
      <c r="I174" s="24">
        <v>610208</v>
      </c>
      <c r="J174" s="20">
        <v>41149</v>
      </c>
      <c r="K174" s="25">
        <v>466</v>
      </c>
      <c r="L174" s="25">
        <v>0</v>
      </c>
      <c r="M174" s="25">
        <v>0</v>
      </c>
      <c r="N174" s="25">
        <v>0</v>
      </c>
      <c r="O174" s="25">
        <v>0</v>
      </c>
    </row>
    <row r="175" spans="8:15" x14ac:dyDescent="0.25">
      <c r="H175" s="21" t="s">
        <v>37</v>
      </c>
      <c r="I175" s="24">
        <v>610208</v>
      </c>
      <c r="J175" s="20">
        <v>41149</v>
      </c>
      <c r="K175" s="25">
        <v>467</v>
      </c>
      <c r="L175" s="25">
        <v>0</v>
      </c>
      <c r="M175" s="25">
        <v>0</v>
      </c>
      <c r="N175" s="25">
        <v>0</v>
      </c>
      <c r="O175" s="25">
        <v>0</v>
      </c>
    </row>
    <row r="176" spans="8:15" x14ac:dyDescent="0.25">
      <c r="H176" s="21" t="s">
        <v>37</v>
      </c>
      <c r="I176" s="24">
        <v>610208</v>
      </c>
      <c r="J176" s="20">
        <v>41149</v>
      </c>
      <c r="K176" s="25">
        <v>473</v>
      </c>
      <c r="L176" s="25">
        <v>20</v>
      </c>
      <c r="M176" s="25">
        <v>5866</v>
      </c>
      <c r="N176" s="25">
        <v>1</v>
      </c>
      <c r="O176" s="25">
        <v>0</v>
      </c>
    </row>
    <row r="177" spans="8:15" x14ac:dyDescent="0.25">
      <c r="H177" s="21" t="s">
        <v>37</v>
      </c>
      <c r="I177" s="24">
        <v>610208</v>
      </c>
      <c r="J177" s="20">
        <v>41149</v>
      </c>
      <c r="K177" s="25">
        <v>474</v>
      </c>
      <c r="L177" s="25">
        <v>16</v>
      </c>
      <c r="M177" s="25">
        <v>5794</v>
      </c>
      <c r="N177" s="25">
        <v>0</v>
      </c>
      <c r="O177" s="25">
        <v>0</v>
      </c>
    </row>
    <row r="178" spans="8:15" x14ac:dyDescent="0.25">
      <c r="H178" s="21" t="s">
        <v>37</v>
      </c>
      <c r="I178" s="24">
        <v>610208</v>
      </c>
      <c r="J178" s="20">
        <v>41149</v>
      </c>
      <c r="K178" s="25">
        <v>475</v>
      </c>
      <c r="L178" s="25">
        <v>0</v>
      </c>
      <c r="M178" s="25">
        <v>0</v>
      </c>
      <c r="N178" s="25">
        <v>0</v>
      </c>
      <c r="O178" s="25">
        <v>0</v>
      </c>
    </row>
    <row r="179" spans="8:15" x14ac:dyDescent="0.25">
      <c r="H179" s="21" t="s">
        <v>37</v>
      </c>
      <c r="I179" s="24">
        <v>610208</v>
      </c>
      <c r="J179" s="20">
        <v>41149</v>
      </c>
      <c r="K179" s="25">
        <v>476</v>
      </c>
      <c r="L179" s="25">
        <v>29</v>
      </c>
      <c r="M179" s="25">
        <v>8420</v>
      </c>
      <c r="N179" s="25">
        <v>0</v>
      </c>
      <c r="O179" s="25">
        <v>0</v>
      </c>
    </row>
    <row r="180" spans="8:15" x14ac:dyDescent="0.25">
      <c r="H180" s="21" t="s">
        <v>37</v>
      </c>
      <c r="I180" s="24">
        <v>610208</v>
      </c>
      <c r="J180" s="20">
        <v>41149</v>
      </c>
      <c r="K180" s="25">
        <v>477</v>
      </c>
      <c r="L180" s="25">
        <v>0</v>
      </c>
      <c r="M180" s="25">
        <v>0</v>
      </c>
      <c r="N180" s="25">
        <v>0</v>
      </c>
      <c r="O180" s="25">
        <v>0</v>
      </c>
    </row>
    <row r="181" spans="8:15" x14ac:dyDescent="0.25">
      <c r="H181" s="21" t="s">
        <v>37</v>
      </c>
      <c r="I181" s="24">
        <v>610208</v>
      </c>
      <c r="J181" s="20">
        <v>41149</v>
      </c>
      <c r="K181" s="25">
        <v>478</v>
      </c>
      <c r="L181" s="25">
        <v>0</v>
      </c>
      <c r="M181" s="25">
        <v>0</v>
      </c>
      <c r="N181" s="25">
        <v>0</v>
      </c>
      <c r="O181" s="25">
        <v>0</v>
      </c>
    </row>
    <row r="182" spans="8:15" x14ac:dyDescent="0.25">
      <c r="H182" s="21" t="s">
        <v>37</v>
      </c>
      <c r="I182" s="24">
        <v>610208</v>
      </c>
      <c r="J182" s="20">
        <v>41149</v>
      </c>
      <c r="K182" s="25">
        <v>480</v>
      </c>
      <c r="L182" s="25">
        <v>0</v>
      </c>
      <c r="M182" s="25">
        <v>0</v>
      </c>
      <c r="N182" s="25">
        <v>0</v>
      </c>
      <c r="O182" s="25">
        <v>0</v>
      </c>
    </row>
    <row r="183" spans="8:15" x14ac:dyDescent="0.25">
      <c r="H183" s="21" t="s">
        <v>37</v>
      </c>
      <c r="I183" s="24">
        <v>610208</v>
      </c>
      <c r="J183" s="20">
        <v>41149</v>
      </c>
      <c r="K183" s="25">
        <v>481</v>
      </c>
      <c r="L183" s="25">
        <v>0</v>
      </c>
      <c r="M183" s="25">
        <v>0</v>
      </c>
      <c r="N183" s="25">
        <v>0</v>
      </c>
      <c r="O183" s="25">
        <v>0</v>
      </c>
    </row>
    <row r="184" spans="8:15" x14ac:dyDescent="0.25">
      <c r="H184" s="21" t="s">
        <v>37</v>
      </c>
      <c r="I184" s="24">
        <v>610208</v>
      </c>
      <c r="J184" s="20">
        <v>41149</v>
      </c>
      <c r="K184" s="25">
        <v>484</v>
      </c>
      <c r="L184" s="25">
        <v>0</v>
      </c>
      <c r="M184" s="25">
        <v>0</v>
      </c>
      <c r="N184" s="25">
        <v>0</v>
      </c>
      <c r="O184" s="25">
        <v>0</v>
      </c>
    </row>
    <row r="185" spans="8:15" x14ac:dyDescent="0.25">
      <c r="H185" s="21" t="s">
        <v>37</v>
      </c>
      <c r="I185" s="24">
        <v>610208</v>
      </c>
      <c r="J185" s="20">
        <v>41149</v>
      </c>
      <c r="K185" s="25">
        <v>790</v>
      </c>
      <c r="L185" s="25">
        <v>0</v>
      </c>
      <c r="M185" s="25">
        <v>0</v>
      </c>
      <c r="N185" s="25">
        <v>0</v>
      </c>
      <c r="O185" s="25">
        <v>0</v>
      </c>
    </row>
    <row r="186" spans="8:15" x14ac:dyDescent="0.25">
      <c r="H186" s="21" t="s">
        <v>37</v>
      </c>
      <c r="I186" s="24">
        <v>610208</v>
      </c>
      <c r="J186" s="20">
        <v>41149</v>
      </c>
      <c r="K186" s="25">
        <v>791</v>
      </c>
      <c r="L186" s="25">
        <v>0</v>
      </c>
      <c r="M186" s="25">
        <v>0</v>
      </c>
      <c r="N186" s="25">
        <v>0</v>
      </c>
      <c r="O186" s="25">
        <v>0</v>
      </c>
    </row>
    <row r="187" spans="8:15" x14ac:dyDescent="0.25">
      <c r="H187" s="21" t="s">
        <v>37</v>
      </c>
      <c r="I187" s="24">
        <v>610208</v>
      </c>
      <c r="J187" s="20">
        <v>41150</v>
      </c>
      <c r="K187" s="25">
        <v>473</v>
      </c>
      <c r="L187" s="25">
        <v>14</v>
      </c>
      <c r="M187" s="25">
        <v>3746</v>
      </c>
      <c r="N187" s="25">
        <v>4</v>
      </c>
      <c r="O187" s="25">
        <v>0</v>
      </c>
    </row>
    <row r="188" spans="8:15" x14ac:dyDescent="0.25">
      <c r="H188" s="21" t="s">
        <v>37</v>
      </c>
      <c r="I188" s="24">
        <v>610208</v>
      </c>
      <c r="J188" s="20">
        <v>41150</v>
      </c>
      <c r="K188" s="25">
        <v>474</v>
      </c>
      <c r="L188" s="25">
        <v>8</v>
      </c>
      <c r="M188" s="25">
        <v>1863</v>
      </c>
      <c r="N188" s="25">
        <v>0</v>
      </c>
      <c r="O188" s="25">
        <v>0</v>
      </c>
    </row>
    <row r="189" spans="8:15" x14ac:dyDescent="0.25">
      <c r="H189" s="21" t="s">
        <v>37</v>
      </c>
      <c r="I189" s="24">
        <v>610208</v>
      </c>
      <c r="J189" s="20">
        <v>41150</v>
      </c>
      <c r="K189" s="25">
        <v>475</v>
      </c>
      <c r="L189" s="25">
        <v>1</v>
      </c>
      <c r="M189" s="25">
        <v>92</v>
      </c>
      <c r="N189" s="25">
        <v>0</v>
      </c>
      <c r="O189" s="25">
        <v>0</v>
      </c>
    </row>
    <row r="190" spans="8:15" x14ac:dyDescent="0.25">
      <c r="H190" s="21" t="s">
        <v>37</v>
      </c>
      <c r="I190" s="24">
        <v>610208</v>
      </c>
      <c r="J190" s="20">
        <v>41150</v>
      </c>
      <c r="K190" s="25">
        <v>476</v>
      </c>
      <c r="L190" s="25">
        <v>44</v>
      </c>
      <c r="M190" s="25">
        <v>14694</v>
      </c>
      <c r="N190" s="25">
        <v>2</v>
      </c>
      <c r="O190" s="25">
        <v>0</v>
      </c>
    </row>
    <row r="191" spans="8:15" x14ac:dyDescent="0.25">
      <c r="H191" s="21" t="s">
        <v>37</v>
      </c>
      <c r="I191" s="24">
        <v>610208</v>
      </c>
      <c r="J191" s="20">
        <v>41150</v>
      </c>
      <c r="K191" s="25">
        <v>484</v>
      </c>
      <c r="L191" s="25">
        <v>0</v>
      </c>
      <c r="M191" s="25">
        <v>0</v>
      </c>
      <c r="N191" s="25">
        <v>0</v>
      </c>
      <c r="O191" s="25">
        <v>0</v>
      </c>
    </row>
    <row r="192" spans="8:15" x14ac:dyDescent="0.25">
      <c r="H192" s="21" t="s">
        <v>37</v>
      </c>
      <c r="I192" s="24">
        <v>610208</v>
      </c>
      <c r="J192" s="20">
        <v>41150</v>
      </c>
      <c r="K192" s="25">
        <v>791</v>
      </c>
      <c r="L192" s="25">
        <v>0</v>
      </c>
      <c r="M192" s="25">
        <v>0</v>
      </c>
      <c r="N192" s="25">
        <v>0</v>
      </c>
      <c r="O192" s="25">
        <v>0</v>
      </c>
    </row>
    <row r="193" spans="8:15" x14ac:dyDescent="0.25">
      <c r="H193" s="21" t="s">
        <v>37</v>
      </c>
      <c r="I193" s="24">
        <v>610208</v>
      </c>
      <c r="J193" s="20">
        <v>41151</v>
      </c>
      <c r="K193" s="25">
        <v>473</v>
      </c>
      <c r="L193" s="25">
        <v>21</v>
      </c>
      <c r="M193" s="25">
        <v>6538</v>
      </c>
      <c r="N193" s="25">
        <v>0</v>
      </c>
      <c r="O193" s="25">
        <v>0</v>
      </c>
    </row>
    <row r="194" spans="8:15" x14ac:dyDescent="0.25">
      <c r="H194" s="21" t="s">
        <v>37</v>
      </c>
      <c r="I194" s="24">
        <v>610208</v>
      </c>
      <c r="J194" s="20">
        <v>41151</v>
      </c>
      <c r="K194" s="25">
        <v>474</v>
      </c>
      <c r="L194" s="25">
        <v>13</v>
      </c>
      <c r="M194" s="25">
        <v>3403</v>
      </c>
      <c r="N194" s="25">
        <v>0</v>
      </c>
      <c r="O194" s="25">
        <v>0</v>
      </c>
    </row>
    <row r="195" spans="8:15" x14ac:dyDescent="0.25">
      <c r="H195" s="21" t="s">
        <v>37</v>
      </c>
      <c r="I195" s="24">
        <v>610208</v>
      </c>
      <c r="J195" s="20">
        <v>41151</v>
      </c>
      <c r="K195" s="25">
        <v>475</v>
      </c>
      <c r="L195" s="25">
        <v>1</v>
      </c>
      <c r="M195" s="25">
        <v>408</v>
      </c>
      <c r="N195" s="25">
        <v>0</v>
      </c>
      <c r="O195" s="25">
        <v>0</v>
      </c>
    </row>
    <row r="196" spans="8:15" x14ac:dyDescent="0.25">
      <c r="H196" s="21" t="s">
        <v>37</v>
      </c>
      <c r="I196" s="24">
        <v>610208</v>
      </c>
      <c r="J196" s="20">
        <v>41151</v>
      </c>
      <c r="K196" s="25">
        <v>476</v>
      </c>
      <c r="L196" s="25">
        <v>37</v>
      </c>
      <c r="M196" s="25">
        <v>9797</v>
      </c>
      <c r="N196" s="25">
        <v>39</v>
      </c>
      <c r="O196" s="25">
        <v>0</v>
      </c>
    </row>
    <row r="197" spans="8:15" x14ac:dyDescent="0.25">
      <c r="H197" s="21" t="s">
        <v>37</v>
      </c>
      <c r="I197" s="24">
        <v>610208</v>
      </c>
      <c r="J197" s="20">
        <v>41151</v>
      </c>
      <c r="K197" s="25">
        <v>484</v>
      </c>
      <c r="L197" s="25">
        <v>1</v>
      </c>
      <c r="M197" s="25">
        <v>325</v>
      </c>
      <c r="N197" s="25">
        <v>0</v>
      </c>
      <c r="O197" s="25">
        <v>0</v>
      </c>
    </row>
    <row r="198" spans="8:15" x14ac:dyDescent="0.25">
      <c r="H198" s="21" t="s">
        <v>37</v>
      </c>
      <c r="I198" s="24">
        <v>610208</v>
      </c>
      <c r="J198" s="20">
        <v>41151</v>
      </c>
      <c r="K198" s="25">
        <v>791</v>
      </c>
      <c r="L198" s="25">
        <v>0</v>
      </c>
      <c r="M198" s="25">
        <v>0</v>
      </c>
      <c r="N198" s="25">
        <v>0</v>
      </c>
      <c r="O198" s="25">
        <v>0</v>
      </c>
    </row>
    <row r="199" spans="8:15" x14ac:dyDescent="0.25">
      <c r="H199" s="21" t="s">
        <v>37</v>
      </c>
      <c r="I199" s="24">
        <v>610208</v>
      </c>
      <c r="J199" s="20">
        <v>41152</v>
      </c>
      <c r="K199" s="25">
        <v>473</v>
      </c>
      <c r="L199" s="25">
        <v>20</v>
      </c>
      <c r="M199" s="25">
        <v>4515</v>
      </c>
      <c r="N199" s="25">
        <v>0</v>
      </c>
      <c r="O199" s="25">
        <v>0</v>
      </c>
    </row>
    <row r="200" spans="8:15" x14ac:dyDescent="0.25">
      <c r="H200" s="21" t="s">
        <v>37</v>
      </c>
      <c r="I200" s="24">
        <v>610208</v>
      </c>
      <c r="J200" s="20">
        <v>41152</v>
      </c>
      <c r="K200" s="25">
        <v>474</v>
      </c>
      <c r="L200" s="25">
        <v>26</v>
      </c>
      <c r="M200" s="25">
        <v>6460</v>
      </c>
      <c r="N200" s="25">
        <v>0</v>
      </c>
      <c r="O200" s="25">
        <v>0</v>
      </c>
    </row>
    <row r="201" spans="8:15" x14ac:dyDescent="0.25">
      <c r="H201" s="21" t="s">
        <v>37</v>
      </c>
      <c r="I201" s="24">
        <v>610208</v>
      </c>
      <c r="J201" s="20">
        <v>41152</v>
      </c>
      <c r="K201" s="25">
        <v>475</v>
      </c>
      <c r="L201" s="25">
        <v>3</v>
      </c>
      <c r="M201" s="25">
        <v>1562</v>
      </c>
      <c r="N201" s="25">
        <v>8</v>
      </c>
      <c r="O201" s="25">
        <v>0</v>
      </c>
    </row>
    <row r="202" spans="8:15" x14ac:dyDescent="0.25">
      <c r="H202" s="21" t="s">
        <v>37</v>
      </c>
      <c r="I202" s="24">
        <v>610208</v>
      </c>
      <c r="J202" s="20">
        <v>41152</v>
      </c>
      <c r="K202" s="25">
        <v>476</v>
      </c>
      <c r="L202" s="25">
        <v>32</v>
      </c>
      <c r="M202" s="25">
        <v>7920</v>
      </c>
      <c r="N202" s="25">
        <v>0</v>
      </c>
      <c r="O202" s="25">
        <v>0</v>
      </c>
    </row>
    <row r="203" spans="8:15" x14ac:dyDescent="0.25">
      <c r="H203" s="21" t="s">
        <v>37</v>
      </c>
      <c r="I203" s="24">
        <v>610208</v>
      </c>
      <c r="J203" s="20">
        <v>41152</v>
      </c>
      <c r="K203" s="25">
        <v>484</v>
      </c>
      <c r="L203" s="25">
        <v>0</v>
      </c>
      <c r="M203" s="25">
        <v>0</v>
      </c>
      <c r="N203" s="25">
        <v>0</v>
      </c>
      <c r="O203" s="25">
        <v>0</v>
      </c>
    </row>
    <row r="204" spans="8:15" x14ac:dyDescent="0.25">
      <c r="H204" s="21" t="s">
        <v>37</v>
      </c>
      <c r="I204" s="24">
        <v>610208</v>
      </c>
      <c r="J204" s="20">
        <v>41152</v>
      </c>
      <c r="K204" s="25">
        <v>791</v>
      </c>
      <c r="L204" s="25">
        <v>0</v>
      </c>
      <c r="M204" s="25">
        <v>0</v>
      </c>
      <c r="N204" s="25">
        <v>0</v>
      </c>
      <c r="O204" s="25">
        <v>0</v>
      </c>
    </row>
    <row r="205" spans="8:15" x14ac:dyDescent="0.25">
      <c r="H205" s="21" t="s">
        <v>38</v>
      </c>
      <c r="I205" s="24">
        <v>610340</v>
      </c>
      <c r="J205" s="20">
        <v>41122</v>
      </c>
      <c r="K205" s="25">
        <v>85</v>
      </c>
      <c r="L205" s="25">
        <v>0</v>
      </c>
      <c r="M205" s="25">
        <v>0</v>
      </c>
      <c r="N205" s="25">
        <v>0</v>
      </c>
      <c r="O205" s="25">
        <v>0</v>
      </c>
    </row>
    <row r="206" spans="8:15" x14ac:dyDescent="0.25">
      <c r="H206" s="21" t="s">
        <v>38</v>
      </c>
      <c r="I206" s="24">
        <v>610340</v>
      </c>
      <c r="J206" s="20">
        <v>41122</v>
      </c>
      <c r="K206" s="25">
        <v>477</v>
      </c>
      <c r="L206" s="25">
        <v>60</v>
      </c>
      <c r="M206" s="25">
        <v>15117</v>
      </c>
      <c r="N206" s="25">
        <v>2</v>
      </c>
      <c r="O206" s="25">
        <v>0</v>
      </c>
    </row>
    <row r="207" spans="8:15" x14ac:dyDescent="0.25">
      <c r="H207" s="21" t="s">
        <v>38</v>
      </c>
      <c r="I207" s="24">
        <v>610340</v>
      </c>
      <c r="J207" s="20">
        <v>41122</v>
      </c>
      <c r="K207" s="25">
        <v>478</v>
      </c>
      <c r="L207" s="25">
        <v>13</v>
      </c>
      <c r="M207" s="25">
        <v>3312</v>
      </c>
      <c r="N207" s="25">
        <v>0</v>
      </c>
      <c r="O207" s="25">
        <v>20</v>
      </c>
    </row>
    <row r="208" spans="8:15" x14ac:dyDescent="0.25">
      <c r="H208" s="21" t="s">
        <v>38</v>
      </c>
      <c r="I208" s="24">
        <v>610340</v>
      </c>
      <c r="J208" s="20">
        <v>41122</v>
      </c>
      <c r="K208" s="25">
        <v>481</v>
      </c>
      <c r="L208" s="25">
        <v>0</v>
      </c>
      <c r="M208" s="25">
        <v>0</v>
      </c>
      <c r="N208" s="25">
        <v>0</v>
      </c>
      <c r="O208" s="25">
        <v>0</v>
      </c>
    </row>
    <row r="209" spans="8:15" x14ac:dyDescent="0.25">
      <c r="H209" s="21" t="s">
        <v>38</v>
      </c>
      <c r="I209" s="24">
        <v>610340</v>
      </c>
      <c r="J209" s="20">
        <v>41122</v>
      </c>
      <c r="K209" s="25">
        <v>790</v>
      </c>
      <c r="L209" s="25">
        <v>0</v>
      </c>
      <c r="M209" s="25">
        <v>0</v>
      </c>
      <c r="N209" s="25">
        <v>0</v>
      </c>
      <c r="O209" s="25">
        <v>0</v>
      </c>
    </row>
    <row r="210" spans="8:15" x14ac:dyDescent="0.25">
      <c r="H210" s="21" t="s">
        <v>38</v>
      </c>
      <c r="I210" s="24">
        <v>610340</v>
      </c>
      <c r="J210" s="20">
        <v>41123</v>
      </c>
      <c r="K210" s="25">
        <v>85</v>
      </c>
      <c r="L210" s="25">
        <v>0</v>
      </c>
      <c r="M210" s="25">
        <v>0</v>
      </c>
      <c r="N210" s="25">
        <v>0</v>
      </c>
      <c r="O210" s="25">
        <v>0</v>
      </c>
    </row>
    <row r="211" spans="8:15" x14ac:dyDescent="0.25">
      <c r="H211" s="21" t="s">
        <v>38</v>
      </c>
      <c r="I211" s="24">
        <v>610340</v>
      </c>
      <c r="J211" s="20">
        <v>41123</v>
      </c>
      <c r="K211" s="25">
        <v>477</v>
      </c>
      <c r="L211" s="25">
        <v>39</v>
      </c>
      <c r="M211" s="25">
        <v>14627</v>
      </c>
      <c r="N211" s="25">
        <v>245</v>
      </c>
      <c r="O211" s="25">
        <v>22</v>
      </c>
    </row>
    <row r="212" spans="8:15" x14ac:dyDescent="0.25">
      <c r="H212" s="21" t="s">
        <v>38</v>
      </c>
      <c r="I212" s="24">
        <v>610340</v>
      </c>
      <c r="J212" s="20">
        <v>41123</v>
      </c>
      <c r="K212" s="25">
        <v>478</v>
      </c>
      <c r="L212" s="25">
        <v>11</v>
      </c>
      <c r="M212" s="25">
        <v>3898</v>
      </c>
      <c r="N212" s="25">
        <v>0</v>
      </c>
      <c r="O212" s="25">
        <v>0</v>
      </c>
    </row>
    <row r="213" spans="8:15" x14ac:dyDescent="0.25">
      <c r="H213" s="21" t="s">
        <v>38</v>
      </c>
      <c r="I213" s="24">
        <v>610340</v>
      </c>
      <c r="J213" s="20">
        <v>41123</v>
      </c>
      <c r="K213" s="25">
        <v>481</v>
      </c>
      <c r="L213" s="25">
        <v>0</v>
      </c>
      <c r="M213" s="25">
        <v>0</v>
      </c>
      <c r="N213" s="25">
        <v>0</v>
      </c>
      <c r="O213" s="25">
        <v>0</v>
      </c>
    </row>
    <row r="214" spans="8:15" x14ac:dyDescent="0.25">
      <c r="H214" s="21" t="s">
        <v>38</v>
      </c>
      <c r="I214" s="24">
        <v>610340</v>
      </c>
      <c r="J214" s="20">
        <v>41123</v>
      </c>
      <c r="K214" s="25">
        <v>790</v>
      </c>
      <c r="L214" s="25">
        <v>0</v>
      </c>
      <c r="M214" s="25">
        <v>0</v>
      </c>
      <c r="N214" s="25">
        <v>0</v>
      </c>
      <c r="O214" s="25">
        <v>0</v>
      </c>
    </row>
    <row r="215" spans="8:15" x14ac:dyDescent="0.25">
      <c r="H215" s="21" t="s">
        <v>38</v>
      </c>
      <c r="I215" s="24">
        <v>610340</v>
      </c>
      <c r="J215" s="20">
        <v>41124</v>
      </c>
      <c r="K215" s="25">
        <v>85</v>
      </c>
      <c r="L215" s="25">
        <v>0</v>
      </c>
      <c r="M215" s="25">
        <v>0</v>
      </c>
      <c r="N215" s="25">
        <v>0</v>
      </c>
      <c r="O215" s="25">
        <v>0</v>
      </c>
    </row>
    <row r="216" spans="8:15" x14ac:dyDescent="0.25">
      <c r="H216" s="21" t="s">
        <v>38</v>
      </c>
      <c r="I216" s="24">
        <v>610340</v>
      </c>
      <c r="J216" s="20">
        <v>41124</v>
      </c>
      <c r="K216" s="25">
        <v>477</v>
      </c>
      <c r="L216" s="25">
        <v>23</v>
      </c>
      <c r="M216" s="25">
        <v>7110</v>
      </c>
      <c r="N216" s="25">
        <v>0</v>
      </c>
      <c r="O216" s="25">
        <v>4</v>
      </c>
    </row>
    <row r="217" spans="8:15" x14ac:dyDescent="0.25">
      <c r="H217" s="21" t="s">
        <v>38</v>
      </c>
      <c r="I217" s="24">
        <v>610340</v>
      </c>
      <c r="J217" s="20">
        <v>41124</v>
      </c>
      <c r="K217" s="25">
        <v>478</v>
      </c>
      <c r="L217" s="25">
        <v>12</v>
      </c>
      <c r="M217" s="25">
        <v>3341</v>
      </c>
      <c r="N217" s="25">
        <v>0</v>
      </c>
      <c r="O217" s="25">
        <v>0</v>
      </c>
    </row>
    <row r="218" spans="8:15" x14ac:dyDescent="0.25">
      <c r="H218" s="21" t="s">
        <v>38</v>
      </c>
      <c r="I218" s="24">
        <v>610340</v>
      </c>
      <c r="J218" s="20">
        <v>41124</v>
      </c>
      <c r="K218" s="25">
        <v>481</v>
      </c>
      <c r="L218" s="25">
        <v>21</v>
      </c>
      <c r="M218" s="25">
        <v>6863</v>
      </c>
      <c r="N218" s="25">
        <v>10</v>
      </c>
      <c r="O218" s="25">
        <v>0</v>
      </c>
    </row>
    <row r="219" spans="8:15" x14ac:dyDescent="0.25">
      <c r="H219" s="21" t="s">
        <v>38</v>
      </c>
      <c r="I219" s="24">
        <v>610340</v>
      </c>
      <c r="J219" s="20">
        <v>41124</v>
      </c>
      <c r="K219" s="25">
        <v>790</v>
      </c>
      <c r="L219" s="25">
        <v>0</v>
      </c>
      <c r="M219" s="25">
        <v>0</v>
      </c>
      <c r="N219" s="25">
        <v>0</v>
      </c>
      <c r="O219" s="25">
        <v>0</v>
      </c>
    </row>
    <row r="220" spans="8:15" x14ac:dyDescent="0.25">
      <c r="H220" s="21" t="s">
        <v>38</v>
      </c>
      <c r="I220" s="24">
        <v>610340</v>
      </c>
      <c r="J220" s="20">
        <v>41126</v>
      </c>
      <c r="K220" s="25">
        <v>85</v>
      </c>
      <c r="L220" s="25">
        <v>0</v>
      </c>
      <c r="M220" s="25">
        <v>0</v>
      </c>
      <c r="N220" s="25">
        <v>0</v>
      </c>
      <c r="O220" s="25">
        <v>0</v>
      </c>
    </row>
    <row r="221" spans="8:15" x14ac:dyDescent="0.25">
      <c r="H221" s="21" t="s">
        <v>38</v>
      </c>
      <c r="I221" s="24">
        <v>610340</v>
      </c>
      <c r="J221" s="20">
        <v>41126</v>
      </c>
      <c r="K221" s="25">
        <v>477</v>
      </c>
      <c r="L221" s="25">
        <v>5</v>
      </c>
      <c r="M221" s="25">
        <v>2704</v>
      </c>
      <c r="N221" s="25">
        <v>0</v>
      </c>
      <c r="O221" s="25">
        <v>3</v>
      </c>
    </row>
    <row r="222" spans="8:15" x14ac:dyDescent="0.25">
      <c r="H222" s="21" t="s">
        <v>38</v>
      </c>
      <c r="I222" s="24">
        <v>610340</v>
      </c>
      <c r="J222" s="20">
        <v>41126</v>
      </c>
      <c r="K222" s="25">
        <v>478</v>
      </c>
      <c r="L222" s="25">
        <v>0</v>
      </c>
      <c r="M222" s="25">
        <v>0</v>
      </c>
      <c r="N222" s="25">
        <v>0</v>
      </c>
      <c r="O222" s="25">
        <v>0</v>
      </c>
    </row>
    <row r="223" spans="8:15" x14ac:dyDescent="0.25">
      <c r="H223" s="21" t="s">
        <v>38</v>
      </c>
      <c r="I223" s="24">
        <v>610340</v>
      </c>
      <c r="J223" s="20">
        <v>41126</v>
      </c>
      <c r="K223" s="25">
        <v>480</v>
      </c>
      <c r="L223" s="25">
        <v>20</v>
      </c>
      <c r="M223" s="25">
        <v>8070</v>
      </c>
      <c r="N223" s="25">
        <v>0</v>
      </c>
      <c r="O223" s="25">
        <v>3</v>
      </c>
    </row>
    <row r="224" spans="8:15" x14ac:dyDescent="0.25">
      <c r="H224" s="21" t="s">
        <v>38</v>
      </c>
      <c r="I224" s="24">
        <v>610340</v>
      </c>
      <c r="J224" s="20">
        <v>41126</v>
      </c>
      <c r="K224" s="25">
        <v>481</v>
      </c>
      <c r="L224" s="25">
        <v>0</v>
      </c>
      <c r="M224" s="25">
        <v>0</v>
      </c>
      <c r="N224" s="25">
        <v>0</v>
      </c>
      <c r="O224" s="25">
        <v>0</v>
      </c>
    </row>
    <row r="225" spans="8:15" x14ac:dyDescent="0.25">
      <c r="H225" s="21" t="s">
        <v>38</v>
      </c>
      <c r="I225" s="24">
        <v>610340</v>
      </c>
      <c r="J225" s="20">
        <v>41126</v>
      </c>
      <c r="K225" s="25">
        <v>482</v>
      </c>
      <c r="L225" s="25">
        <v>0</v>
      </c>
      <c r="M225" s="25">
        <v>0</v>
      </c>
      <c r="N225" s="25">
        <v>0</v>
      </c>
      <c r="O225" s="25">
        <v>0</v>
      </c>
    </row>
    <row r="226" spans="8:15" x14ac:dyDescent="0.25">
      <c r="H226" s="21" t="s">
        <v>38</v>
      </c>
      <c r="I226" s="24">
        <v>610340</v>
      </c>
      <c r="J226" s="20">
        <v>41126</v>
      </c>
      <c r="K226" s="25">
        <v>790</v>
      </c>
      <c r="L226" s="25">
        <v>0</v>
      </c>
      <c r="M226" s="25">
        <v>0</v>
      </c>
      <c r="N226" s="25">
        <v>0</v>
      </c>
      <c r="O226" s="25">
        <v>0</v>
      </c>
    </row>
    <row r="227" spans="8:15" x14ac:dyDescent="0.25">
      <c r="H227" s="21" t="s">
        <v>38</v>
      </c>
      <c r="I227" s="24">
        <v>610340</v>
      </c>
      <c r="J227" s="20">
        <v>41127</v>
      </c>
      <c r="K227" s="25">
        <v>85</v>
      </c>
      <c r="L227" s="25">
        <v>0</v>
      </c>
      <c r="M227" s="25">
        <v>0</v>
      </c>
      <c r="N227" s="25">
        <v>0</v>
      </c>
      <c r="O227" s="25">
        <v>0</v>
      </c>
    </row>
    <row r="228" spans="8:15" x14ac:dyDescent="0.25">
      <c r="H228" s="21" t="s">
        <v>38</v>
      </c>
      <c r="I228" s="24">
        <v>610340</v>
      </c>
      <c r="J228" s="20">
        <v>41127</v>
      </c>
      <c r="K228" s="25">
        <v>477</v>
      </c>
      <c r="L228" s="25">
        <v>46</v>
      </c>
      <c r="M228" s="25">
        <v>12387</v>
      </c>
      <c r="N228" s="25">
        <v>0</v>
      </c>
      <c r="O228" s="25">
        <v>0</v>
      </c>
    </row>
    <row r="229" spans="8:15" x14ac:dyDescent="0.25">
      <c r="H229" s="21" t="s">
        <v>38</v>
      </c>
      <c r="I229" s="24">
        <v>610340</v>
      </c>
      <c r="J229" s="20">
        <v>41127</v>
      </c>
      <c r="K229" s="25">
        <v>478</v>
      </c>
      <c r="L229" s="25">
        <v>8</v>
      </c>
      <c r="M229" s="25">
        <v>1884</v>
      </c>
      <c r="N229" s="25">
        <v>0</v>
      </c>
      <c r="O229" s="25">
        <v>0</v>
      </c>
    </row>
    <row r="230" spans="8:15" x14ac:dyDescent="0.25">
      <c r="H230" s="21" t="s">
        <v>38</v>
      </c>
      <c r="I230" s="24">
        <v>610340</v>
      </c>
      <c r="J230" s="20">
        <v>41127</v>
      </c>
      <c r="K230" s="25">
        <v>481</v>
      </c>
      <c r="L230" s="25">
        <v>18</v>
      </c>
      <c r="M230" s="25">
        <v>5159</v>
      </c>
      <c r="N230" s="25">
        <v>13</v>
      </c>
      <c r="O230" s="25">
        <v>3</v>
      </c>
    </row>
    <row r="231" spans="8:15" x14ac:dyDescent="0.25">
      <c r="H231" s="21" t="s">
        <v>38</v>
      </c>
      <c r="I231" s="24">
        <v>610340</v>
      </c>
      <c r="J231" s="20">
        <v>41127</v>
      </c>
      <c r="K231" s="25">
        <v>790</v>
      </c>
      <c r="L231" s="25">
        <v>0</v>
      </c>
      <c r="M231" s="25">
        <v>0</v>
      </c>
      <c r="N231" s="25">
        <v>0</v>
      </c>
      <c r="O231" s="25">
        <v>0</v>
      </c>
    </row>
    <row r="232" spans="8:15" x14ac:dyDescent="0.25">
      <c r="H232" s="21" t="s">
        <v>38</v>
      </c>
      <c r="I232" s="24">
        <v>610340</v>
      </c>
      <c r="J232" s="20">
        <v>41128</v>
      </c>
      <c r="K232" s="25">
        <v>85</v>
      </c>
      <c r="L232" s="25">
        <v>0</v>
      </c>
      <c r="M232" s="25">
        <v>0</v>
      </c>
      <c r="N232" s="25">
        <v>0</v>
      </c>
      <c r="O232" s="25">
        <v>0</v>
      </c>
    </row>
    <row r="233" spans="8:15" x14ac:dyDescent="0.25">
      <c r="H233" s="21" t="s">
        <v>38</v>
      </c>
      <c r="I233" s="24">
        <v>610340</v>
      </c>
      <c r="J233" s="20">
        <v>41128</v>
      </c>
      <c r="K233" s="25">
        <v>477</v>
      </c>
      <c r="L233" s="25">
        <v>44</v>
      </c>
      <c r="M233" s="25">
        <v>13641</v>
      </c>
      <c r="N233" s="25">
        <v>31</v>
      </c>
      <c r="O233" s="25">
        <v>0</v>
      </c>
    </row>
    <row r="234" spans="8:15" x14ac:dyDescent="0.25">
      <c r="H234" s="21" t="s">
        <v>38</v>
      </c>
      <c r="I234" s="24">
        <v>610340</v>
      </c>
      <c r="J234" s="20">
        <v>41128</v>
      </c>
      <c r="K234" s="25">
        <v>478</v>
      </c>
      <c r="L234" s="25">
        <v>2</v>
      </c>
      <c r="M234" s="25">
        <v>837</v>
      </c>
      <c r="N234" s="25">
        <v>0</v>
      </c>
      <c r="O234" s="25">
        <v>0</v>
      </c>
    </row>
    <row r="235" spans="8:15" x14ac:dyDescent="0.25">
      <c r="H235" s="21" t="s">
        <v>38</v>
      </c>
      <c r="I235" s="24">
        <v>610340</v>
      </c>
      <c r="J235" s="20">
        <v>41128</v>
      </c>
      <c r="K235" s="25">
        <v>481</v>
      </c>
      <c r="L235" s="25">
        <v>18</v>
      </c>
      <c r="M235" s="25">
        <v>4670</v>
      </c>
      <c r="N235" s="25">
        <v>0</v>
      </c>
      <c r="O235" s="25">
        <v>0</v>
      </c>
    </row>
    <row r="236" spans="8:15" x14ac:dyDescent="0.25">
      <c r="H236" s="21" t="s">
        <v>38</v>
      </c>
      <c r="I236" s="24">
        <v>610340</v>
      </c>
      <c r="J236" s="20">
        <v>41128</v>
      </c>
      <c r="K236" s="25">
        <v>790</v>
      </c>
      <c r="L236" s="25">
        <v>0</v>
      </c>
      <c r="M236" s="25">
        <v>0</v>
      </c>
      <c r="N236" s="25">
        <v>0</v>
      </c>
      <c r="O236" s="25">
        <v>0</v>
      </c>
    </row>
    <row r="237" spans="8:15" x14ac:dyDescent="0.25">
      <c r="H237" s="21" t="s">
        <v>38</v>
      </c>
      <c r="I237" s="24">
        <v>610340</v>
      </c>
      <c r="J237" s="20">
        <v>41129</v>
      </c>
      <c r="K237" s="25">
        <v>85</v>
      </c>
      <c r="L237" s="25">
        <v>0</v>
      </c>
      <c r="M237" s="25">
        <v>0</v>
      </c>
      <c r="N237" s="25">
        <v>0</v>
      </c>
      <c r="O237" s="25">
        <v>0</v>
      </c>
    </row>
    <row r="238" spans="8:15" x14ac:dyDescent="0.25">
      <c r="H238" s="21" t="s">
        <v>38</v>
      </c>
      <c r="I238" s="24">
        <v>610340</v>
      </c>
      <c r="J238" s="20">
        <v>41129</v>
      </c>
      <c r="K238" s="25">
        <v>477</v>
      </c>
      <c r="L238" s="25">
        <v>38</v>
      </c>
      <c r="M238" s="25">
        <v>12260</v>
      </c>
      <c r="N238" s="25">
        <v>49</v>
      </c>
      <c r="O238" s="25">
        <v>12</v>
      </c>
    </row>
    <row r="239" spans="8:15" x14ac:dyDescent="0.25">
      <c r="H239" s="21" t="s">
        <v>38</v>
      </c>
      <c r="I239" s="24">
        <v>610340</v>
      </c>
      <c r="J239" s="20">
        <v>41129</v>
      </c>
      <c r="K239" s="25">
        <v>478</v>
      </c>
      <c r="L239" s="25">
        <v>8</v>
      </c>
      <c r="M239" s="25">
        <v>2531</v>
      </c>
      <c r="N239" s="25">
        <v>0</v>
      </c>
      <c r="O239" s="25">
        <v>0</v>
      </c>
    </row>
    <row r="240" spans="8:15" x14ac:dyDescent="0.25">
      <c r="H240" s="21" t="s">
        <v>38</v>
      </c>
      <c r="I240" s="24">
        <v>610340</v>
      </c>
      <c r="J240" s="20">
        <v>41129</v>
      </c>
      <c r="K240" s="25">
        <v>481</v>
      </c>
      <c r="L240" s="25">
        <v>6</v>
      </c>
      <c r="M240" s="25">
        <v>1768</v>
      </c>
      <c r="N240" s="25">
        <v>0</v>
      </c>
      <c r="O240" s="25">
        <v>0</v>
      </c>
    </row>
    <row r="241" spans="8:15" x14ac:dyDescent="0.25">
      <c r="H241" s="21" t="s">
        <v>38</v>
      </c>
      <c r="I241" s="24">
        <v>610340</v>
      </c>
      <c r="J241" s="20">
        <v>41129</v>
      </c>
      <c r="K241" s="25">
        <v>790</v>
      </c>
      <c r="L241" s="25">
        <v>0</v>
      </c>
      <c r="M241" s="25">
        <v>0</v>
      </c>
      <c r="N241" s="25">
        <v>0</v>
      </c>
      <c r="O241" s="25">
        <v>0</v>
      </c>
    </row>
    <row r="242" spans="8:15" x14ac:dyDescent="0.25">
      <c r="H242" s="21" t="s">
        <v>38</v>
      </c>
      <c r="I242" s="24">
        <v>610340</v>
      </c>
      <c r="J242" s="20">
        <v>41130</v>
      </c>
      <c r="K242" s="25">
        <v>85</v>
      </c>
      <c r="L242" s="25">
        <v>0</v>
      </c>
      <c r="M242" s="25">
        <v>0</v>
      </c>
      <c r="N242" s="25">
        <v>0</v>
      </c>
      <c r="O242" s="25">
        <v>0</v>
      </c>
    </row>
    <row r="243" spans="8:15" x14ac:dyDescent="0.25">
      <c r="H243" s="21" t="s">
        <v>38</v>
      </c>
      <c r="I243" s="24">
        <v>610340</v>
      </c>
      <c r="J243" s="20">
        <v>41130</v>
      </c>
      <c r="K243" s="25">
        <v>477</v>
      </c>
      <c r="L243" s="25">
        <v>40</v>
      </c>
      <c r="M243" s="25">
        <v>10333</v>
      </c>
      <c r="N243" s="25">
        <v>0</v>
      </c>
      <c r="O243" s="25">
        <v>0</v>
      </c>
    </row>
    <row r="244" spans="8:15" x14ac:dyDescent="0.25">
      <c r="H244" s="21" t="s">
        <v>38</v>
      </c>
      <c r="I244" s="24">
        <v>610340</v>
      </c>
      <c r="J244" s="20">
        <v>41130</v>
      </c>
      <c r="K244" s="25">
        <v>478</v>
      </c>
      <c r="L244" s="25">
        <v>12</v>
      </c>
      <c r="M244" s="25">
        <v>3280</v>
      </c>
      <c r="N244" s="25">
        <v>0</v>
      </c>
      <c r="O244" s="25">
        <v>0</v>
      </c>
    </row>
    <row r="245" spans="8:15" x14ac:dyDescent="0.25">
      <c r="H245" s="21" t="s">
        <v>38</v>
      </c>
      <c r="I245" s="24">
        <v>610340</v>
      </c>
      <c r="J245" s="20">
        <v>41130</v>
      </c>
      <c r="K245" s="25">
        <v>481</v>
      </c>
      <c r="L245" s="25">
        <v>1</v>
      </c>
      <c r="M245" s="25">
        <v>621</v>
      </c>
      <c r="N245" s="25">
        <v>0</v>
      </c>
      <c r="O245" s="25">
        <v>0</v>
      </c>
    </row>
    <row r="246" spans="8:15" x14ac:dyDescent="0.25">
      <c r="H246" s="21" t="s">
        <v>38</v>
      </c>
      <c r="I246" s="24">
        <v>610340</v>
      </c>
      <c r="J246" s="20">
        <v>41130</v>
      </c>
      <c r="K246" s="25">
        <v>790</v>
      </c>
      <c r="L246" s="25">
        <v>0</v>
      </c>
      <c r="M246" s="25">
        <v>0</v>
      </c>
      <c r="N246" s="25">
        <v>0</v>
      </c>
      <c r="O246" s="25">
        <v>0</v>
      </c>
    </row>
    <row r="247" spans="8:15" x14ac:dyDescent="0.25">
      <c r="H247" s="21" t="s">
        <v>38</v>
      </c>
      <c r="I247" s="24">
        <v>610340</v>
      </c>
      <c r="J247" s="20">
        <v>41131</v>
      </c>
      <c r="K247" s="25">
        <v>85</v>
      </c>
      <c r="L247" s="25">
        <v>0</v>
      </c>
      <c r="M247" s="25">
        <v>0</v>
      </c>
      <c r="N247" s="25">
        <v>0</v>
      </c>
      <c r="O247" s="25">
        <v>0</v>
      </c>
    </row>
    <row r="248" spans="8:15" x14ac:dyDescent="0.25">
      <c r="H248" s="21" t="s">
        <v>38</v>
      </c>
      <c r="I248" s="24">
        <v>610340</v>
      </c>
      <c r="J248" s="20">
        <v>41131</v>
      </c>
      <c r="K248" s="25">
        <v>477</v>
      </c>
      <c r="L248" s="25">
        <v>44</v>
      </c>
      <c r="M248" s="25">
        <v>12188</v>
      </c>
      <c r="N248" s="25">
        <v>0</v>
      </c>
      <c r="O248" s="25">
        <v>26</v>
      </c>
    </row>
    <row r="249" spans="8:15" x14ac:dyDescent="0.25">
      <c r="H249" s="21" t="s">
        <v>38</v>
      </c>
      <c r="I249" s="24">
        <v>610340</v>
      </c>
      <c r="J249" s="20">
        <v>41131</v>
      </c>
      <c r="K249" s="25">
        <v>478</v>
      </c>
      <c r="L249" s="25">
        <v>14</v>
      </c>
      <c r="M249" s="25">
        <v>4910</v>
      </c>
      <c r="N249" s="25">
        <v>0</v>
      </c>
      <c r="O249" s="25">
        <v>0</v>
      </c>
    </row>
    <row r="250" spans="8:15" x14ac:dyDescent="0.25">
      <c r="H250" s="21" t="s">
        <v>38</v>
      </c>
      <c r="I250" s="24">
        <v>610340</v>
      </c>
      <c r="J250" s="20">
        <v>41131</v>
      </c>
      <c r="K250" s="25">
        <v>481</v>
      </c>
      <c r="L250" s="25">
        <v>0</v>
      </c>
      <c r="M250" s="25">
        <v>0</v>
      </c>
      <c r="N250" s="25">
        <v>0</v>
      </c>
      <c r="O250" s="25">
        <v>0</v>
      </c>
    </row>
    <row r="251" spans="8:15" x14ac:dyDescent="0.25">
      <c r="H251" s="21" t="s">
        <v>38</v>
      </c>
      <c r="I251" s="24">
        <v>610340</v>
      </c>
      <c r="J251" s="20">
        <v>41131</v>
      </c>
      <c r="K251" s="25">
        <v>790</v>
      </c>
      <c r="L251" s="25">
        <v>0</v>
      </c>
      <c r="M251" s="25">
        <v>0</v>
      </c>
      <c r="N251" s="25">
        <v>0</v>
      </c>
      <c r="O251" s="25">
        <v>0</v>
      </c>
    </row>
    <row r="252" spans="8:15" x14ac:dyDescent="0.25">
      <c r="H252" s="21" t="s">
        <v>38</v>
      </c>
      <c r="I252" s="24">
        <v>610340</v>
      </c>
      <c r="J252" s="20">
        <v>41132</v>
      </c>
      <c r="K252" s="25">
        <v>85</v>
      </c>
      <c r="L252" s="25">
        <v>0</v>
      </c>
      <c r="M252" s="25">
        <v>0</v>
      </c>
      <c r="N252" s="25">
        <v>0</v>
      </c>
      <c r="O252" s="25">
        <v>0</v>
      </c>
    </row>
    <row r="253" spans="8:15" x14ac:dyDescent="0.25">
      <c r="H253" s="21" t="s">
        <v>38</v>
      </c>
      <c r="I253" s="24">
        <v>610340</v>
      </c>
      <c r="J253" s="20">
        <v>41132</v>
      </c>
      <c r="K253" s="25">
        <v>477</v>
      </c>
      <c r="L253" s="25">
        <v>32</v>
      </c>
      <c r="M253" s="25">
        <v>6711</v>
      </c>
      <c r="N253" s="25">
        <v>0</v>
      </c>
      <c r="O253" s="25">
        <v>0</v>
      </c>
    </row>
    <row r="254" spans="8:15" x14ac:dyDescent="0.25">
      <c r="H254" s="21" t="s">
        <v>38</v>
      </c>
      <c r="I254" s="24">
        <v>610340</v>
      </c>
      <c r="J254" s="20">
        <v>41132</v>
      </c>
      <c r="K254" s="25">
        <v>478</v>
      </c>
      <c r="L254" s="25">
        <v>13</v>
      </c>
      <c r="M254" s="25">
        <v>3513</v>
      </c>
      <c r="N254" s="25">
        <v>0</v>
      </c>
      <c r="O254" s="25">
        <v>0</v>
      </c>
    </row>
    <row r="255" spans="8:15" x14ac:dyDescent="0.25">
      <c r="H255" s="21" t="s">
        <v>38</v>
      </c>
      <c r="I255" s="24">
        <v>610340</v>
      </c>
      <c r="J255" s="20">
        <v>41132</v>
      </c>
      <c r="K255" s="25">
        <v>481</v>
      </c>
      <c r="L255" s="25">
        <v>0</v>
      </c>
      <c r="M255" s="25">
        <v>0</v>
      </c>
      <c r="N255" s="25">
        <v>0</v>
      </c>
      <c r="O255" s="25">
        <v>0</v>
      </c>
    </row>
    <row r="256" spans="8:15" x14ac:dyDescent="0.25">
      <c r="H256" s="21" t="s">
        <v>38</v>
      </c>
      <c r="I256" s="24">
        <v>610340</v>
      </c>
      <c r="J256" s="20">
        <v>41132</v>
      </c>
      <c r="K256" s="25">
        <v>790</v>
      </c>
      <c r="L256" s="25">
        <v>0</v>
      </c>
      <c r="M256" s="25">
        <v>0</v>
      </c>
      <c r="N256" s="25">
        <v>0</v>
      </c>
      <c r="O256" s="25">
        <v>0</v>
      </c>
    </row>
    <row r="257" spans="8:15" x14ac:dyDescent="0.25">
      <c r="H257" s="21" t="s">
        <v>38</v>
      </c>
      <c r="I257" s="24">
        <v>610340</v>
      </c>
      <c r="J257" s="20">
        <v>41134</v>
      </c>
      <c r="K257" s="25">
        <v>85</v>
      </c>
      <c r="L257" s="25">
        <v>0</v>
      </c>
      <c r="M257" s="25">
        <v>0</v>
      </c>
      <c r="N257" s="25">
        <v>0</v>
      </c>
      <c r="O257" s="25">
        <v>0</v>
      </c>
    </row>
    <row r="258" spans="8:15" x14ac:dyDescent="0.25">
      <c r="H258" s="21" t="s">
        <v>38</v>
      </c>
      <c r="I258" s="24">
        <v>610340</v>
      </c>
      <c r="J258" s="20">
        <v>41134</v>
      </c>
      <c r="K258" s="25">
        <v>477</v>
      </c>
      <c r="L258" s="25">
        <v>44</v>
      </c>
      <c r="M258" s="25">
        <v>12052</v>
      </c>
      <c r="N258" s="25">
        <v>26</v>
      </c>
      <c r="O258" s="25">
        <v>0</v>
      </c>
    </row>
    <row r="259" spans="8:15" x14ac:dyDescent="0.25">
      <c r="H259" s="21" t="s">
        <v>38</v>
      </c>
      <c r="I259" s="24">
        <v>610340</v>
      </c>
      <c r="J259" s="20">
        <v>41134</v>
      </c>
      <c r="K259" s="25">
        <v>478</v>
      </c>
      <c r="L259" s="25">
        <v>21</v>
      </c>
      <c r="M259" s="25">
        <v>6625</v>
      </c>
      <c r="N259" s="25">
        <v>0</v>
      </c>
      <c r="O259" s="25">
        <v>3</v>
      </c>
    </row>
    <row r="260" spans="8:15" x14ac:dyDescent="0.25">
      <c r="H260" s="21" t="s">
        <v>38</v>
      </c>
      <c r="I260" s="24">
        <v>610340</v>
      </c>
      <c r="J260" s="20">
        <v>41134</v>
      </c>
      <c r="K260" s="25">
        <v>481</v>
      </c>
      <c r="L260" s="25">
        <v>0</v>
      </c>
      <c r="M260" s="25">
        <v>0</v>
      </c>
      <c r="N260" s="25">
        <v>0</v>
      </c>
      <c r="O260" s="25">
        <v>0</v>
      </c>
    </row>
    <row r="261" spans="8:15" x14ac:dyDescent="0.25">
      <c r="H261" s="21" t="s">
        <v>38</v>
      </c>
      <c r="I261" s="24">
        <v>610340</v>
      </c>
      <c r="J261" s="20">
        <v>41134</v>
      </c>
      <c r="K261" s="25">
        <v>790</v>
      </c>
      <c r="L261" s="25">
        <v>0</v>
      </c>
      <c r="M261" s="25">
        <v>0</v>
      </c>
      <c r="N261" s="25">
        <v>0</v>
      </c>
      <c r="O261" s="25">
        <v>0</v>
      </c>
    </row>
    <row r="262" spans="8:15" x14ac:dyDescent="0.25">
      <c r="H262" s="21" t="s">
        <v>38</v>
      </c>
      <c r="I262" s="24">
        <v>610340</v>
      </c>
      <c r="J262" s="20">
        <v>41135</v>
      </c>
      <c r="K262" s="25">
        <v>85</v>
      </c>
      <c r="L262" s="25">
        <v>0</v>
      </c>
      <c r="M262" s="25">
        <v>0</v>
      </c>
      <c r="N262" s="25">
        <v>0</v>
      </c>
      <c r="O262" s="25">
        <v>0</v>
      </c>
    </row>
    <row r="263" spans="8:15" x14ac:dyDescent="0.25">
      <c r="H263" s="21" t="s">
        <v>38</v>
      </c>
      <c r="I263" s="24">
        <v>610340</v>
      </c>
      <c r="J263" s="20">
        <v>41135</v>
      </c>
      <c r="K263" s="25">
        <v>466</v>
      </c>
      <c r="L263" s="25">
        <v>1</v>
      </c>
      <c r="M263" s="25">
        <v>74</v>
      </c>
      <c r="N263" s="25">
        <v>0</v>
      </c>
      <c r="O263" s="25">
        <v>0</v>
      </c>
    </row>
    <row r="264" spans="8:15" x14ac:dyDescent="0.25">
      <c r="H264" s="21" t="s">
        <v>38</v>
      </c>
      <c r="I264" s="24">
        <v>610340</v>
      </c>
      <c r="J264" s="20">
        <v>41135</v>
      </c>
      <c r="K264" s="25">
        <v>467</v>
      </c>
      <c r="L264" s="25">
        <v>0</v>
      </c>
      <c r="M264" s="25">
        <v>0</v>
      </c>
      <c r="N264" s="25">
        <v>0</v>
      </c>
      <c r="O264" s="25">
        <v>0</v>
      </c>
    </row>
    <row r="265" spans="8:15" x14ac:dyDescent="0.25">
      <c r="H265" s="21" t="s">
        <v>38</v>
      </c>
      <c r="I265" s="24">
        <v>610340</v>
      </c>
      <c r="J265" s="20">
        <v>41135</v>
      </c>
      <c r="K265" s="25">
        <v>477</v>
      </c>
      <c r="L265" s="25">
        <v>25</v>
      </c>
      <c r="M265" s="25">
        <v>7853</v>
      </c>
      <c r="N265" s="25">
        <v>8</v>
      </c>
      <c r="O265" s="25">
        <v>0</v>
      </c>
    </row>
    <row r="266" spans="8:15" x14ac:dyDescent="0.25">
      <c r="H266" s="21" t="s">
        <v>38</v>
      </c>
      <c r="I266" s="24">
        <v>610340</v>
      </c>
      <c r="J266" s="20">
        <v>41135</v>
      </c>
      <c r="K266" s="25">
        <v>478</v>
      </c>
      <c r="L266" s="25">
        <v>34</v>
      </c>
      <c r="M266" s="25">
        <v>9567</v>
      </c>
      <c r="N266" s="25">
        <v>8</v>
      </c>
      <c r="O266" s="25">
        <v>0</v>
      </c>
    </row>
    <row r="267" spans="8:15" x14ac:dyDescent="0.25">
      <c r="H267" s="21" t="s">
        <v>38</v>
      </c>
      <c r="I267" s="24">
        <v>610340</v>
      </c>
      <c r="J267" s="20">
        <v>41135</v>
      </c>
      <c r="K267" s="25">
        <v>481</v>
      </c>
      <c r="L267" s="25">
        <v>0</v>
      </c>
      <c r="M267" s="25">
        <v>0</v>
      </c>
      <c r="N267" s="25">
        <v>0</v>
      </c>
      <c r="O267" s="25">
        <v>0</v>
      </c>
    </row>
    <row r="268" spans="8:15" x14ac:dyDescent="0.25">
      <c r="H268" s="21" t="s">
        <v>38</v>
      </c>
      <c r="I268" s="24">
        <v>610340</v>
      </c>
      <c r="J268" s="20">
        <v>41135</v>
      </c>
      <c r="K268" s="25">
        <v>790</v>
      </c>
      <c r="L268" s="25">
        <v>0</v>
      </c>
      <c r="M268" s="25">
        <v>0</v>
      </c>
      <c r="N268" s="25">
        <v>0</v>
      </c>
      <c r="O268" s="25">
        <v>0</v>
      </c>
    </row>
    <row r="269" spans="8:15" x14ac:dyDescent="0.25">
      <c r="H269" s="21" t="s">
        <v>38</v>
      </c>
      <c r="I269" s="24">
        <v>610340</v>
      </c>
      <c r="J269" s="20">
        <v>41136</v>
      </c>
      <c r="K269" s="25">
        <v>85</v>
      </c>
      <c r="L269" s="25">
        <v>0</v>
      </c>
      <c r="M269" s="25">
        <v>0</v>
      </c>
      <c r="N269" s="25">
        <v>0</v>
      </c>
      <c r="O269" s="25">
        <v>0</v>
      </c>
    </row>
    <row r="270" spans="8:15" x14ac:dyDescent="0.25">
      <c r="H270" s="21" t="s">
        <v>38</v>
      </c>
      <c r="I270" s="24">
        <v>610340</v>
      </c>
      <c r="J270" s="20">
        <v>41136</v>
      </c>
      <c r="K270" s="25">
        <v>465</v>
      </c>
      <c r="L270" s="25">
        <v>0</v>
      </c>
      <c r="M270" s="25">
        <v>0</v>
      </c>
      <c r="N270" s="25">
        <v>0</v>
      </c>
      <c r="O270" s="25">
        <v>0</v>
      </c>
    </row>
    <row r="271" spans="8:15" x14ac:dyDescent="0.25">
      <c r="H271" s="21" t="s">
        <v>38</v>
      </c>
      <c r="I271" s="24">
        <v>610340</v>
      </c>
      <c r="J271" s="20">
        <v>41136</v>
      </c>
      <c r="K271" s="25">
        <v>466</v>
      </c>
      <c r="L271" s="25">
        <v>0</v>
      </c>
      <c r="M271" s="25">
        <v>0</v>
      </c>
      <c r="N271" s="25">
        <v>0</v>
      </c>
      <c r="O271" s="25">
        <v>0</v>
      </c>
    </row>
    <row r="272" spans="8:15" x14ac:dyDescent="0.25">
      <c r="H272" s="21" t="s">
        <v>38</v>
      </c>
      <c r="I272" s="24">
        <v>610340</v>
      </c>
      <c r="J272" s="20">
        <v>41136</v>
      </c>
      <c r="K272" s="25">
        <v>467</v>
      </c>
      <c r="L272" s="25">
        <v>0</v>
      </c>
      <c r="M272" s="25">
        <v>0</v>
      </c>
      <c r="N272" s="25">
        <v>0</v>
      </c>
      <c r="O272" s="25">
        <v>0</v>
      </c>
    </row>
    <row r="273" spans="8:15" x14ac:dyDescent="0.25">
      <c r="H273" s="21" t="s">
        <v>38</v>
      </c>
      <c r="I273" s="24">
        <v>610340</v>
      </c>
      <c r="J273" s="20">
        <v>41136</v>
      </c>
      <c r="K273" s="25">
        <v>477</v>
      </c>
      <c r="L273" s="25">
        <v>1</v>
      </c>
      <c r="M273" s="25">
        <v>128</v>
      </c>
      <c r="N273" s="25">
        <v>0</v>
      </c>
      <c r="O273" s="25">
        <v>0</v>
      </c>
    </row>
    <row r="274" spans="8:15" x14ac:dyDescent="0.25">
      <c r="H274" s="21" t="s">
        <v>38</v>
      </c>
      <c r="I274" s="24">
        <v>610340</v>
      </c>
      <c r="J274" s="20">
        <v>41136</v>
      </c>
      <c r="K274" s="25">
        <v>478</v>
      </c>
      <c r="L274" s="25">
        <v>9</v>
      </c>
      <c r="M274" s="25">
        <v>2405</v>
      </c>
      <c r="N274" s="25">
        <v>0</v>
      </c>
      <c r="O274" s="25">
        <v>0</v>
      </c>
    </row>
    <row r="275" spans="8:15" x14ac:dyDescent="0.25">
      <c r="H275" s="21" t="s">
        <v>38</v>
      </c>
      <c r="I275" s="24">
        <v>610340</v>
      </c>
      <c r="J275" s="20">
        <v>41136</v>
      </c>
      <c r="K275" s="25">
        <v>480</v>
      </c>
      <c r="L275" s="25">
        <v>17</v>
      </c>
      <c r="M275" s="25">
        <v>5602</v>
      </c>
      <c r="N275" s="25">
        <v>0</v>
      </c>
      <c r="O275" s="25">
        <v>0</v>
      </c>
    </row>
    <row r="276" spans="8:15" x14ac:dyDescent="0.25">
      <c r="H276" s="21" t="s">
        <v>38</v>
      </c>
      <c r="I276" s="24">
        <v>610340</v>
      </c>
      <c r="J276" s="20">
        <v>41136</v>
      </c>
      <c r="K276" s="25">
        <v>481</v>
      </c>
      <c r="L276" s="25">
        <v>5</v>
      </c>
      <c r="M276" s="25">
        <v>1748</v>
      </c>
      <c r="N276" s="25">
        <v>0</v>
      </c>
      <c r="O276" s="25">
        <v>0</v>
      </c>
    </row>
    <row r="277" spans="8:15" x14ac:dyDescent="0.25">
      <c r="H277" s="21" t="s">
        <v>38</v>
      </c>
      <c r="I277" s="24">
        <v>610340</v>
      </c>
      <c r="J277" s="20">
        <v>41136</v>
      </c>
      <c r="K277" s="25">
        <v>482</v>
      </c>
      <c r="L277" s="25">
        <v>32</v>
      </c>
      <c r="M277" s="25">
        <v>9071</v>
      </c>
      <c r="N277" s="25">
        <v>0</v>
      </c>
      <c r="O277" s="25">
        <v>0</v>
      </c>
    </row>
    <row r="278" spans="8:15" x14ac:dyDescent="0.25">
      <c r="H278" s="21" t="s">
        <v>38</v>
      </c>
      <c r="I278" s="24">
        <v>610340</v>
      </c>
      <c r="J278" s="20">
        <v>41136</v>
      </c>
      <c r="K278" s="25">
        <v>790</v>
      </c>
      <c r="L278" s="25">
        <v>0</v>
      </c>
      <c r="M278" s="25">
        <v>0</v>
      </c>
      <c r="N278" s="25">
        <v>0</v>
      </c>
      <c r="O278" s="25">
        <v>0</v>
      </c>
    </row>
    <row r="279" spans="8:15" x14ac:dyDescent="0.25">
      <c r="H279" s="21" t="s">
        <v>38</v>
      </c>
      <c r="I279" s="24">
        <v>610340</v>
      </c>
      <c r="J279" s="20">
        <v>41137</v>
      </c>
      <c r="K279" s="25">
        <v>85</v>
      </c>
      <c r="L279" s="25">
        <v>0</v>
      </c>
      <c r="M279" s="25">
        <v>0</v>
      </c>
      <c r="N279" s="25">
        <v>0</v>
      </c>
      <c r="O279" s="25">
        <v>0</v>
      </c>
    </row>
    <row r="280" spans="8:15" x14ac:dyDescent="0.25">
      <c r="H280" s="21" t="s">
        <v>38</v>
      </c>
      <c r="I280" s="24">
        <v>610340</v>
      </c>
      <c r="J280" s="20">
        <v>41137</v>
      </c>
      <c r="K280" s="25">
        <v>465</v>
      </c>
      <c r="L280" s="25">
        <v>0</v>
      </c>
      <c r="M280" s="25">
        <v>0</v>
      </c>
      <c r="N280" s="25">
        <v>0</v>
      </c>
      <c r="O280" s="25">
        <v>0</v>
      </c>
    </row>
    <row r="281" spans="8:15" x14ac:dyDescent="0.25">
      <c r="H281" s="21" t="s">
        <v>38</v>
      </c>
      <c r="I281" s="24">
        <v>610340</v>
      </c>
      <c r="J281" s="20">
        <v>41137</v>
      </c>
      <c r="K281" s="25">
        <v>466</v>
      </c>
      <c r="L281" s="25">
        <v>47</v>
      </c>
      <c r="M281" s="25">
        <v>13418</v>
      </c>
      <c r="N281" s="25">
        <v>18</v>
      </c>
      <c r="O281" s="25">
        <v>0</v>
      </c>
    </row>
    <row r="282" spans="8:15" x14ac:dyDescent="0.25">
      <c r="H282" s="21" t="s">
        <v>38</v>
      </c>
      <c r="I282" s="24">
        <v>610340</v>
      </c>
      <c r="J282" s="20">
        <v>41137</v>
      </c>
      <c r="K282" s="25">
        <v>467</v>
      </c>
      <c r="L282" s="25">
        <v>0</v>
      </c>
      <c r="M282" s="25">
        <v>0</v>
      </c>
      <c r="N282" s="25">
        <v>0</v>
      </c>
      <c r="O282" s="25">
        <v>0</v>
      </c>
    </row>
    <row r="283" spans="8:15" x14ac:dyDescent="0.25">
      <c r="H283" s="21" t="s">
        <v>38</v>
      </c>
      <c r="I283" s="24">
        <v>610340</v>
      </c>
      <c r="J283" s="20">
        <v>41137</v>
      </c>
      <c r="K283" s="25">
        <v>477</v>
      </c>
      <c r="L283" s="25">
        <v>17</v>
      </c>
      <c r="M283" s="25">
        <v>4369</v>
      </c>
      <c r="N283" s="25">
        <v>4</v>
      </c>
      <c r="O283" s="25">
        <v>0</v>
      </c>
    </row>
    <row r="284" spans="8:15" x14ac:dyDescent="0.25">
      <c r="H284" s="21" t="s">
        <v>38</v>
      </c>
      <c r="I284" s="24">
        <v>610340</v>
      </c>
      <c r="J284" s="20">
        <v>41137</v>
      </c>
      <c r="K284" s="25">
        <v>478</v>
      </c>
      <c r="L284" s="25">
        <v>2</v>
      </c>
      <c r="M284" s="25">
        <v>412</v>
      </c>
      <c r="N284" s="25">
        <v>3</v>
      </c>
      <c r="O284" s="25">
        <v>0</v>
      </c>
    </row>
    <row r="285" spans="8:15" x14ac:dyDescent="0.25">
      <c r="H285" s="21" t="s">
        <v>38</v>
      </c>
      <c r="I285" s="24">
        <v>610340</v>
      </c>
      <c r="J285" s="20">
        <v>41137</v>
      </c>
      <c r="K285" s="25">
        <v>480</v>
      </c>
      <c r="L285" s="25">
        <v>3</v>
      </c>
      <c r="M285" s="25">
        <v>849</v>
      </c>
      <c r="N285" s="25">
        <v>0</v>
      </c>
      <c r="O285" s="25">
        <v>0</v>
      </c>
    </row>
    <row r="286" spans="8:15" x14ac:dyDescent="0.25">
      <c r="H286" s="21" t="s">
        <v>38</v>
      </c>
      <c r="I286" s="24">
        <v>610340</v>
      </c>
      <c r="J286" s="20">
        <v>41137</v>
      </c>
      <c r="K286" s="25">
        <v>481</v>
      </c>
      <c r="L286" s="25">
        <v>0</v>
      </c>
      <c r="M286" s="25">
        <v>0</v>
      </c>
      <c r="N286" s="25">
        <v>0</v>
      </c>
      <c r="O286" s="25">
        <v>0</v>
      </c>
    </row>
    <row r="287" spans="8:15" x14ac:dyDescent="0.25">
      <c r="H287" s="21" t="s">
        <v>38</v>
      </c>
      <c r="I287" s="24">
        <v>610340</v>
      </c>
      <c r="J287" s="20">
        <v>41137</v>
      </c>
      <c r="K287" s="25">
        <v>482</v>
      </c>
      <c r="L287" s="25">
        <v>4</v>
      </c>
      <c r="M287" s="25">
        <v>618</v>
      </c>
      <c r="N287" s="25">
        <v>0</v>
      </c>
      <c r="O287" s="25">
        <v>0</v>
      </c>
    </row>
    <row r="288" spans="8:15" x14ac:dyDescent="0.25">
      <c r="H288" s="21" t="s">
        <v>38</v>
      </c>
      <c r="I288" s="24">
        <v>610340</v>
      </c>
      <c r="J288" s="20">
        <v>41137</v>
      </c>
      <c r="K288" s="25">
        <v>790</v>
      </c>
      <c r="L288" s="25">
        <v>0</v>
      </c>
      <c r="M288" s="25">
        <v>0</v>
      </c>
      <c r="N288" s="25">
        <v>0</v>
      </c>
      <c r="O288" s="25">
        <v>0</v>
      </c>
    </row>
    <row r="289" spans="8:15" x14ac:dyDescent="0.25">
      <c r="H289" s="21" t="s">
        <v>38</v>
      </c>
      <c r="I289" s="24">
        <v>610340</v>
      </c>
      <c r="J289" s="20">
        <v>41138</v>
      </c>
      <c r="K289" s="25">
        <v>85</v>
      </c>
      <c r="L289" s="25">
        <v>0</v>
      </c>
      <c r="M289" s="25">
        <v>0</v>
      </c>
      <c r="N289" s="25">
        <v>0</v>
      </c>
      <c r="O289" s="25">
        <v>0</v>
      </c>
    </row>
    <row r="290" spans="8:15" x14ac:dyDescent="0.25">
      <c r="H290" s="21" t="s">
        <v>38</v>
      </c>
      <c r="I290" s="24">
        <v>610340</v>
      </c>
      <c r="J290" s="20">
        <v>41138</v>
      </c>
      <c r="K290" s="25">
        <v>465</v>
      </c>
      <c r="L290" s="25">
        <v>0</v>
      </c>
      <c r="M290" s="25">
        <v>0</v>
      </c>
      <c r="N290" s="25">
        <v>0</v>
      </c>
      <c r="O290" s="25">
        <v>0</v>
      </c>
    </row>
    <row r="291" spans="8:15" x14ac:dyDescent="0.25">
      <c r="H291" s="21" t="s">
        <v>38</v>
      </c>
      <c r="I291" s="24">
        <v>610340</v>
      </c>
      <c r="J291" s="20">
        <v>41138</v>
      </c>
      <c r="K291" s="25">
        <v>466</v>
      </c>
      <c r="L291" s="25">
        <v>30</v>
      </c>
      <c r="M291" s="25">
        <v>8022</v>
      </c>
      <c r="N291" s="25">
        <v>16</v>
      </c>
      <c r="O291" s="25">
        <v>0</v>
      </c>
    </row>
    <row r="292" spans="8:15" x14ac:dyDescent="0.25">
      <c r="H292" s="21" t="s">
        <v>38</v>
      </c>
      <c r="I292" s="24">
        <v>610340</v>
      </c>
      <c r="J292" s="20">
        <v>41138</v>
      </c>
      <c r="K292" s="25">
        <v>467</v>
      </c>
      <c r="L292" s="25">
        <v>0</v>
      </c>
      <c r="M292" s="25">
        <v>0</v>
      </c>
      <c r="N292" s="25">
        <v>0</v>
      </c>
      <c r="O292" s="25">
        <v>0</v>
      </c>
    </row>
    <row r="293" spans="8:15" x14ac:dyDescent="0.25">
      <c r="H293" s="21" t="s">
        <v>38</v>
      </c>
      <c r="I293" s="24">
        <v>610340</v>
      </c>
      <c r="J293" s="20">
        <v>41138</v>
      </c>
      <c r="K293" s="25">
        <v>477</v>
      </c>
      <c r="L293" s="25">
        <v>19</v>
      </c>
      <c r="M293" s="25">
        <v>4495</v>
      </c>
      <c r="N293" s="25">
        <v>7</v>
      </c>
      <c r="O293" s="25">
        <v>11</v>
      </c>
    </row>
    <row r="294" spans="8:15" x14ac:dyDescent="0.25">
      <c r="H294" s="21" t="s">
        <v>38</v>
      </c>
      <c r="I294" s="24">
        <v>610340</v>
      </c>
      <c r="J294" s="20">
        <v>41138</v>
      </c>
      <c r="K294" s="25">
        <v>478</v>
      </c>
      <c r="L294" s="25">
        <v>3</v>
      </c>
      <c r="M294" s="25">
        <v>443</v>
      </c>
      <c r="N294" s="25">
        <v>11</v>
      </c>
      <c r="O294" s="25">
        <v>0</v>
      </c>
    </row>
    <row r="295" spans="8:15" x14ac:dyDescent="0.25">
      <c r="H295" s="21" t="s">
        <v>38</v>
      </c>
      <c r="I295" s="24">
        <v>610340</v>
      </c>
      <c r="J295" s="20">
        <v>41138</v>
      </c>
      <c r="K295" s="25">
        <v>480</v>
      </c>
      <c r="L295" s="25">
        <v>8</v>
      </c>
      <c r="M295" s="25">
        <v>1790</v>
      </c>
      <c r="N295" s="25">
        <v>0</v>
      </c>
      <c r="O295" s="25">
        <v>0</v>
      </c>
    </row>
    <row r="296" spans="8:15" x14ac:dyDescent="0.25">
      <c r="H296" s="21" t="s">
        <v>38</v>
      </c>
      <c r="I296" s="24">
        <v>610340</v>
      </c>
      <c r="J296" s="20">
        <v>41138</v>
      </c>
      <c r="K296" s="25">
        <v>481</v>
      </c>
      <c r="L296" s="25">
        <v>0</v>
      </c>
      <c r="M296" s="25">
        <v>0</v>
      </c>
      <c r="N296" s="25">
        <v>0</v>
      </c>
      <c r="O296" s="25">
        <v>0</v>
      </c>
    </row>
    <row r="297" spans="8:15" x14ac:dyDescent="0.25">
      <c r="H297" s="21" t="s">
        <v>38</v>
      </c>
      <c r="I297" s="24">
        <v>610340</v>
      </c>
      <c r="J297" s="20">
        <v>41138</v>
      </c>
      <c r="K297" s="25">
        <v>482</v>
      </c>
      <c r="L297" s="25">
        <v>11</v>
      </c>
      <c r="M297" s="25">
        <v>1918</v>
      </c>
      <c r="N297" s="25">
        <v>1</v>
      </c>
      <c r="O297" s="25">
        <v>0</v>
      </c>
    </row>
    <row r="298" spans="8:15" x14ac:dyDescent="0.25">
      <c r="H298" s="21" t="s">
        <v>38</v>
      </c>
      <c r="I298" s="24">
        <v>610340</v>
      </c>
      <c r="J298" s="20">
        <v>41138</v>
      </c>
      <c r="K298" s="25">
        <v>790</v>
      </c>
      <c r="L298" s="25">
        <v>0</v>
      </c>
      <c r="M298" s="25">
        <v>0</v>
      </c>
      <c r="N298" s="25">
        <v>0</v>
      </c>
      <c r="O298" s="25">
        <v>0</v>
      </c>
    </row>
    <row r="299" spans="8:15" x14ac:dyDescent="0.25">
      <c r="H299" s="21" t="s">
        <v>38</v>
      </c>
      <c r="I299" s="24">
        <v>610340</v>
      </c>
      <c r="J299" s="20">
        <v>41139</v>
      </c>
      <c r="K299" s="25">
        <v>465</v>
      </c>
      <c r="L299" s="25">
        <v>0</v>
      </c>
      <c r="M299" s="25">
        <v>0</v>
      </c>
      <c r="N299" s="25">
        <v>0</v>
      </c>
      <c r="O299" s="25">
        <v>0</v>
      </c>
    </row>
    <row r="300" spans="8:15" x14ac:dyDescent="0.25">
      <c r="H300" s="21" t="s">
        <v>38</v>
      </c>
      <c r="I300" s="24">
        <v>610340</v>
      </c>
      <c r="J300" s="20">
        <v>41139</v>
      </c>
      <c r="K300" s="25">
        <v>467</v>
      </c>
      <c r="L300" s="25">
        <v>0</v>
      </c>
      <c r="M300" s="25">
        <v>0</v>
      </c>
      <c r="N300" s="25">
        <v>0</v>
      </c>
      <c r="O300" s="25">
        <v>0</v>
      </c>
    </row>
    <row r="301" spans="8:15" x14ac:dyDescent="0.25">
      <c r="H301" s="21" t="s">
        <v>38</v>
      </c>
      <c r="I301" s="24">
        <v>610340</v>
      </c>
      <c r="J301" s="20">
        <v>41139</v>
      </c>
      <c r="K301" s="25">
        <v>478</v>
      </c>
      <c r="L301" s="25">
        <v>8</v>
      </c>
      <c r="M301" s="25">
        <v>1907</v>
      </c>
      <c r="N301" s="25">
        <v>2</v>
      </c>
      <c r="O301" s="25">
        <v>0</v>
      </c>
    </row>
    <row r="302" spans="8:15" x14ac:dyDescent="0.25">
      <c r="H302" s="21" t="s">
        <v>38</v>
      </c>
      <c r="I302" s="24">
        <v>610340</v>
      </c>
      <c r="J302" s="20">
        <v>41139</v>
      </c>
      <c r="K302" s="25">
        <v>480</v>
      </c>
      <c r="L302" s="25">
        <v>6</v>
      </c>
      <c r="M302" s="25">
        <v>1379</v>
      </c>
      <c r="N302" s="25">
        <v>0</v>
      </c>
      <c r="O302" s="25">
        <v>5</v>
      </c>
    </row>
    <row r="303" spans="8:15" x14ac:dyDescent="0.25">
      <c r="H303" s="21" t="s">
        <v>38</v>
      </c>
      <c r="I303" s="24">
        <v>610340</v>
      </c>
      <c r="J303" s="20">
        <v>41139</v>
      </c>
      <c r="K303" s="25">
        <v>481</v>
      </c>
      <c r="L303" s="25">
        <v>0</v>
      </c>
      <c r="M303" s="25">
        <v>0</v>
      </c>
      <c r="N303" s="25">
        <v>0</v>
      </c>
      <c r="O303" s="25">
        <v>0</v>
      </c>
    </row>
    <row r="304" spans="8:15" x14ac:dyDescent="0.25">
      <c r="H304" s="21" t="s">
        <v>38</v>
      </c>
      <c r="I304" s="24">
        <v>610340</v>
      </c>
      <c r="J304" s="20">
        <v>41139</v>
      </c>
      <c r="K304" s="25">
        <v>482</v>
      </c>
      <c r="L304" s="25">
        <v>37</v>
      </c>
      <c r="M304" s="25">
        <v>9352</v>
      </c>
      <c r="N304" s="25">
        <v>6</v>
      </c>
      <c r="O304" s="25">
        <v>0</v>
      </c>
    </row>
    <row r="305" spans="8:15" x14ac:dyDescent="0.25">
      <c r="H305" s="21" t="s">
        <v>38</v>
      </c>
      <c r="I305" s="24">
        <v>610340</v>
      </c>
      <c r="J305" s="20">
        <v>41139</v>
      </c>
      <c r="K305" s="25">
        <v>790</v>
      </c>
      <c r="L305" s="25">
        <v>0</v>
      </c>
      <c r="M305" s="25">
        <v>0</v>
      </c>
      <c r="N305" s="25">
        <v>0</v>
      </c>
      <c r="O305" s="25">
        <v>0</v>
      </c>
    </row>
    <row r="306" spans="8:15" x14ac:dyDescent="0.25">
      <c r="H306" s="21" t="s">
        <v>38</v>
      </c>
      <c r="I306" s="24">
        <v>610340</v>
      </c>
      <c r="J306" s="20">
        <v>41141</v>
      </c>
      <c r="K306" s="25">
        <v>85</v>
      </c>
      <c r="L306" s="25">
        <v>0</v>
      </c>
      <c r="M306" s="25">
        <v>0</v>
      </c>
      <c r="N306" s="25">
        <v>0</v>
      </c>
      <c r="O306" s="25">
        <v>0</v>
      </c>
    </row>
    <row r="307" spans="8:15" x14ac:dyDescent="0.25">
      <c r="H307" s="21" t="s">
        <v>38</v>
      </c>
      <c r="I307" s="24">
        <v>610340</v>
      </c>
      <c r="J307" s="20">
        <v>41141</v>
      </c>
      <c r="K307" s="25">
        <v>465</v>
      </c>
      <c r="L307" s="25">
        <v>0</v>
      </c>
      <c r="M307" s="25">
        <v>0</v>
      </c>
      <c r="N307" s="25">
        <v>0</v>
      </c>
      <c r="O307" s="25">
        <v>0</v>
      </c>
    </row>
    <row r="308" spans="8:15" x14ac:dyDescent="0.25">
      <c r="H308" s="21" t="s">
        <v>38</v>
      </c>
      <c r="I308" s="24">
        <v>610340</v>
      </c>
      <c r="J308" s="20">
        <v>41141</v>
      </c>
      <c r="K308" s="25">
        <v>466</v>
      </c>
      <c r="L308" s="25">
        <v>40</v>
      </c>
      <c r="M308" s="25">
        <v>7844</v>
      </c>
      <c r="N308" s="25">
        <v>9</v>
      </c>
      <c r="O308" s="25">
        <v>0</v>
      </c>
    </row>
    <row r="309" spans="8:15" x14ac:dyDescent="0.25">
      <c r="H309" s="21" t="s">
        <v>38</v>
      </c>
      <c r="I309" s="24">
        <v>610340</v>
      </c>
      <c r="J309" s="20">
        <v>41141</v>
      </c>
      <c r="K309" s="25">
        <v>467</v>
      </c>
      <c r="L309" s="25">
        <v>0</v>
      </c>
      <c r="M309" s="25">
        <v>0</v>
      </c>
      <c r="N309" s="25">
        <v>0</v>
      </c>
      <c r="O309" s="25">
        <v>0</v>
      </c>
    </row>
    <row r="310" spans="8:15" x14ac:dyDescent="0.25">
      <c r="H310" s="21" t="s">
        <v>38</v>
      </c>
      <c r="I310" s="24">
        <v>610340</v>
      </c>
      <c r="J310" s="20">
        <v>41141</v>
      </c>
      <c r="K310" s="25">
        <v>477</v>
      </c>
      <c r="L310" s="25">
        <v>26</v>
      </c>
      <c r="M310" s="25">
        <v>5618</v>
      </c>
      <c r="N310" s="25">
        <v>12</v>
      </c>
      <c r="O310" s="25">
        <v>0</v>
      </c>
    </row>
    <row r="311" spans="8:15" x14ac:dyDescent="0.25">
      <c r="H311" s="21" t="s">
        <v>38</v>
      </c>
      <c r="I311" s="24">
        <v>610340</v>
      </c>
      <c r="J311" s="20">
        <v>41141</v>
      </c>
      <c r="K311" s="25">
        <v>478</v>
      </c>
      <c r="L311" s="25">
        <v>2</v>
      </c>
      <c r="M311" s="25">
        <v>348</v>
      </c>
      <c r="N311" s="25">
        <v>5</v>
      </c>
      <c r="O311" s="25">
        <v>0</v>
      </c>
    </row>
    <row r="312" spans="8:15" x14ac:dyDescent="0.25">
      <c r="H312" s="21" t="s">
        <v>38</v>
      </c>
      <c r="I312" s="24">
        <v>610340</v>
      </c>
      <c r="J312" s="20">
        <v>41141</v>
      </c>
      <c r="K312" s="25">
        <v>480</v>
      </c>
      <c r="L312" s="25">
        <v>7</v>
      </c>
      <c r="M312" s="25">
        <v>1529</v>
      </c>
      <c r="N312" s="25">
        <v>0</v>
      </c>
      <c r="O312" s="25">
        <v>0</v>
      </c>
    </row>
    <row r="313" spans="8:15" x14ac:dyDescent="0.25">
      <c r="H313" s="21" t="s">
        <v>38</v>
      </c>
      <c r="I313" s="24">
        <v>610340</v>
      </c>
      <c r="J313" s="20">
        <v>41141</v>
      </c>
      <c r="K313" s="25">
        <v>481</v>
      </c>
      <c r="L313" s="25">
        <v>0</v>
      </c>
      <c r="M313" s="25">
        <v>0</v>
      </c>
      <c r="N313" s="25">
        <v>0</v>
      </c>
      <c r="O313" s="25">
        <v>0</v>
      </c>
    </row>
    <row r="314" spans="8:15" x14ac:dyDescent="0.25">
      <c r="H314" s="21" t="s">
        <v>38</v>
      </c>
      <c r="I314" s="24">
        <v>610340</v>
      </c>
      <c r="J314" s="20">
        <v>41141</v>
      </c>
      <c r="K314" s="25">
        <v>482</v>
      </c>
      <c r="L314" s="25">
        <v>12</v>
      </c>
      <c r="M314" s="25">
        <v>3139</v>
      </c>
      <c r="N314" s="25">
        <v>2</v>
      </c>
      <c r="O314" s="25">
        <v>0</v>
      </c>
    </row>
    <row r="315" spans="8:15" x14ac:dyDescent="0.25">
      <c r="H315" s="21" t="s">
        <v>38</v>
      </c>
      <c r="I315" s="24">
        <v>610340</v>
      </c>
      <c r="J315" s="20">
        <v>41141</v>
      </c>
      <c r="K315" s="25">
        <v>790</v>
      </c>
      <c r="L315" s="25">
        <v>0</v>
      </c>
      <c r="M315" s="25">
        <v>0</v>
      </c>
      <c r="N315" s="25">
        <v>0</v>
      </c>
      <c r="O315" s="25">
        <v>0</v>
      </c>
    </row>
    <row r="316" spans="8:15" x14ac:dyDescent="0.25">
      <c r="H316" s="21" t="s">
        <v>38</v>
      </c>
      <c r="I316" s="24">
        <v>610340</v>
      </c>
      <c r="J316" s="20">
        <v>41142</v>
      </c>
      <c r="K316" s="25">
        <v>85</v>
      </c>
      <c r="L316" s="25">
        <v>0</v>
      </c>
      <c r="M316" s="25">
        <v>0</v>
      </c>
      <c r="N316" s="25">
        <v>0</v>
      </c>
      <c r="O316" s="25">
        <v>0</v>
      </c>
    </row>
    <row r="317" spans="8:15" x14ac:dyDescent="0.25">
      <c r="H317" s="21" t="s">
        <v>38</v>
      </c>
      <c r="I317" s="24">
        <v>610340</v>
      </c>
      <c r="J317" s="20">
        <v>41142</v>
      </c>
      <c r="K317" s="25">
        <v>465</v>
      </c>
      <c r="L317" s="25">
        <v>0</v>
      </c>
      <c r="M317" s="25">
        <v>0</v>
      </c>
      <c r="N317" s="25">
        <v>0</v>
      </c>
      <c r="O317" s="25">
        <v>0</v>
      </c>
    </row>
    <row r="318" spans="8:15" x14ac:dyDescent="0.25">
      <c r="H318" s="21" t="s">
        <v>38</v>
      </c>
      <c r="I318" s="24">
        <v>610340</v>
      </c>
      <c r="J318" s="20">
        <v>41142</v>
      </c>
      <c r="K318" s="25">
        <v>466</v>
      </c>
      <c r="L318" s="25">
        <v>47</v>
      </c>
      <c r="M318" s="25">
        <v>8879</v>
      </c>
      <c r="N318" s="25">
        <v>7</v>
      </c>
      <c r="O318" s="25">
        <v>11</v>
      </c>
    </row>
    <row r="319" spans="8:15" x14ac:dyDescent="0.25">
      <c r="H319" s="21" t="s">
        <v>38</v>
      </c>
      <c r="I319" s="24">
        <v>610340</v>
      </c>
      <c r="J319" s="20">
        <v>41142</v>
      </c>
      <c r="K319" s="25">
        <v>467</v>
      </c>
      <c r="L319" s="25">
        <v>0</v>
      </c>
      <c r="M319" s="25">
        <v>0</v>
      </c>
      <c r="N319" s="25">
        <v>0</v>
      </c>
      <c r="O319" s="25">
        <v>0</v>
      </c>
    </row>
    <row r="320" spans="8:15" x14ac:dyDescent="0.25">
      <c r="H320" s="21" t="s">
        <v>38</v>
      </c>
      <c r="I320" s="24">
        <v>610340</v>
      </c>
      <c r="J320" s="20">
        <v>41142</v>
      </c>
      <c r="K320" s="25">
        <v>477</v>
      </c>
      <c r="L320" s="25">
        <v>23</v>
      </c>
      <c r="M320" s="25">
        <v>4632</v>
      </c>
      <c r="N320" s="25">
        <v>6</v>
      </c>
      <c r="O320" s="25">
        <v>5</v>
      </c>
    </row>
    <row r="321" spans="8:15" x14ac:dyDescent="0.25">
      <c r="H321" s="21" t="s">
        <v>38</v>
      </c>
      <c r="I321" s="24">
        <v>610340</v>
      </c>
      <c r="J321" s="20">
        <v>41142</v>
      </c>
      <c r="K321" s="25">
        <v>478</v>
      </c>
      <c r="L321" s="25">
        <v>1</v>
      </c>
      <c r="M321" s="25">
        <v>276</v>
      </c>
      <c r="N321" s="25">
        <v>0</v>
      </c>
      <c r="O321" s="25">
        <v>0</v>
      </c>
    </row>
    <row r="322" spans="8:15" x14ac:dyDescent="0.25">
      <c r="H322" s="21" t="s">
        <v>38</v>
      </c>
      <c r="I322" s="24">
        <v>610340</v>
      </c>
      <c r="J322" s="20">
        <v>41142</v>
      </c>
      <c r="K322" s="25">
        <v>480</v>
      </c>
      <c r="L322" s="25">
        <v>2</v>
      </c>
      <c r="M322" s="25">
        <v>378</v>
      </c>
      <c r="N322" s="25">
        <v>0</v>
      </c>
      <c r="O322" s="25">
        <v>0</v>
      </c>
    </row>
    <row r="323" spans="8:15" x14ac:dyDescent="0.25">
      <c r="H323" s="21" t="s">
        <v>38</v>
      </c>
      <c r="I323" s="24">
        <v>610340</v>
      </c>
      <c r="J323" s="20">
        <v>41142</v>
      </c>
      <c r="K323" s="25">
        <v>481</v>
      </c>
      <c r="L323" s="25">
        <v>0</v>
      </c>
      <c r="M323" s="25">
        <v>0</v>
      </c>
      <c r="N323" s="25">
        <v>0</v>
      </c>
      <c r="O323" s="25">
        <v>0</v>
      </c>
    </row>
    <row r="324" spans="8:15" x14ac:dyDescent="0.25">
      <c r="H324" s="21" t="s">
        <v>38</v>
      </c>
      <c r="I324" s="24">
        <v>610340</v>
      </c>
      <c r="J324" s="20">
        <v>41142</v>
      </c>
      <c r="K324" s="25">
        <v>482</v>
      </c>
      <c r="L324" s="25">
        <v>12</v>
      </c>
      <c r="M324" s="25">
        <v>2530</v>
      </c>
      <c r="N324" s="25">
        <v>0</v>
      </c>
      <c r="O324" s="25">
        <v>4</v>
      </c>
    </row>
    <row r="325" spans="8:15" x14ac:dyDescent="0.25">
      <c r="H325" s="21" t="s">
        <v>38</v>
      </c>
      <c r="I325" s="24">
        <v>610340</v>
      </c>
      <c r="J325" s="20">
        <v>41142</v>
      </c>
      <c r="K325" s="25">
        <v>790</v>
      </c>
      <c r="L325" s="25">
        <v>0</v>
      </c>
      <c r="M325" s="25">
        <v>0</v>
      </c>
      <c r="N325" s="25">
        <v>0</v>
      </c>
      <c r="O325" s="25">
        <v>0</v>
      </c>
    </row>
    <row r="326" spans="8:15" x14ac:dyDescent="0.25">
      <c r="H326" s="21" t="s">
        <v>38</v>
      </c>
      <c r="I326" s="24">
        <v>610340</v>
      </c>
      <c r="J326" s="20">
        <v>41143</v>
      </c>
      <c r="K326" s="25">
        <v>85</v>
      </c>
      <c r="L326" s="25">
        <v>0</v>
      </c>
      <c r="M326" s="25">
        <v>0</v>
      </c>
      <c r="N326" s="25">
        <v>0</v>
      </c>
      <c r="O326" s="25">
        <v>0</v>
      </c>
    </row>
    <row r="327" spans="8:15" x14ac:dyDescent="0.25">
      <c r="H327" s="21" t="s">
        <v>38</v>
      </c>
      <c r="I327" s="24">
        <v>610340</v>
      </c>
      <c r="J327" s="20">
        <v>41143</v>
      </c>
      <c r="K327" s="25">
        <v>465</v>
      </c>
      <c r="L327" s="25">
        <v>1</v>
      </c>
      <c r="M327" s="25">
        <v>718</v>
      </c>
      <c r="N327" s="25">
        <v>0</v>
      </c>
      <c r="O327" s="25">
        <v>0</v>
      </c>
    </row>
    <row r="328" spans="8:15" x14ac:dyDescent="0.25">
      <c r="H328" s="21" t="s">
        <v>38</v>
      </c>
      <c r="I328" s="24">
        <v>610340</v>
      </c>
      <c r="J328" s="20">
        <v>41143</v>
      </c>
      <c r="K328" s="25">
        <v>466</v>
      </c>
      <c r="L328" s="25">
        <v>31</v>
      </c>
      <c r="M328" s="25">
        <v>6101</v>
      </c>
      <c r="N328" s="25">
        <v>6</v>
      </c>
      <c r="O328" s="25">
        <v>0</v>
      </c>
    </row>
    <row r="329" spans="8:15" x14ac:dyDescent="0.25">
      <c r="H329" s="21" t="s">
        <v>38</v>
      </c>
      <c r="I329" s="24">
        <v>610340</v>
      </c>
      <c r="J329" s="20">
        <v>41143</v>
      </c>
      <c r="K329" s="25">
        <v>477</v>
      </c>
      <c r="L329" s="25">
        <v>25</v>
      </c>
      <c r="M329" s="25">
        <v>4783</v>
      </c>
      <c r="N329" s="25">
        <v>11</v>
      </c>
      <c r="O329" s="25">
        <v>0</v>
      </c>
    </row>
    <row r="330" spans="8:15" x14ac:dyDescent="0.25">
      <c r="H330" s="21" t="s">
        <v>38</v>
      </c>
      <c r="I330" s="24">
        <v>610340</v>
      </c>
      <c r="J330" s="20">
        <v>41143</v>
      </c>
      <c r="K330" s="25">
        <v>478</v>
      </c>
      <c r="L330" s="25">
        <v>2</v>
      </c>
      <c r="M330" s="25">
        <v>472</v>
      </c>
      <c r="N330" s="25">
        <v>0</v>
      </c>
      <c r="O330" s="25">
        <v>0</v>
      </c>
    </row>
    <row r="331" spans="8:15" x14ac:dyDescent="0.25">
      <c r="H331" s="21" t="s">
        <v>38</v>
      </c>
      <c r="I331" s="24">
        <v>610340</v>
      </c>
      <c r="J331" s="20">
        <v>41143</v>
      </c>
      <c r="K331" s="25">
        <v>480</v>
      </c>
      <c r="L331" s="25">
        <v>8</v>
      </c>
      <c r="M331" s="25">
        <v>1696</v>
      </c>
      <c r="N331" s="25">
        <v>0</v>
      </c>
      <c r="O331" s="25">
        <v>0</v>
      </c>
    </row>
    <row r="332" spans="8:15" x14ac:dyDescent="0.25">
      <c r="H332" s="21" t="s">
        <v>38</v>
      </c>
      <c r="I332" s="24">
        <v>610340</v>
      </c>
      <c r="J332" s="20">
        <v>41143</v>
      </c>
      <c r="K332" s="25">
        <v>481</v>
      </c>
      <c r="L332" s="25">
        <v>2</v>
      </c>
      <c r="M332" s="25">
        <v>423</v>
      </c>
      <c r="N332" s="25">
        <v>2</v>
      </c>
      <c r="O332" s="25">
        <v>0</v>
      </c>
    </row>
    <row r="333" spans="8:15" x14ac:dyDescent="0.25">
      <c r="H333" s="21" t="s">
        <v>38</v>
      </c>
      <c r="I333" s="24">
        <v>610340</v>
      </c>
      <c r="J333" s="20">
        <v>41143</v>
      </c>
      <c r="K333" s="25">
        <v>482</v>
      </c>
      <c r="L333" s="25">
        <v>12</v>
      </c>
      <c r="M333" s="25">
        <v>4333</v>
      </c>
      <c r="N333" s="25">
        <v>5</v>
      </c>
      <c r="O333" s="25">
        <v>0</v>
      </c>
    </row>
    <row r="334" spans="8:15" x14ac:dyDescent="0.25">
      <c r="H334" s="21" t="s">
        <v>38</v>
      </c>
      <c r="I334" s="24">
        <v>610340</v>
      </c>
      <c r="J334" s="20">
        <v>41143</v>
      </c>
      <c r="K334" s="25">
        <v>790</v>
      </c>
      <c r="L334" s="25">
        <v>0</v>
      </c>
      <c r="M334" s="25">
        <v>0</v>
      </c>
      <c r="N334" s="25">
        <v>0</v>
      </c>
      <c r="O334" s="25">
        <v>0</v>
      </c>
    </row>
    <row r="335" spans="8:15" x14ac:dyDescent="0.25">
      <c r="H335" s="21" t="s">
        <v>38</v>
      </c>
      <c r="I335" s="24">
        <v>610340</v>
      </c>
      <c r="J335" s="20">
        <v>41144</v>
      </c>
      <c r="K335" s="25">
        <v>85</v>
      </c>
      <c r="L335" s="25">
        <v>0</v>
      </c>
      <c r="M335" s="25">
        <v>0</v>
      </c>
      <c r="N335" s="25">
        <v>0</v>
      </c>
      <c r="O335" s="25">
        <v>0</v>
      </c>
    </row>
    <row r="336" spans="8:15" x14ac:dyDescent="0.25">
      <c r="H336" s="21" t="s">
        <v>38</v>
      </c>
      <c r="I336" s="24">
        <v>610340</v>
      </c>
      <c r="J336" s="20">
        <v>41144</v>
      </c>
      <c r="K336" s="25">
        <v>465</v>
      </c>
      <c r="L336" s="25">
        <v>0</v>
      </c>
      <c r="M336" s="25">
        <v>0</v>
      </c>
      <c r="N336" s="25">
        <v>0</v>
      </c>
      <c r="O336" s="25">
        <v>0</v>
      </c>
    </row>
    <row r="337" spans="8:15" x14ac:dyDescent="0.25">
      <c r="H337" s="21" t="s">
        <v>38</v>
      </c>
      <c r="I337" s="24">
        <v>610340</v>
      </c>
      <c r="J337" s="20">
        <v>41144</v>
      </c>
      <c r="K337" s="25">
        <v>466</v>
      </c>
      <c r="L337" s="25">
        <v>33</v>
      </c>
      <c r="M337" s="25">
        <v>8762</v>
      </c>
      <c r="N337" s="25">
        <v>0</v>
      </c>
      <c r="O337" s="25">
        <v>0</v>
      </c>
    </row>
    <row r="338" spans="8:15" x14ac:dyDescent="0.25">
      <c r="H338" s="21" t="s">
        <v>38</v>
      </c>
      <c r="I338" s="24">
        <v>610340</v>
      </c>
      <c r="J338" s="20">
        <v>41144</v>
      </c>
      <c r="K338" s="25">
        <v>467</v>
      </c>
      <c r="L338" s="25">
        <v>0</v>
      </c>
      <c r="M338" s="25">
        <v>0</v>
      </c>
      <c r="N338" s="25">
        <v>0</v>
      </c>
      <c r="O338" s="25">
        <v>0</v>
      </c>
    </row>
    <row r="339" spans="8:15" x14ac:dyDescent="0.25">
      <c r="H339" s="21" t="s">
        <v>38</v>
      </c>
      <c r="I339" s="24">
        <v>610340</v>
      </c>
      <c r="J339" s="20">
        <v>41144</v>
      </c>
      <c r="K339" s="25">
        <v>477</v>
      </c>
      <c r="L339" s="25">
        <v>29</v>
      </c>
      <c r="M339" s="25">
        <v>7731</v>
      </c>
      <c r="N339" s="25">
        <v>5</v>
      </c>
      <c r="O339" s="25">
        <v>27</v>
      </c>
    </row>
    <row r="340" spans="8:15" x14ac:dyDescent="0.25">
      <c r="H340" s="21" t="s">
        <v>38</v>
      </c>
      <c r="I340" s="24">
        <v>610340</v>
      </c>
      <c r="J340" s="20">
        <v>41144</v>
      </c>
      <c r="K340" s="25">
        <v>478</v>
      </c>
      <c r="L340" s="25">
        <v>5</v>
      </c>
      <c r="M340" s="25">
        <v>1142</v>
      </c>
      <c r="N340" s="25">
        <v>0</v>
      </c>
      <c r="O340" s="25">
        <v>0</v>
      </c>
    </row>
    <row r="341" spans="8:15" x14ac:dyDescent="0.25">
      <c r="H341" s="21" t="s">
        <v>38</v>
      </c>
      <c r="I341" s="24">
        <v>610340</v>
      </c>
      <c r="J341" s="20">
        <v>41144</v>
      </c>
      <c r="K341" s="25">
        <v>480</v>
      </c>
      <c r="L341" s="25">
        <v>2</v>
      </c>
      <c r="M341" s="25">
        <v>183</v>
      </c>
      <c r="N341" s="25">
        <v>0</v>
      </c>
      <c r="O341" s="25">
        <v>0</v>
      </c>
    </row>
    <row r="342" spans="8:15" x14ac:dyDescent="0.25">
      <c r="H342" s="21" t="s">
        <v>38</v>
      </c>
      <c r="I342" s="24">
        <v>610340</v>
      </c>
      <c r="J342" s="20">
        <v>41144</v>
      </c>
      <c r="K342" s="25">
        <v>481</v>
      </c>
      <c r="L342" s="25">
        <v>0</v>
      </c>
      <c r="M342" s="25">
        <v>0</v>
      </c>
      <c r="N342" s="25">
        <v>0</v>
      </c>
      <c r="O342" s="25">
        <v>0</v>
      </c>
    </row>
    <row r="343" spans="8:15" x14ac:dyDescent="0.25">
      <c r="H343" s="21" t="s">
        <v>38</v>
      </c>
      <c r="I343" s="24">
        <v>610340</v>
      </c>
      <c r="J343" s="20">
        <v>41144</v>
      </c>
      <c r="K343" s="25">
        <v>482</v>
      </c>
      <c r="L343" s="25">
        <v>7</v>
      </c>
      <c r="M343" s="25">
        <v>1538</v>
      </c>
      <c r="N343" s="25">
        <v>0</v>
      </c>
      <c r="O343" s="25">
        <v>0</v>
      </c>
    </row>
    <row r="344" spans="8:15" x14ac:dyDescent="0.25">
      <c r="H344" s="21" t="s">
        <v>38</v>
      </c>
      <c r="I344" s="24">
        <v>610340</v>
      </c>
      <c r="J344" s="20">
        <v>41144</v>
      </c>
      <c r="K344" s="25">
        <v>790</v>
      </c>
      <c r="L344" s="25">
        <v>0</v>
      </c>
      <c r="M344" s="25">
        <v>0</v>
      </c>
      <c r="N344" s="25">
        <v>0</v>
      </c>
      <c r="O344" s="25">
        <v>0</v>
      </c>
    </row>
    <row r="345" spans="8:15" x14ac:dyDescent="0.25">
      <c r="H345" s="21" t="s">
        <v>38</v>
      </c>
      <c r="I345" s="24">
        <v>610340</v>
      </c>
      <c r="J345" s="20">
        <v>41145</v>
      </c>
      <c r="K345" s="25">
        <v>85</v>
      </c>
      <c r="L345" s="25">
        <v>0</v>
      </c>
      <c r="M345" s="25">
        <v>0</v>
      </c>
      <c r="N345" s="25">
        <v>0</v>
      </c>
      <c r="O345" s="25">
        <v>0</v>
      </c>
    </row>
    <row r="346" spans="8:15" x14ac:dyDescent="0.25">
      <c r="H346" s="21" t="s">
        <v>38</v>
      </c>
      <c r="I346" s="24">
        <v>610340</v>
      </c>
      <c r="J346" s="20">
        <v>41145</v>
      </c>
      <c r="K346" s="25">
        <v>465</v>
      </c>
      <c r="L346" s="25">
        <v>0</v>
      </c>
      <c r="M346" s="25">
        <v>0</v>
      </c>
      <c r="N346" s="25">
        <v>0</v>
      </c>
      <c r="O346" s="25">
        <v>0</v>
      </c>
    </row>
    <row r="347" spans="8:15" x14ac:dyDescent="0.25">
      <c r="H347" s="21" t="s">
        <v>38</v>
      </c>
      <c r="I347" s="24">
        <v>610340</v>
      </c>
      <c r="J347" s="20">
        <v>41145</v>
      </c>
      <c r="K347" s="25">
        <v>466</v>
      </c>
      <c r="L347" s="25">
        <v>22</v>
      </c>
      <c r="M347" s="25">
        <v>6355</v>
      </c>
      <c r="N347" s="25">
        <v>2</v>
      </c>
      <c r="O347" s="25">
        <v>0</v>
      </c>
    </row>
    <row r="348" spans="8:15" x14ac:dyDescent="0.25">
      <c r="H348" s="21" t="s">
        <v>38</v>
      </c>
      <c r="I348" s="24">
        <v>610340</v>
      </c>
      <c r="J348" s="20">
        <v>41145</v>
      </c>
      <c r="K348" s="25">
        <v>467</v>
      </c>
      <c r="L348" s="25">
        <v>0</v>
      </c>
      <c r="M348" s="25">
        <v>0</v>
      </c>
      <c r="N348" s="25">
        <v>0</v>
      </c>
      <c r="O348" s="25">
        <v>0</v>
      </c>
    </row>
    <row r="349" spans="8:15" x14ac:dyDescent="0.25">
      <c r="H349" s="21" t="s">
        <v>38</v>
      </c>
      <c r="I349" s="24">
        <v>610340</v>
      </c>
      <c r="J349" s="20">
        <v>41145</v>
      </c>
      <c r="K349" s="25">
        <v>477</v>
      </c>
      <c r="L349" s="25">
        <v>9</v>
      </c>
      <c r="M349" s="25">
        <v>1861</v>
      </c>
      <c r="N349" s="25">
        <v>0</v>
      </c>
      <c r="O349" s="25">
        <v>0</v>
      </c>
    </row>
    <row r="350" spans="8:15" x14ac:dyDescent="0.25">
      <c r="H350" s="21" t="s">
        <v>38</v>
      </c>
      <c r="I350" s="24">
        <v>610340</v>
      </c>
      <c r="J350" s="20">
        <v>41145</v>
      </c>
      <c r="K350" s="25">
        <v>478</v>
      </c>
      <c r="L350" s="25">
        <v>2</v>
      </c>
      <c r="M350" s="25">
        <v>433</v>
      </c>
      <c r="N350" s="25">
        <v>0</v>
      </c>
      <c r="O350" s="25">
        <v>0</v>
      </c>
    </row>
    <row r="351" spans="8:15" x14ac:dyDescent="0.25">
      <c r="H351" s="21" t="s">
        <v>38</v>
      </c>
      <c r="I351" s="24">
        <v>610340</v>
      </c>
      <c r="J351" s="20">
        <v>41145</v>
      </c>
      <c r="K351" s="25">
        <v>480</v>
      </c>
      <c r="L351" s="25">
        <v>6</v>
      </c>
      <c r="M351" s="25">
        <v>2078</v>
      </c>
      <c r="N351" s="25">
        <v>0</v>
      </c>
      <c r="O351" s="25">
        <v>0</v>
      </c>
    </row>
    <row r="352" spans="8:15" x14ac:dyDescent="0.25">
      <c r="H352" s="21" t="s">
        <v>38</v>
      </c>
      <c r="I352" s="24">
        <v>610340</v>
      </c>
      <c r="J352" s="20">
        <v>41145</v>
      </c>
      <c r="K352" s="25">
        <v>481</v>
      </c>
      <c r="L352" s="25">
        <v>0</v>
      </c>
      <c r="M352" s="25">
        <v>0</v>
      </c>
      <c r="N352" s="25">
        <v>0</v>
      </c>
      <c r="O352" s="25">
        <v>0</v>
      </c>
    </row>
    <row r="353" spans="8:15" x14ac:dyDescent="0.25">
      <c r="H353" s="21" t="s">
        <v>38</v>
      </c>
      <c r="I353" s="24">
        <v>610340</v>
      </c>
      <c r="J353" s="20">
        <v>41145</v>
      </c>
      <c r="K353" s="25">
        <v>482</v>
      </c>
      <c r="L353" s="25">
        <v>13</v>
      </c>
      <c r="M353" s="25">
        <v>4927</v>
      </c>
      <c r="N353" s="25">
        <v>0</v>
      </c>
      <c r="O353" s="25">
        <v>11</v>
      </c>
    </row>
    <row r="354" spans="8:15" x14ac:dyDescent="0.25">
      <c r="H354" s="21" t="s">
        <v>38</v>
      </c>
      <c r="I354" s="24">
        <v>610340</v>
      </c>
      <c r="J354" s="20">
        <v>41145</v>
      </c>
      <c r="K354" s="25">
        <v>790</v>
      </c>
      <c r="L354" s="25">
        <v>0</v>
      </c>
      <c r="M354" s="25">
        <v>0</v>
      </c>
      <c r="N354" s="25">
        <v>0</v>
      </c>
      <c r="O354" s="25">
        <v>0</v>
      </c>
    </row>
    <row r="355" spans="8:15" x14ac:dyDescent="0.25">
      <c r="H355" s="21" t="s">
        <v>38</v>
      </c>
      <c r="I355" s="24">
        <v>610340</v>
      </c>
      <c r="J355" s="20">
        <v>41147</v>
      </c>
      <c r="K355" s="25">
        <v>85</v>
      </c>
      <c r="L355" s="25">
        <v>0</v>
      </c>
      <c r="M355" s="25">
        <v>0</v>
      </c>
      <c r="N355" s="25">
        <v>0</v>
      </c>
      <c r="O355" s="25">
        <v>0</v>
      </c>
    </row>
    <row r="356" spans="8:15" x14ac:dyDescent="0.25">
      <c r="H356" s="21" t="s">
        <v>38</v>
      </c>
      <c r="I356" s="24">
        <v>610340</v>
      </c>
      <c r="J356" s="20">
        <v>41147</v>
      </c>
      <c r="K356" s="25">
        <v>465</v>
      </c>
      <c r="L356" s="25">
        <v>0</v>
      </c>
      <c r="M356" s="25">
        <v>0</v>
      </c>
      <c r="N356" s="25">
        <v>0</v>
      </c>
      <c r="O356" s="25">
        <v>0</v>
      </c>
    </row>
    <row r="357" spans="8:15" x14ac:dyDescent="0.25">
      <c r="H357" s="21" t="s">
        <v>38</v>
      </c>
      <c r="I357" s="24">
        <v>610340</v>
      </c>
      <c r="J357" s="20">
        <v>41147</v>
      </c>
      <c r="K357" s="25">
        <v>466</v>
      </c>
      <c r="L357" s="25">
        <v>24</v>
      </c>
      <c r="M357" s="25">
        <v>4060</v>
      </c>
      <c r="N357" s="25">
        <v>5</v>
      </c>
      <c r="O357" s="25">
        <v>0</v>
      </c>
    </row>
    <row r="358" spans="8:15" x14ac:dyDescent="0.25">
      <c r="H358" s="21" t="s">
        <v>38</v>
      </c>
      <c r="I358" s="24">
        <v>610340</v>
      </c>
      <c r="J358" s="20">
        <v>41147</v>
      </c>
      <c r="K358" s="25">
        <v>467</v>
      </c>
      <c r="L358" s="25">
        <v>0</v>
      </c>
      <c r="M358" s="25">
        <v>0</v>
      </c>
      <c r="N358" s="25">
        <v>0</v>
      </c>
      <c r="O358" s="25">
        <v>0</v>
      </c>
    </row>
    <row r="359" spans="8:15" x14ac:dyDescent="0.25">
      <c r="H359" s="21" t="s">
        <v>38</v>
      </c>
      <c r="I359" s="24">
        <v>610340</v>
      </c>
      <c r="J359" s="20">
        <v>41147</v>
      </c>
      <c r="K359" s="25">
        <v>477</v>
      </c>
      <c r="L359" s="25">
        <v>15</v>
      </c>
      <c r="M359" s="25">
        <v>3019</v>
      </c>
      <c r="N359" s="25">
        <v>4</v>
      </c>
      <c r="O359" s="25">
        <v>0</v>
      </c>
    </row>
    <row r="360" spans="8:15" x14ac:dyDescent="0.25">
      <c r="H360" s="21" t="s">
        <v>38</v>
      </c>
      <c r="I360" s="24">
        <v>610340</v>
      </c>
      <c r="J360" s="20">
        <v>41147</v>
      </c>
      <c r="K360" s="25">
        <v>478</v>
      </c>
      <c r="L360" s="25">
        <v>8</v>
      </c>
      <c r="M360" s="25">
        <v>2509</v>
      </c>
      <c r="N360" s="25">
        <v>0</v>
      </c>
      <c r="O360" s="25">
        <v>4</v>
      </c>
    </row>
    <row r="361" spans="8:15" x14ac:dyDescent="0.25">
      <c r="H361" s="21" t="s">
        <v>38</v>
      </c>
      <c r="I361" s="24">
        <v>610340</v>
      </c>
      <c r="J361" s="20">
        <v>41147</v>
      </c>
      <c r="K361" s="25">
        <v>480</v>
      </c>
      <c r="L361" s="25">
        <v>5</v>
      </c>
      <c r="M361" s="25">
        <v>643</v>
      </c>
      <c r="N361" s="25">
        <v>2</v>
      </c>
      <c r="O361" s="25">
        <v>0</v>
      </c>
    </row>
    <row r="362" spans="8:15" x14ac:dyDescent="0.25">
      <c r="H362" s="21" t="s">
        <v>38</v>
      </c>
      <c r="I362" s="24">
        <v>610340</v>
      </c>
      <c r="J362" s="20">
        <v>41147</v>
      </c>
      <c r="K362" s="25">
        <v>481</v>
      </c>
      <c r="L362" s="25">
        <v>0</v>
      </c>
      <c r="M362" s="25">
        <v>0</v>
      </c>
      <c r="N362" s="25">
        <v>0</v>
      </c>
      <c r="O362" s="25">
        <v>0</v>
      </c>
    </row>
    <row r="363" spans="8:15" x14ac:dyDescent="0.25">
      <c r="H363" s="21" t="s">
        <v>38</v>
      </c>
      <c r="I363" s="24">
        <v>610340</v>
      </c>
      <c r="J363" s="20">
        <v>41147</v>
      </c>
      <c r="K363" s="25">
        <v>482</v>
      </c>
      <c r="L363" s="25">
        <v>12</v>
      </c>
      <c r="M363" s="25">
        <v>1476</v>
      </c>
      <c r="N363" s="25">
        <v>0</v>
      </c>
      <c r="O363" s="25">
        <v>0</v>
      </c>
    </row>
    <row r="364" spans="8:15" x14ac:dyDescent="0.25">
      <c r="H364" s="21" t="s">
        <v>38</v>
      </c>
      <c r="I364" s="24">
        <v>610340</v>
      </c>
      <c r="J364" s="20">
        <v>41147</v>
      </c>
      <c r="K364" s="25">
        <v>790</v>
      </c>
      <c r="L364" s="25">
        <v>0</v>
      </c>
      <c r="M364" s="25">
        <v>0</v>
      </c>
      <c r="N364" s="25">
        <v>0</v>
      </c>
      <c r="O364" s="25">
        <v>0</v>
      </c>
    </row>
    <row r="365" spans="8:15" x14ac:dyDescent="0.25">
      <c r="H365" s="21" t="s">
        <v>38</v>
      </c>
      <c r="I365" s="24">
        <v>610340</v>
      </c>
      <c r="J365" s="20">
        <v>41148</v>
      </c>
      <c r="K365" s="25">
        <v>85</v>
      </c>
      <c r="L365" s="25">
        <v>0</v>
      </c>
      <c r="M365" s="25">
        <v>0</v>
      </c>
      <c r="N365" s="25">
        <v>0</v>
      </c>
      <c r="O365" s="25">
        <v>0</v>
      </c>
    </row>
    <row r="366" spans="8:15" x14ac:dyDescent="0.25">
      <c r="H366" s="21" t="s">
        <v>38</v>
      </c>
      <c r="I366" s="24">
        <v>610340</v>
      </c>
      <c r="J366" s="20">
        <v>41148</v>
      </c>
      <c r="K366" s="25">
        <v>465</v>
      </c>
      <c r="L366" s="25">
        <v>0</v>
      </c>
      <c r="M366" s="25">
        <v>0</v>
      </c>
      <c r="N366" s="25">
        <v>0</v>
      </c>
      <c r="O366" s="25">
        <v>0</v>
      </c>
    </row>
    <row r="367" spans="8:15" x14ac:dyDescent="0.25">
      <c r="H367" s="21" t="s">
        <v>38</v>
      </c>
      <c r="I367" s="24">
        <v>610340</v>
      </c>
      <c r="J367" s="20">
        <v>41148</v>
      </c>
      <c r="K367" s="25">
        <v>466</v>
      </c>
      <c r="L367" s="25">
        <v>0</v>
      </c>
      <c r="M367" s="25">
        <v>0</v>
      </c>
      <c r="N367" s="25">
        <v>0</v>
      </c>
      <c r="O367" s="25">
        <v>0</v>
      </c>
    </row>
    <row r="368" spans="8:15" x14ac:dyDescent="0.25">
      <c r="H368" s="21" t="s">
        <v>38</v>
      </c>
      <c r="I368" s="24">
        <v>610340</v>
      </c>
      <c r="J368" s="20">
        <v>41148</v>
      </c>
      <c r="K368" s="25">
        <v>467</v>
      </c>
      <c r="L368" s="25">
        <v>0</v>
      </c>
      <c r="M368" s="25">
        <v>0</v>
      </c>
      <c r="N368" s="25">
        <v>0</v>
      </c>
      <c r="O368" s="25">
        <v>0</v>
      </c>
    </row>
    <row r="369" spans="8:15" x14ac:dyDescent="0.25">
      <c r="H369" s="21" t="s">
        <v>38</v>
      </c>
      <c r="I369" s="24">
        <v>610340</v>
      </c>
      <c r="J369" s="20">
        <v>41148</v>
      </c>
      <c r="K369" s="25">
        <v>477</v>
      </c>
      <c r="L369" s="25">
        <v>1</v>
      </c>
      <c r="M369" s="25">
        <v>166</v>
      </c>
      <c r="N369" s="25">
        <v>0</v>
      </c>
      <c r="O369" s="25">
        <v>0</v>
      </c>
    </row>
    <row r="370" spans="8:15" x14ac:dyDescent="0.25">
      <c r="H370" s="21" t="s">
        <v>38</v>
      </c>
      <c r="I370" s="24">
        <v>610340</v>
      </c>
      <c r="J370" s="20">
        <v>41148</v>
      </c>
      <c r="K370" s="25">
        <v>478</v>
      </c>
      <c r="L370" s="25">
        <v>46</v>
      </c>
      <c r="M370" s="25">
        <v>12581</v>
      </c>
      <c r="N370" s="25">
        <v>3</v>
      </c>
      <c r="O370" s="25">
        <v>10</v>
      </c>
    </row>
    <row r="371" spans="8:15" x14ac:dyDescent="0.25">
      <c r="H371" s="21" t="s">
        <v>38</v>
      </c>
      <c r="I371" s="24">
        <v>610340</v>
      </c>
      <c r="J371" s="20">
        <v>41148</v>
      </c>
      <c r="K371" s="25">
        <v>480</v>
      </c>
      <c r="L371" s="25">
        <v>0</v>
      </c>
      <c r="M371" s="25">
        <v>0</v>
      </c>
      <c r="N371" s="25">
        <v>0</v>
      </c>
      <c r="O371" s="25">
        <v>0</v>
      </c>
    </row>
    <row r="372" spans="8:15" x14ac:dyDescent="0.25">
      <c r="H372" s="21" t="s">
        <v>38</v>
      </c>
      <c r="I372" s="24">
        <v>610340</v>
      </c>
      <c r="J372" s="20">
        <v>41148</v>
      </c>
      <c r="K372" s="25">
        <v>481</v>
      </c>
      <c r="L372" s="25">
        <v>0</v>
      </c>
      <c r="M372" s="25">
        <v>0</v>
      </c>
      <c r="N372" s="25">
        <v>0</v>
      </c>
      <c r="O372" s="25">
        <v>0</v>
      </c>
    </row>
    <row r="373" spans="8:15" x14ac:dyDescent="0.25">
      <c r="H373" s="21" t="s">
        <v>38</v>
      </c>
      <c r="I373" s="24">
        <v>610340</v>
      </c>
      <c r="J373" s="20">
        <v>41148</v>
      </c>
      <c r="K373" s="25">
        <v>482</v>
      </c>
      <c r="L373" s="25">
        <v>16</v>
      </c>
      <c r="M373" s="25">
        <v>4705</v>
      </c>
      <c r="N373" s="25">
        <v>2</v>
      </c>
      <c r="O373" s="25">
        <v>0</v>
      </c>
    </row>
    <row r="374" spans="8:15" x14ac:dyDescent="0.25">
      <c r="H374" s="21" t="s">
        <v>38</v>
      </c>
      <c r="I374" s="24">
        <v>610340</v>
      </c>
      <c r="J374" s="20">
        <v>41148</v>
      </c>
      <c r="K374" s="25">
        <v>790</v>
      </c>
      <c r="L374" s="25">
        <v>0</v>
      </c>
      <c r="M374" s="25">
        <v>0</v>
      </c>
      <c r="N374" s="25">
        <v>0</v>
      </c>
      <c r="O374" s="25">
        <v>0</v>
      </c>
    </row>
    <row r="375" spans="8:15" x14ac:dyDescent="0.25">
      <c r="H375" s="21" t="s">
        <v>38</v>
      </c>
      <c r="I375" s="24">
        <v>610340</v>
      </c>
      <c r="J375" s="20">
        <v>41149</v>
      </c>
      <c r="K375" s="25">
        <v>85</v>
      </c>
      <c r="L375" s="25">
        <v>0</v>
      </c>
      <c r="M375" s="25">
        <v>0</v>
      </c>
      <c r="N375" s="25">
        <v>0</v>
      </c>
      <c r="O375" s="25">
        <v>0</v>
      </c>
    </row>
    <row r="376" spans="8:15" x14ac:dyDescent="0.25">
      <c r="H376" s="21" t="s">
        <v>38</v>
      </c>
      <c r="I376" s="24">
        <v>610340</v>
      </c>
      <c r="J376" s="20">
        <v>41149</v>
      </c>
      <c r="K376" s="25">
        <v>465</v>
      </c>
      <c r="L376" s="25">
        <v>0</v>
      </c>
      <c r="M376" s="25">
        <v>0</v>
      </c>
      <c r="N376" s="25">
        <v>0</v>
      </c>
      <c r="O376" s="25">
        <v>0</v>
      </c>
    </row>
    <row r="377" spans="8:15" x14ac:dyDescent="0.25">
      <c r="H377" s="21" t="s">
        <v>38</v>
      </c>
      <c r="I377" s="24">
        <v>610340</v>
      </c>
      <c r="J377" s="20">
        <v>41149</v>
      </c>
      <c r="K377" s="25">
        <v>466</v>
      </c>
      <c r="L377" s="25">
        <v>2</v>
      </c>
      <c r="M377" s="25">
        <v>337</v>
      </c>
      <c r="N377" s="25">
        <v>0</v>
      </c>
      <c r="O377" s="25">
        <v>0</v>
      </c>
    </row>
    <row r="378" spans="8:15" x14ac:dyDescent="0.25">
      <c r="H378" s="21" t="s">
        <v>38</v>
      </c>
      <c r="I378" s="24">
        <v>610340</v>
      </c>
      <c r="J378" s="20">
        <v>41149</v>
      </c>
      <c r="K378" s="25">
        <v>467</v>
      </c>
      <c r="L378" s="25">
        <v>0</v>
      </c>
      <c r="M378" s="25">
        <v>0</v>
      </c>
      <c r="N378" s="25">
        <v>0</v>
      </c>
      <c r="O378" s="25">
        <v>0</v>
      </c>
    </row>
    <row r="379" spans="8:15" x14ac:dyDescent="0.25">
      <c r="H379" s="21" t="s">
        <v>38</v>
      </c>
      <c r="I379" s="24">
        <v>610340</v>
      </c>
      <c r="J379" s="20">
        <v>41149</v>
      </c>
      <c r="K379" s="25">
        <v>477</v>
      </c>
      <c r="L379" s="25">
        <v>4</v>
      </c>
      <c r="M379" s="25">
        <v>687</v>
      </c>
      <c r="N379" s="25">
        <v>0</v>
      </c>
      <c r="O379" s="25">
        <v>0</v>
      </c>
    </row>
    <row r="380" spans="8:15" x14ac:dyDescent="0.25">
      <c r="H380" s="21" t="s">
        <v>38</v>
      </c>
      <c r="I380" s="24">
        <v>610340</v>
      </c>
      <c r="J380" s="20">
        <v>41149</v>
      </c>
      <c r="K380" s="25">
        <v>478</v>
      </c>
      <c r="L380" s="25">
        <v>25</v>
      </c>
      <c r="M380" s="25">
        <v>5680</v>
      </c>
      <c r="N380" s="25">
        <v>0</v>
      </c>
      <c r="O380" s="25">
        <v>0</v>
      </c>
    </row>
    <row r="381" spans="8:15" x14ac:dyDescent="0.25">
      <c r="H381" s="21" t="s">
        <v>38</v>
      </c>
      <c r="I381" s="24">
        <v>610340</v>
      </c>
      <c r="J381" s="20">
        <v>41149</v>
      </c>
      <c r="K381" s="25">
        <v>480</v>
      </c>
      <c r="L381" s="25">
        <v>1</v>
      </c>
      <c r="M381" s="25">
        <v>362</v>
      </c>
      <c r="N381" s="25">
        <v>0</v>
      </c>
      <c r="O381" s="25">
        <v>0</v>
      </c>
    </row>
    <row r="382" spans="8:15" x14ac:dyDescent="0.25">
      <c r="H382" s="21" t="s">
        <v>38</v>
      </c>
      <c r="I382" s="24">
        <v>610340</v>
      </c>
      <c r="J382" s="20">
        <v>41149</v>
      </c>
      <c r="K382" s="25">
        <v>481</v>
      </c>
      <c r="L382" s="25">
        <v>0</v>
      </c>
      <c r="M382" s="25">
        <v>0</v>
      </c>
      <c r="N382" s="25">
        <v>0</v>
      </c>
      <c r="O382" s="25">
        <v>0</v>
      </c>
    </row>
    <row r="383" spans="8:15" x14ac:dyDescent="0.25">
      <c r="H383" s="21" t="s">
        <v>38</v>
      </c>
      <c r="I383" s="24">
        <v>610340</v>
      </c>
      <c r="J383" s="20">
        <v>41149</v>
      </c>
      <c r="K383" s="25">
        <v>482</v>
      </c>
      <c r="L383" s="25">
        <v>16</v>
      </c>
      <c r="M383" s="25">
        <v>2821</v>
      </c>
      <c r="N383" s="25">
        <v>2</v>
      </c>
      <c r="O383" s="25">
        <v>0</v>
      </c>
    </row>
    <row r="384" spans="8:15" x14ac:dyDescent="0.25">
      <c r="H384" s="21" t="s">
        <v>38</v>
      </c>
      <c r="I384" s="24">
        <v>610340</v>
      </c>
      <c r="J384" s="20">
        <v>41149</v>
      </c>
      <c r="K384" s="25">
        <v>790</v>
      </c>
      <c r="L384" s="25">
        <v>0</v>
      </c>
      <c r="M384" s="25">
        <v>0</v>
      </c>
      <c r="N384" s="25">
        <v>0</v>
      </c>
      <c r="O384" s="25">
        <v>0</v>
      </c>
    </row>
    <row r="385" spans="8:15" x14ac:dyDescent="0.25">
      <c r="H385" s="21" t="s">
        <v>38</v>
      </c>
      <c r="I385" s="24">
        <v>610340</v>
      </c>
      <c r="J385" s="20">
        <v>41150</v>
      </c>
      <c r="K385" s="25">
        <v>85</v>
      </c>
      <c r="L385" s="25">
        <v>0</v>
      </c>
      <c r="M385" s="25">
        <v>0</v>
      </c>
      <c r="N385" s="25">
        <v>0</v>
      </c>
      <c r="O385" s="25">
        <v>0</v>
      </c>
    </row>
    <row r="386" spans="8:15" x14ac:dyDescent="0.25">
      <c r="H386" s="21" t="s">
        <v>38</v>
      </c>
      <c r="I386" s="24">
        <v>610340</v>
      </c>
      <c r="J386" s="20">
        <v>41150</v>
      </c>
      <c r="K386" s="25">
        <v>465</v>
      </c>
      <c r="L386" s="25">
        <v>0</v>
      </c>
      <c r="M386" s="25">
        <v>0</v>
      </c>
      <c r="N386" s="25">
        <v>0</v>
      </c>
      <c r="O386" s="25">
        <v>0</v>
      </c>
    </row>
    <row r="387" spans="8:15" x14ac:dyDescent="0.25">
      <c r="H387" s="21" t="s">
        <v>38</v>
      </c>
      <c r="I387" s="24">
        <v>610340</v>
      </c>
      <c r="J387" s="20">
        <v>41150</v>
      </c>
      <c r="K387" s="25">
        <v>466</v>
      </c>
      <c r="L387" s="25">
        <v>0</v>
      </c>
      <c r="M387" s="25">
        <v>0</v>
      </c>
      <c r="N387" s="25">
        <v>0</v>
      </c>
      <c r="O387" s="25">
        <v>0</v>
      </c>
    </row>
    <row r="388" spans="8:15" x14ac:dyDescent="0.25">
      <c r="H388" s="21" t="s">
        <v>38</v>
      </c>
      <c r="I388" s="24">
        <v>610340</v>
      </c>
      <c r="J388" s="20">
        <v>41150</v>
      </c>
      <c r="K388" s="25">
        <v>467</v>
      </c>
      <c r="L388" s="25">
        <v>0</v>
      </c>
      <c r="M388" s="25">
        <v>0</v>
      </c>
      <c r="N388" s="25">
        <v>0</v>
      </c>
      <c r="O388" s="25">
        <v>0</v>
      </c>
    </row>
    <row r="389" spans="8:15" x14ac:dyDescent="0.25">
      <c r="H389" s="21" t="s">
        <v>38</v>
      </c>
      <c r="I389" s="24">
        <v>610340</v>
      </c>
      <c r="J389" s="20">
        <v>41150</v>
      </c>
      <c r="K389" s="25">
        <v>477</v>
      </c>
      <c r="L389" s="25">
        <v>1</v>
      </c>
      <c r="M389" s="25">
        <v>270</v>
      </c>
      <c r="N389" s="25">
        <v>0</v>
      </c>
      <c r="O389" s="25">
        <v>0</v>
      </c>
    </row>
    <row r="390" spans="8:15" x14ac:dyDescent="0.25">
      <c r="H390" s="21" t="s">
        <v>38</v>
      </c>
      <c r="I390" s="24">
        <v>610340</v>
      </c>
      <c r="J390" s="20">
        <v>41150</v>
      </c>
      <c r="K390" s="25">
        <v>478</v>
      </c>
      <c r="L390" s="25">
        <v>35</v>
      </c>
      <c r="M390" s="25">
        <v>11368</v>
      </c>
      <c r="N390" s="25">
        <v>1</v>
      </c>
      <c r="O390" s="25">
        <v>0</v>
      </c>
    </row>
    <row r="391" spans="8:15" x14ac:dyDescent="0.25">
      <c r="H391" s="21" t="s">
        <v>38</v>
      </c>
      <c r="I391" s="24">
        <v>610340</v>
      </c>
      <c r="J391" s="20">
        <v>41150</v>
      </c>
      <c r="K391" s="25">
        <v>480</v>
      </c>
      <c r="L391" s="25">
        <v>0</v>
      </c>
      <c r="M391" s="25">
        <v>0</v>
      </c>
      <c r="N391" s="25">
        <v>0</v>
      </c>
      <c r="O391" s="25">
        <v>0</v>
      </c>
    </row>
    <row r="392" spans="8:15" x14ac:dyDescent="0.25">
      <c r="H392" s="21" t="s">
        <v>38</v>
      </c>
      <c r="I392" s="24">
        <v>610340</v>
      </c>
      <c r="J392" s="20">
        <v>41150</v>
      </c>
      <c r="K392" s="25">
        <v>481</v>
      </c>
      <c r="L392" s="25">
        <v>0</v>
      </c>
      <c r="M392" s="25">
        <v>0</v>
      </c>
      <c r="N392" s="25">
        <v>0</v>
      </c>
      <c r="O392" s="25">
        <v>0</v>
      </c>
    </row>
    <row r="393" spans="8:15" x14ac:dyDescent="0.25">
      <c r="H393" s="21" t="s">
        <v>38</v>
      </c>
      <c r="I393" s="24">
        <v>610340</v>
      </c>
      <c r="J393" s="20">
        <v>41150</v>
      </c>
      <c r="K393" s="25">
        <v>482</v>
      </c>
      <c r="L393" s="25">
        <v>5</v>
      </c>
      <c r="M393" s="25">
        <v>1119</v>
      </c>
      <c r="N393" s="25">
        <v>0</v>
      </c>
      <c r="O393" s="25">
        <v>0</v>
      </c>
    </row>
    <row r="394" spans="8:15" x14ac:dyDescent="0.25">
      <c r="H394" s="21" t="s">
        <v>38</v>
      </c>
      <c r="I394" s="24">
        <v>610340</v>
      </c>
      <c r="J394" s="20">
        <v>41150</v>
      </c>
      <c r="K394" s="25">
        <v>790</v>
      </c>
      <c r="L394" s="25">
        <v>0</v>
      </c>
      <c r="M394" s="25">
        <v>0</v>
      </c>
      <c r="N394" s="25">
        <v>0</v>
      </c>
      <c r="O394" s="25">
        <v>0</v>
      </c>
    </row>
    <row r="395" spans="8:15" x14ac:dyDescent="0.25">
      <c r="H395" s="21" t="s">
        <v>38</v>
      </c>
      <c r="I395" s="24">
        <v>610340</v>
      </c>
      <c r="J395" s="20">
        <v>41151</v>
      </c>
      <c r="K395" s="25">
        <v>85</v>
      </c>
      <c r="L395" s="25">
        <v>0</v>
      </c>
      <c r="M395" s="25">
        <v>0</v>
      </c>
      <c r="N395" s="25">
        <v>0</v>
      </c>
      <c r="O395" s="25">
        <v>0</v>
      </c>
    </row>
    <row r="396" spans="8:15" x14ac:dyDescent="0.25">
      <c r="H396" s="21" t="s">
        <v>38</v>
      </c>
      <c r="I396" s="24">
        <v>610340</v>
      </c>
      <c r="J396" s="20">
        <v>41151</v>
      </c>
      <c r="K396" s="25">
        <v>465</v>
      </c>
      <c r="L396" s="25">
        <v>0</v>
      </c>
      <c r="M396" s="25">
        <v>0</v>
      </c>
      <c r="N396" s="25">
        <v>0</v>
      </c>
      <c r="O396" s="25">
        <v>0</v>
      </c>
    </row>
    <row r="397" spans="8:15" x14ac:dyDescent="0.25">
      <c r="H397" s="21" t="s">
        <v>38</v>
      </c>
      <c r="I397" s="24">
        <v>610340</v>
      </c>
      <c r="J397" s="20">
        <v>41151</v>
      </c>
      <c r="K397" s="25">
        <v>466</v>
      </c>
      <c r="L397" s="25">
        <v>0</v>
      </c>
      <c r="M397" s="25">
        <v>0</v>
      </c>
      <c r="N397" s="25">
        <v>0</v>
      </c>
      <c r="O397" s="25">
        <v>0</v>
      </c>
    </row>
    <row r="398" spans="8:15" x14ac:dyDescent="0.25">
      <c r="H398" s="21" t="s">
        <v>38</v>
      </c>
      <c r="I398" s="24">
        <v>610340</v>
      </c>
      <c r="J398" s="20">
        <v>41151</v>
      </c>
      <c r="K398" s="25">
        <v>467</v>
      </c>
      <c r="L398" s="25">
        <v>0</v>
      </c>
      <c r="M398" s="25">
        <v>0</v>
      </c>
      <c r="N398" s="25">
        <v>0</v>
      </c>
      <c r="O398" s="25">
        <v>0</v>
      </c>
    </row>
    <row r="399" spans="8:15" x14ac:dyDescent="0.25">
      <c r="H399" s="21" t="s">
        <v>38</v>
      </c>
      <c r="I399" s="24">
        <v>610340</v>
      </c>
      <c r="J399" s="20">
        <v>41151</v>
      </c>
      <c r="K399" s="25">
        <v>477</v>
      </c>
      <c r="L399" s="25">
        <v>11</v>
      </c>
      <c r="M399" s="25">
        <v>2398</v>
      </c>
      <c r="N399" s="25">
        <v>2</v>
      </c>
      <c r="O399" s="25">
        <v>4</v>
      </c>
    </row>
    <row r="400" spans="8:15" x14ac:dyDescent="0.25">
      <c r="H400" s="21" t="s">
        <v>38</v>
      </c>
      <c r="I400" s="24">
        <v>610340</v>
      </c>
      <c r="J400" s="20">
        <v>41151</v>
      </c>
      <c r="K400" s="25">
        <v>478</v>
      </c>
      <c r="L400" s="25">
        <v>60</v>
      </c>
      <c r="M400" s="25">
        <v>13295</v>
      </c>
      <c r="N400" s="25">
        <v>1</v>
      </c>
      <c r="O400" s="25">
        <v>0</v>
      </c>
    </row>
    <row r="401" spans="8:15" x14ac:dyDescent="0.25">
      <c r="H401" s="21" t="s">
        <v>38</v>
      </c>
      <c r="I401" s="24">
        <v>610340</v>
      </c>
      <c r="J401" s="20">
        <v>41151</v>
      </c>
      <c r="K401" s="25">
        <v>480</v>
      </c>
      <c r="L401" s="25">
        <v>1</v>
      </c>
      <c r="M401" s="25">
        <v>211</v>
      </c>
      <c r="N401" s="25">
        <v>0</v>
      </c>
      <c r="O401" s="25">
        <v>0</v>
      </c>
    </row>
    <row r="402" spans="8:15" x14ac:dyDescent="0.25">
      <c r="H402" s="21" t="s">
        <v>38</v>
      </c>
      <c r="I402" s="24">
        <v>610340</v>
      </c>
      <c r="J402" s="20">
        <v>41151</v>
      </c>
      <c r="K402" s="25">
        <v>481</v>
      </c>
      <c r="L402" s="25">
        <v>0</v>
      </c>
      <c r="M402" s="25">
        <v>0</v>
      </c>
      <c r="N402" s="25">
        <v>0</v>
      </c>
      <c r="O402" s="25">
        <v>0</v>
      </c>
    </row>
    <row r="403" spans="8:15" x14ac:dyDescent="0.25">
      <c r="H403" s="21" t="s">
        <v>38</v>
      </c>
      <c r="I403" s="24">
        <v>610340</v>
      </c>
      <c r="J403" s="20">
        <v>41151</v>
      </c>
      <c r="K403" s="25">
        <v>482</v>
      </c>
      <c r="L403" s="25">
        <v>11</v>
      </c>
      <c r="M403" s="25">
        <v>3129</v>
      </c>
      <c r="N403" s="25">
        <v>0</v>
      </c>
      <c r="O403" s="25">
        <v>0</v>
      </c>
    </row>
    <row r="404" spans="8:15" x14ac:dyDescent="0.25">
      <c r="H404" s="21" t="s">
        <v>38</v>
      </c>
      <c r="I404" s="24">
        <v>610340</v>
      </c>
      <c r="J404" s="20">
        <v>41151</v>
      </c>
      <c r="K404" s="25">
        <v>790</v>
      </c>
      <c r="L404" s="25">
        <v>0</v>
      </c>
      <c r="M404" s="25">
        <v>0</v>
      </c>
      <c r="N404" s="25">
        <v>0</v>
      </c>
      <c r="O404" s="25">
        <v>0</v>
      </c>
    </row>
    <row r="405" spans="8:15" x14ac:dyDescent="0.25">
      <c r="H405" s="21" t="s">
        <v>38</v>
      </c>
      <c r="I405" s="24">
        <v>610340</v>
      </c>
      <c r="J405" s="20">
        <v>41152</v>
      </c>
      <c r="K405" s="25">
        <v>85</v>
      </c>
      <c r="L405" s="25">
        <v>0</v>
      </c>
      <c r="M405" s="25">
        <v>0</v>
      </c>
      <c r="N405" s="25">
        <v>0</v>
      </c>
      <c r="O405" s="25">
        <v>0</v>
      </c>
    </row>
    <row r="406" spans="8:15" x14ac:dyDescent="0.25">
      <c r="H406" s="21" t="s">
        <v>38</v>
      </c>
      <c r="I406" s="24">
        <v>610340</v>
      </c>
      <c r="J406" s="20">
        <v>41152</v>
      </c>
      <c r="K406" s="25">
        <v>465</v>
      </c>
      <c r="L406" s="25">
        <v>0</v>
      </c>
      <c r="M406" s="25">
        <v>0</v>
      </c>
      <c r="N406" s="25">
        <v>0</v>
      </c>
      <c r="O406" s="25">
        <v>0</v>
      </c>
    </row>
    <row r="407" spans="8:15" x14ac:dyDescent="0.25">
      <c r="H407" s="21" t="s">
        <v>38</v>
      </c>
      <c r="I407" s="24">
        <v>610340</v>
      </c>
      <c r="J407" s="20">
        <v>41152</v>
      </c>
      <c r="K407" s="25">
        <v>466</v>
      </c>
      <c r="L407" s="25">
        <v>1</v>
      </c>
      <c r="M407" s="25">
        <v>1045</v>
      </c>
      <c r="N407" s="25">
        <v>1</v>
      </c>
      <c r="O407" s="25">
        <v>0</v>
      </c>
    </row>
    <row r="408" spans="8:15" x14ac:dyDescent="0.25">
      <c r="H408" s="21" t="s">
        <v>38</v>
      </c>
      <c r="I408" s="24">
        <v>610340</v>
      </c>
      <c r="J408" s="20">
        <v>41152</v>
      </c>
      <c r="K408" s="25">
        <v>467</v>
      </c>
      <c r="L408" s="25">
        <v>0</v>
      </c>
      <c r="M408" s="25">
        <v>0</v>
      </c>
      <c r="N408" s="25">
        <v>0</v>
      </c>
      <c r="O408" s="25">
        <v>0</v>
      </c>
    </row>
    <row r="409" spans="8:15" x14ac:dyDescent="0.25">
      <c r="H409" s="21" t="s">
        <v>38</v>
      </c>
      <c r="I409" s="24">
        <v>610340</v>
      </c>
      <c r="J409" s="20">
        <v>41152</v>
      </c>
      <c r="K409" s="25">
        <v>477</v>
      </c>
      <c r="L409" s="25">
        <v>6</v>
      </c>
      <c r="M409" s="25">
        <v>1232</v>
      </c>
      <c r="N409" s="25">
        <v>0</v>
      </c>
      <c r="O409" s="25">
        <v>0</v>
      </c>
    </row>
    <row r="410" spans="8:15" x14ac:dyDescent="0.25">
      <c r="H410" s="21" t="s">
        <v>38</v>
      </c>
      <c r="I410" s="24">
        <v>610340</v>
      </c>
      <c r="J410" s="20">
        <v>41152</v>
      </c>
      <c r="K410" s="25">
        <v>478</v>
      </c>
      <c r="L410" s="25">
        <v>31</v>
      </c>
      <c r="M410" s="25">
        <v>6958</v>
      </c>
      <c r="N410" s="25">
        <v>84</v>
      </c>
      <c r="O410" s="25">
        <v>0</v>
      </c>
    </row>
    <row r="411" spans="8:15" x14ac:dyDescent="0.25">
      <c r="H411" s="21" t="s">
        <v>38</v>
      </c>
      <c r="I411" s="24">
        <v>610340</v>
      </c>
      <c r="J411" s="20">
        <v>41152</v>
      </c>
      <c r="K411" s="25">
        <v>480</v>
      </c>
      <c r="L411" s="25">
        <v>8</v>
      </c>
      <c r="M411" s="25">
        <v>2702</v>
      </c>
      <c r="N411" s="25">
        <v>0</v>
      </c>
      <c r="O411" s="25">
        <v>0</v>
      </c>
    </row>
    <row r="412" spans="8:15" x14ac:dyDescent="0.25">
      <c r="H412" s="21" t="s">
        <v>38</v>
      </c>
      <c r="I412" s="24">
        <v>610340</v>
      </c>
      <c r="J412" s="20">
        <v>41152</v>
      </c>
      <c r="K412" s="25">
        <v>481</v>
      </c>
      <c r="L412" s="25">
        <v>0</v>
      </c>
      <c r="M412" s="25">
        <v>0</v>
      </c>
      <c r="N412" s="25">
        <v>0</v>
      </c>
      <c r="O412" s="25">
        <v>0</v>
      </c>
    </row>
    <row r="413" spans="8:15" x14ac:dyDescent="0.25">
      <c r="H413" s="21" t="s">
        <v>38</v>
      </c>
      <c r="I413" s="24">
        <v>610340</v>
      </c>
      <c r="J413" s="20">
        <v>41152</v>
      </c>
      <c r="K413" s="25">
        <v>482</v>
      </c>
      <c r="L413" s="25">
        <v>14</v>
      </c>
      <c r="M413" s="25">
        <v>2719</v>
      </c>
      <c r="N413" s="25">
        <v>3</v>
      </c>
      <c r="O413" s="25">
        <v>0</v>
      </c>
    </row>
    <row r="414" spans="8:15" x14ac:dyDescent="0.25">
      <c r="H414" s="21" t="s">
        <v>38</v>
      </c>
      <c r="I414" s="24">
        <v>610340</v>
      </c>
      <c r="J414" s="20">
        <v>41152</v>
      </c>
      <c r="K414" s="25">
        <v>790</v>
      </c>
      <c r="L414" s="25">
        <v>0</v>
      </c>
      <c r="M414" s="25">
        <v>0</v>
      </c>
      <c r="N414" s="25">
        <v>0</v>
      </c>
      <c r="O414" s="25">
        <v>0</v>
      </c>
    </row>
    <row r="415" spans="8:15" x14ac:dyDescent="0.25">
      <c r="H415" s="21" t="s">
        <v>36</v>
      </c>
      <c r="I415" s="24">
        <v>610832</v>
      </c>
      <c r="J415" s="20">
        <v>41122</v>
      </c>
      <c r="K415" s="25">
        <v>85</v>
      </c>
      <c r="L415" s="25">
        <v>0</v>
      </c>
      <c r="M415" s="25">
        <v>0</v>
      </c>
      <c r="N415" s="25">
        <v>0</v>
      </c>
      <c r="O415" s="25">
        <v>0</v>
      </c>
    </row>
    <row r="416" spans="8:15" x14ac:dyDescent="0.25">
      <c r="H416" s="21" t="s">
        <v>36</v>
      </c>
      <c r="I416" s="24">
        <v>610832</v>
      </c>
      <c r="J416" s="20">
        <v>41122</v>
      </c>
      <c r="K416" s="25">
        <v>477</v>
      </c>
      <c r="L416" s="25">
        <v>48</v>
      </c>
      <c r="M416" s="25">
        <v>17232</v>
      </c>
      <c r="N416" s="25">
        <v>8</v>
      </c>
      <c r="O416" s="25">
        <v>0</v>
      </c>
    </row>
    <row r="417" spans="8:15" x14ac:dyDescent="0.25">
      <c r="H417" s="21" t="s">
        <v>36</v>
      </c>
      <c r="I417" s="24">
        <v>610832</v>
      </c>
      <c r="J417" s="20">
        <v>41122</v>
      </c>
      <c r="K417" s="25">
        <v>478</v>
      </c>
      <c r="L417" s="25">
        <v>9</v>
      </c>
      <c r="M417" s="25">
        <v>2834</v>
      </c>
      <c r="N417" s="25">
        <v>0</v>
      </c>
      <c r="O417" s="25">
        <v>0</v>
      </c>
    </row>
    <row r="418" spans="8:15" x14ac:dyDescent="0.25">
      <c r="H418" s="21" t="s">
        <v>36</v>
      </c>
      <c r="I418" s="24">
        <v>610832</v>
      </c>
      <c r="J418" s="20">
        <v>41122</v>
      </c>
      <c r="K418" s="25">
        <v>481</v>
      </c>
      <c r="L418" s="25">
        <v>0</v>
      </c>
      <c r="M418" s="25">
        <v>0</v>
      </c>
      <c r="N418" s="25">
        <v>0</v>
      </c>
      <c r="O418" s="25">
        <v>0</v>
      </c>
    </row>
    <row r="419" spans="8:15" x14ac:dyDescent="0.25">
      <c r="H419" s="21" t="s">
        <v>36</v>
      </c>
      <c r="I419" s="24">
        <v>610832</v>
      </c>
      <c r="J419" s="20">
        <v>41122</v>
      </c>
      <c r="K419" s="25">
        <v>790</v>
      </c>
      <c r="L419" s="25">
        <v>0</v>
      </c>
      <c r="M419" s="25">
        <v>0</v>
      </c>
      <c r="N419" s="25">
        <v>0</v>
      </c>
      <c r="O419" s="25">
        <v>0</v>
      </c>
    </row>
    <row r="420" spans="8:15" x14ac:dyDescent="0.25">
      <c r="H420" s="21" t="s">
        <v>36</v>
      </c>
      <c r="I420" s="24">
        <v>610832</v>
      </c>
      <c r="J420" s="20">
        <v>41123</v>
      </c>
      <c r="K420" s="25">
        <v>85</v>
      </c>
      <c r="L420" s="25">
        <v>0</v>
      </c>
      <c r="M420" s="25">
        <v>0</v>
      </c>
      <c r="N420" s="25">
        <v>0</v>
      </c>
      <c r="O420" s="25">
        <v>0</v>
      </c>
    </row>
    <row r="421" spans="8:15" x14ac:dyDescent="0.25">
      <c r="H421" s="21" t="s">
        <v>36</v>
      </c>
      <c r="I421" s="24">
        <v>610832</v>
      </c>
      <c r="J421" s="20">
        <v>41123</v>
      </c>
      <c r="K421" s="25">
        <v>477</v>
      </c>
      <c r="L421" s="25">
        <v>52</v>
      </c>
      <c r="M421" s="25">
        <v>16426</v>
      </c>
      <c r="N421" s="25">
        <v>14</v>
      </c>
      <c r="O421" s="25">
        <v>5</v>
      </c>
    </row>
    <row r="422" spans="8:15" x14ac:dyDescent="0.25">
      <c r="H422" s="21" t="s">
        <v>36</v>
      </c>
      <c r="I422" s="24">
        <v>610832</v>
      </c>
      <c r="J422" s="20">
        <v>41123</v>
      </c>
      <c r="K422" s="25">
        <v>478</v>
      </c>
      <c r="L422" s="25">
        <v>12</v>
      </c>
      <c r="M422" s="25">
        <v>3418</v>
      </c>
      <c r="N422" s="25">
        <v>0</v>
      </c>
      <c r="O422" s="25">
        <v>0</v>
      </c>
    </row>
    <row r="423" spans="8:15" x14ac:dyDescent="0.25">
      <c r="H423" s="21" t="s">
        <v>36</v>
      </c>
      <c r="I423" s="24">
        <v>610832</v>
      </c>
      <c r="J423" s="20">
        <v>41123</v>
      </c>
      <c r="K423" s="25">
        <v>481</v>
      </c>
      <c r="L423" s="25">
        <v>0</v>
      </c>
      <c r="M423" s="25">
        <v>0</v>
      </c>
      <c r="N423" s="25">
        <v>0</v>
      </c>
      <c r="O423" s="25">
        <v>0</v>
      </c>
    </row>
    <row r="424" spans="8:15" x14ac:dyDescent="0.25">
      <c r="H424" s="21" t="s">
        <v>36</v>
      </c>
      <c r="I424" s="24">
        <v>610832</v>
      </c>
      <c r="J424" s="20">
        <v>41123</v>
      </c>
      <c r="K424" s="25">
        <v>790</v>
      </c>
      <c r="L424" s="25">
        <v>0</v>
      </c>
      <c r="M424" s="25">
        <v>0</v>
      </c>
      <c r="N424" s="25">
        <v>0</v>
      </c>
      <c r="O424" s="25">
        <v>0</v>
      </c>
    </row>
    <row r="425" spans="8:15" x14ac:dyDescent="0.25">
      <c r="H425" s="21" t="s">
        <v>36</v>
      </c>
      <c r="I425" s="24">
        <v>610832</v>
      </c>
      <c r="J425" s="20">
        <v>41124</v>
      </c>
      <c r="K425" s="25">
        <v>85</v>
      </c>
      <c r="L425" s="25">
        <v>0</v>
      </c>
      <c r="M425" s="25">
        <v>0</v>
      </c>
      <c r="N425" s="25">
        <v>0</v>
      </c>
      <c r="O425" s="25">
        <v>0</v>
      </c>
    </row>
    <row r="426" spans="8:15" x14ac:dyDescent="0.25">
      <c r="H426" s="21" t="s">
        <v>36</v>
      </c>
      <c r="I426" s="24">
        <v>610832</v>
      </c>
      <c r="J426" s="20">
        <v>41124</v>
      </c>
      <c r="K426" s="25">
        <v>477</v>
      </c>
      <c r="L426" s="25">
        <v>29</v>
      </c>
      <c r="M426" s="25">
        <v>10897</v>
      </c>
      <c r="N426" s="25">
        <v>2</v>
      </c>
      <c r="O426" s="25">
        <v>22</v>
      </c>
    </row>
    <row r="427" spans="8:15" x14ac:dyDescent="0.25">
      <c r="H427" s="21" t="s">
        <v>36</v>
      </c>
      <c r="I427" s="24">
        <v>610832</v>
      </c>
      <c r="J427" s="20">
        <v>41124</v>
      </c>
      <c r="K427" s="25">
        <v>478</v>
      </c>
      <c r="L427" s="25">
        <v>11</v>
      </c>
      <c r="M427" s="25">
        <v>2944</v>
      </c>
      <c r="N427" s="25">
        <v>4</v>
      </c>
      <c r="O427" s="25">
        <v>0</v>
      </c>
    </row>
    <row r="428" spans="8:15" x14ac:dyDescent="0.25">
      <c r="H428" s="21" t="s">
        <v>36</v>
      </c>
      <c r="I428" s="24">
        <v>610832</v>
      </c>
      <c r="J428" s="20">
        <v>41124</v>
      </c>
      <c r="K428" s="25">
        <v>481</v>
      </c>
      <c r="L428" s="25">
        <v>23</v>
      </c>
      <c r="M428" s="25">
        <v>5456</v>
      </c>
      <c r="N428" s="25">
        <v>5</v>
      </c>
      <c r="O428" s="25">
        <v>0</v>
      </c>
    </row>
    <row r="429" spans="8:15" x14ac:dyDescent="0.25">
      <c r="H429" s="21" t="s">
        <v>36</v>
      </c>
      <c r="I429" s="24">
        <v>610832</v>
      </c>
      <c r="J429" s="20">
        <v>41124</v>
      </c>
      <c r="K429" s="25">
        <v>790</v>
      </c>
      <c r="L429" s="25">
        <v>0</v>
      </c>
      <c r="M429" s="25">
        <v>0</v>
      </c>
      <c r="N429" s="25">
        <v>0</v>
      </c>
      <c r="O429" s="25">
        <v>0</v>
      </c>
    </row>
    <row r="430" spans="8:15" x14ac:dyDescent="0.25">
      <c r="H430" s="21" t="s">
        <v>36</v>
      </c>
      <c r="I430" s="24">
        <v>610832</v>
      </c>
      <c r="J430" s="20">
        <v>41125</v>
      </c>
      <c r="K430" s="25">
        <v>85</v>
      </c>
      <c r="L430" s="25">
        <v>0</v>
      </c>
      <c r="M430" s="25">
        <v>0</v>
      </c>
      <c r="N430" s="25">
        <v>0</v>
      </c>
      <c r="O430" s="25">
        <v>0</v>
      </c>
    </row>
    <row r="431" spans="8:15" x14ac:dyDescent="0.25">
      <c r="H431" s="21" t="s">
        <v>36</v>
      </c>
      <c r="I431" s="24">
        <v>610832</v>
      </c>
      <c r="J431" s="20">
        <v>41125</v>
      </c>
      <c r="K431" s="25">
        <v>477</v>
      </c>
      <c r="L431" s="25">
        <v>37</v>
      </c>
      <c r="M431" s="25">
        <v>12621</v>
      </c>
      <c r="N431" s="25">
        <v>9</v>
      </c>
      <c r="O431" s="25">
        <v>0</v>
      </c>
    </row>
    <row r="432" spans="8:15" x14ac:dyDescent="0.25">
      <c r="H432" s="21" t="s">
        <v>36</v>
      </c>
      <c r="I432" s="24">
        <v>610832</v>
      </c>
      <c r="J432" s="20">
        <v>41125</v>
      </c>
      <c r="K432" s="25">
        <v>478</v>
      </c>
      <c r="L432" s="25">
        <v>10</v>
      </c>
      <c r="M432" s="25">
        <v>3020</v>
      </c>
      <c r="N432" s="25">
        <v>0</v>
      </c>
      <c r="O432" s="25">
        <v>0</v>
      </c>
    </row>
    <row r="433" spans="8:15" x14ac:dyDescent="0.25">
      <c r="H433" s="21" t="s">
        <v>36</v>
      </c>
      <c r="I433" s="24">
        <v>610832</v>
      </c>
      <c r="J433" s="20">
        <v>41125</v>
      </c>
      <c r="K433" s="25">
        <v>481</v>
      </c>
      <c r="L433" s="25">
        <v>0</v>
      </c>
      <c r="M433" s="25">
        <v>0</v>
      </c>
      <c r="N433" s="25">
        <v>0</v>
      </c>
      <c r="O433" s="25">
        <v>0</v>
      </c>
    </row>
    <row r="434" spans="8:15" x14ac:dyDescent="0.25">
      <c r="H434" s="21" t="s">
        <v>36</v>
      </c>
      <c r="I434" s="24">
        <v>610832</v>
      </c>
      <c r="J434" s="20">
        <v>41125</v>
      </c>
      <c r="K434" s="25">
        <v>790</v>
      </c>
      <c r="L434" s="25">
        <v>0</v>
      </c>
      <c r="M434" s="25">
        <v>0</v>
      </c>
      <c r="N434" s="25">
        <v>0</v>
      </c>
      <c r="O434" s="25">
        <v>0</v>
      </c>
    </row>
    <row r="435" spans="8:15" x14ac:dyDescent="0.25">
      <c r="H435" s="21" t="s">
        <v>36</v>
      </c>
      <c r="I435" s="24">
        <v>610832</v>
      </c>
      <c r="J435" s="20">
        <v>41127</v>
      </c>
      <c r="K435" s="25">
        <v>85</v>
      </c>
      <c r="L435" s="25">
        <v>0</v>
      </c>
      <c r="M435" s="25">
        <v>0</v>
      </c>
      <c r="N435" s="25">
        <v>0</v>
      </c>
      <c r="O435" s="25">
        <v>0</v>
      </c>
    </row>
    <row r="436" spans="8:15" x14ac:dyDescent="0.25">
      <c r="H436" s="21" t="s">
        <v>36</v>
      </c>
      <c r="I436" s="24">
        <v>610832</v>
      </c>
      <c r="J436" s="20">
        <v>41127</v>
      </c>
      <c r="K436" s="25">
        <v>477</v>
      </c>
      <c r="L436" s="25">
        <v>33</v>
      </c>
      <c r="M436" s="25">
        <v>13562</v>
      </c>
      <c r="N436" s="25">
        <v>9</v>
      </c>
      <c r="O436" s="25">
        <v>0</v>
      </c>
    </row>
    <row r="437" spans="8:15" x14ac:dyDescent="0.25">
      <c r="H437" s="21" t="s">
        <v>36</v>
      </c>
      <c r="I437" s="24">
        <v>610832</v>
      </c>
      <c r="J437" s="20">
        <v>41127</v>
      </c>
      <c r="K437" s="25">
        <v>478</v>
      </c>
      <c r="L437" s="25">
        <v>7</v>
      </c>
      <c r="M437" s="25">
        <v>2509</v>
      </c>
      <c r="N437" s="25">
        <v>0</v>
      </c>
      <c r="O437" s="25">
        <v>0</v>
      </c>
    </row>
    <row r="438" spans="8:15" x14ac:dyDescent="0.25">
      <c r="H438" s="21" t="s">
        <v>36</v>
      </c>
      <c r="I438" s="24">
        <v>610832</v>
      </c>
      <c r="J438" s="20">
        <v>41127</v>
      </c>
      <c r="K438" s="25">
        <v>481</v>
      </c>
      <c r="L438" s="25">
        <v>14</v>
      </c>
      <c r="M438" s="25">
        <v>4274</v>
      </c>
      <c r="N438" s="25">
        <v>1</v>
      </c>
      <c r="O438" s="25">
        <v>6</v>
      </c>
    </row>
    <row r="439" spans="8:15" x14ac:dyDescent="0.25">
      <c r="H439" s="21" t="s">
        <v>36</v>
      </c>
      <c r="I439" s="24">
        <v>610832</v>
      </c>
      <c r="J439" s="20">
        <v>41127</v>
      </c>
      <c r="K439" s="25">
        <v>790</v>
      </c>
      <c r="L439" s="25">
        <v>0</v>
      </c>
      <c r="M439" s="25">
        <v>0</v>
      </c>
      <c r="N439" s="25">
        <v>0</v>
      </c>
      <c r="O439" s="25">
        <v>0</v>
      </c>
    </row>
    <row r="440" spans="8:15" x14ac:dyDescent="0.25">
      <c r="H440" s="21" t="s">
        <v>36</v>
      </c>
      <c r="I440" s="24">
        <v>610832</v>
      </c>
      <c r="J440" s="20">
        <v>41128</v>
      </c>
      <c r="K440" s="25">
        <v>85</v>
      </c>
      <c r="L440" s="25">
        <v>0</v>
      </c>
      <c r="M440" s="25">
        <v>0</v>
      </c>
      <c r="N440" s="25">
        <v>0</v>
      </c>
      <c r="O440" s="25">
        <v>0</v>
      </c>
    </row>
    <row r="441" spans="8:15" x14ac:dyDescent="0.25">
      <c r="H441" s="21" t="s">
        <v>36</v>
      </c>
      <c r="I441" s="24">
        <v>610832</v>
      </c>
      <c r="J441" s="20">
        <v>41128</v>
      </c>
      <c r="K441" s="25">
        <v>477</v>
      </c>
      <c r="L441" s="25">
        <v>45</v>
      </c>
      <c r="M441" s="25">
        <v>12201</v>
      </c>
      <c r="N441" s="25">
        <v>2</v>
      </c>
      <c r="O441" s="25">
        <v>13</v>
      </c>
    </row>
    <row r="442" spans="8:15" x14ac:dyDescent="0.25">
      <c r="H442" s="21" t="s">
        <v>36</v>
      </c>
      <c r="I442" s="24">
        <v>610832</v>
      </c>
      <c r="J442" s="20">
        <v>41128</v>
      </c>
      <c r="K442" s="25">
        <v>478</v>
      </c>
      <c r="L442" s="25">
        <v>7</v>
      </c>
      <c r="M442" s="25">
        <v>2027</v>
      </c>
      <c r="N442" s="25">
        <v>0</v>
      </c>
      <c r="O442" s="25">
        <v>0</v>
      </c>
    </row>
    <row r="443" spans="8:15" x14ac:dyDescent="0.25">
      <c r="H443" s="21" t="s">
        <v>36</v>
      </c>
      <c r="I443" s="24">
        <v>610832</v>
      </c>
      <c r="J443" s="20">
        <v>41128</v>
      </c>
      <c r="K443" s="25">
        <v>481</v>
      </c>
      <c r="L443" s="25">
        <v>15</v>
      </c>
      <c r="M443" s="25">
        <v>5862</v>
      </c>
      <c r="N443" s="25">
        <v>2</v>
      </c>
      <c r="O443" s="25">
        <v>0</v>
      </c>
    </row>
    <row r="444" spans="8:15" x14ac:dyDescent="0.25">
      <c r="H444" s="21" t="s">
        <v>36</v>
      </c>
      <c r="I444" s="24">
        <v>610832</v>
      </c>
      <c r="J444" s="20">
        <v>41128</v>
      </c>
      <c r="K444" s="25">
        <v>790</v>
      </c>
      <c r="L444" s="25">
        <v>0</v>
      </c>
      <c r="M444" s="25">
        <v>0</v>
      </c>
      <c r="N444" s="25">
        <v>0</v>
      </c>
      <c r="O444" s="25">
        <v>0</v>
      </c>
    </row>
    <row r="445" spans="8:15" x14ac:dyDescent="0.25">
      <c r="H445" s="21" t="s">
        <v>36</v>
      </c>
      <c r="I445" s="24">
        <v>610832</v>
      </c>
      <c r="J445" s="20">
        <v>41129</v>
      </c>
      <c r="K445" s="25">
        <v>85</v>
      </c>
      <c r="L445" s="25">
        <v>0</v>
      </c>
      <c r="M445" s="25">
        <v>0</v>
      </c>
      <c r="N445" s="25">
        <v>0</v>
      </c>
      <c r="O445" s="25">
        <v>0</v>
      </c>
    </row>
    <row r="446" spans="8:15" x14ac:dyDescent="0.25">
      <c r="H446" s="21" t="s">
        <v>36</v>
      </c>
      <c r="I446" s="24">
        <v>610832</v>
      </c>
      <c r="J446" s="20">
        <v>41129</v>
      </c>
      <c r="K446" s="25">
        <v>477</v>
      </c>
      <c r="L446" s="25">
        <v>38</v>
      </c>
      <c r="M446" s="25">
        <v>14130</v>
      </c>
      <c r="N446" s="25">
        <v>0</v>
      </c>
      <c r="O446" s="25">
        <v>88</v>
      </c>
    </row>
    <row r="447" spans="8:15" x14ac:dyDescent="0.25">
      <c r="H447" s="21" t="s">
        <v>36</v>
      </c>
      <c r="I447" s="24">
        <v>610832</v>
      </c>
      <c r="J447" s="20">
        <v>41129</v>
      </c>
      <c r="K447" s="25">
        <v>478</v>
      </c>
      <c r="L447" s="25">
        <v>6</v>
      </c>
      <c r="M447" s="25">
        <v>2065</v>
      </c>
      <c r="N447" s="25">
        <v>0</v>
      </c>
      <c r="O447" s="25">
        <v>0</v>
      </c>
    </row>
    <row r="448" spans="8:15" x14ac:dyDescent="0.25">
      <c r="H448" s="21" t="s">
        <v>36</v>
      </c>
      <c r="I448" s="24">
        <v>610832</v>
      </c>
      <c r="J448" s="20">
        <v>41129</v>
      </c>
      <c r="K448" s="25">
        <v>481</v>
      </c>
      <c r="L448" s="25">
        <v>8</v>
      </c>
      <c r="M448" s="25">
        <v>2989</v>
      </c>
      <c r="N448" s="25">
        <v>4</v>
      </c>
      <c r="O448" s="25">
        <v>3</v>
      </c>
    </row>
    <row r="449" spans="8:15" x14ac:dyDescent="0.25">
      <c r="H449" s="21" t="s">
        <v>36</v>
      </c>
      <c r="I449" s="24">
        <v>610832</v>
      </c>
      <c r="J449" s="20">
        <v>41129</v>
      </c>
      <c r="K449" s="25">
        <v>790</v>
      </c>
      <c r="L449" s="25">
        <v>0</v>
      </c>
      <c r="M449" s="25">
        <v>0</v>
      </c>
      <c r="N449" s="25">
        <v>0</v>
      </c>
      <c r="O449" s="25">
        <v>0</v>
      </c>
    </row>
    <row r="450" spans="8:15" x14ac:dyDescent="0.25">
      <c r="H450" s="21" t="s">
        <v>36</v>
      </c>
      <c r="I450" s="24">
        <v>610832</v>
      </c>
      <c r="J450" s="20">
        <v>41130</v>
      </c>
      <c r="K450" s="25">
        <v>85</v>
      </c>
      <c r="L450" s="25">
        <v>0</v>
      </c>
      <c r="M450" s="25">
        <v>0</v>
      </c>
      <c r="N450" s="25">
        <v>0</v>
      </c>
      <c r="O450" s="25">
        <v>0</v>
      </c>
    </row>
    <row r="451" spans="8:15" x14ac:dyDescent="0.25">
      <c r="H451" s="21" t="s">
        <v>36</v>
      </c>
      <c r="I451" s="24">
        <v>610832</v>
      </c>
      <c r="J451" s="20">
        <v>41130</v>
      </c>
      <c r="K451" s="25">
        <v>477</v>
      </c>
      <c r="L451" s="25">
        <v>48</v>
      </c>
      <c r="M451" s="25">
        <v>14388</v>
      </c>
      <c r="N451" s="25">
        <v>5</v>
      </c>
      <c r="O451" s="25">
        <v>90</v>
      </c>
    </row>
    <row r="452" spans="8:15" x14ac:dyDescent="0.25">
      <c r="H452" s="21" t="s">
        <v>36</v>
      </c>
      <c r="I452" s="24">
        <v>610832</v>
      </c>
      <c r="J452" s="20">
        <v>41130</v>
      </c>
      <c r="K452" s="25">
        <v>478</v>
      </c>
      <c r="L452" s="25">
        <v>16</v>
      </c>
      <c r="M452" s="25">
        <v>5100</v>
      </c>
      <c r="N452" s="25">
        <v>7</v>
      </c>
      <c r="O452" s="25">
        <v>10</v>
      </c>
    </row>
    <row r="453" spans="8:15" x14ac:dyDescent="0.25">
      <c r="H453" s="21" t="s">
        <v>36</v>
      </c>
      <c r="I453" s="24">
        <v>610832</v>
      </c>
      <c r="J453" s="20">
        <v>41130</v>
      </c>
      <c r="K453" s="25">
        <v>481</v>
      </c>
      <c r="L453" s="25">
        <v>0</v>
      </c>
      <c r="M453" s="25">
        <v>0</v>
      </c>
      <c r="N453" s="25">
        <v>0</v>
      </c>
      <c r="O453" s="25">
        <v>0</v>
      </c>
    </row>
    <row r="454" spans="8:15" x14ac:dyDescent="0.25">
      <c r="H454" s="21" t="s">
        <v>36</v>
      </c>
      <c r="I454" s="24">
        <v>610832</v>
      </c>
      <c r="J454" s="20">
        <v>41130</v>
      </c>
      <c r="K454" s="25">
        <v>790</v>
      </c>
      <c r="L454" s="25">
        <v>0</v>
      </c>
      <c r="M454" s="25">
        <v>0</v>
      </c>
      <c r="N454" s="25">
        <v>0</v>
      </c>
      <c r="O454" s="25">
        <v>0</v>
      </c>
    </row>
    <row r="455" spans="8:15" x14ac:dyDescent="0.25">
      <c r="H455" s="21" t="s">
        <v>36</v>
      </c>
      <c r="I455" s="24">
        <v>610832</v>
      </c>
      <c r="J455" s="20">
        <v>41131</v>
      </c>
      <c r="K455" s="25">
        <v>85</v>
      </c>
      <c r="L455" s="25">
        <v>0</v>
      </c>
      <c r="M455" s="25">
        <v>0</v>
      </c>
      <c r="N455" s="25">
        <v>0</v>
      </c>
      <c r="O455" s="25">
        <v>0</v>
      </c>
    </row>
    <row r="456" spans="8:15" x14ac:dyDescent="0.25">
      <c r="H456" s="21" t="s">
        <v>36</v>
      </c>
      <c r="I456" s="24">
        <v>610832</v>
      </c>
      <c r="J456" s="20">
        <v>41131</v>
      </c>
      <c r="K456" s="25">
        <v>477</v>
      </c>
      <c r="L456" s="25">
        <v>52</v>
      </c>
      <c r="M456" s="25">
        <v>16808</v>
      </c>
      <c r="N456" s="25">
        <v>10</v>
      </c>
      <c r="O456" s="25">
        <v>116</v>
      </c>
    </row>
    <row r="457" spans="8:15" x14ac:dyDescent="0.25">
      <c r="H457" s="21" t="s">
        <v>36</v>
      </c>
      <c r="I457" s="24">
        <v>610832</v>
      </c>
      <c r="J457" s="20">
        <v>41131</v>
      </c>
      <c r="K457" s="25">
        <v>478</v>
      </c>
      <c r="L457" s="25">
        <v>7</v>
      </c>
      <c r="M457" s="25">
        <v>1607</v>
      </c>
      <c r="N457" s="25">
        <v>1</v>
      </c>
      <c r="O457" s="25">
        <v>0</v>
      </c>
    </row>
    <row r="458" spans="8:15" x14ac:dyDescent="0.25">
      <c r="H458" s="21" t="s">
        <v>36</v>
      </c>
      <c r="I458" s="24">
        <v>610832</v>
      </c>
      <c r="J458" s="20">
        <v>41131</v>
      </c>
      <c r="K458" s="25">
        <v>481</v>
      </c>
      <c r="L458" s="25">
        <v>0</v>
      </c>
      <c r="M458" s="25">
        <v>0</v>
      </c>
      <c r="N458" s="25">
        <v>0</v>
      </c>
      <c r="O458" s="25">
        <v>0</v>
      </c>
    </row>
    <row r="459" spans="8:15" x14ac:dyDescent="0.25">
      <c r="H459" s="21" t="s">
        <v>36</v>
      </c>
      <c r="I459" s="24">
        <v>610832</v>
      </c>
      <c r="J459" s="20">
        <v>41131</v>
      </c>
      <c r="K459" s="25">
        <v>790</v>
      </c>
      <c r="L459" s="25">
        <v>0</v>
      </c>
      <c r="M459" s="25">
        <v>0</v>
      </c>
      <c r="N459" s="25">
        <v>0</v>
      </c>
      <c r="O459" s="25">
        <v>0</v>
      </c>
    </row>
    <row r="460" spans="8:15" x14ac:dyDescent="0.25">
      <c r="H460" s="21" t="s">
        <v>36</v>
      </c>
      <c r="I460" s="24">
        <v>610832</v>
      </c>
      <c r="J460" s="20">
        <v>41133</v>
      </c>
      <c r="K460" s="25">
        <v>85</v>
      </c>
      <c r="L460" s="25">
        <v>0</v>
      </c>
      <c r="M460" s="25">
        <v>0</v>
      </c>
      <c r="N460" s="25">
        <v>0</v>
      </c>
      <c r="O460" s="25">
        <v>0</v>
      </c>
    </row>
    <row r="461" spans="8:15" x14ac:dyDescent="0.25">
      <c r="H461" s="21" t="s">
        <v>36</v>
      </c>
      <c r="I461" s="24">
        <v>610832</v>
      </c>
      <c r="J461" s="20">
        <v>41133</v>
      </c>
      <c r="K461" s="25">
        <v>466</v>
      </c>
      <c r="L461" s="25">
        <v>21</v>
      </c>
      <c r="M461" s="25">
        <v>5937</v>
      </c>
      <c r="N461" s="25">
        <v>2</v>
      </c>
      <c r="O461" s="25">
        <v>4</v>
      </c>
    </row>
    <row r="462" spans="8:15" x14ac:dyDescent="0.25">
      <c r="H462" s="21" t="s">
        <v>36</v>
      </c>
      <c r="I462" s="24">
        <v>610832</v>
      </c>
      <c r="J462" s="20">
        <v>41133</v>
      </c>
      <c r="K462" s="25">
        <v>477</v>
      </c>
      <c r="L462" s="25">
        <v>28</v>
      </c>
      <c r="M462" s="25">
        <v>7693</v>
      </c>
      <c r="N462" s="25">
        <v>0</v>
      </c>
      <c r="O462" s="25">
        <v>0</v>
      </c>
    </row>
    <row r="463" spans="8:15" x14ac:dyDescent="0.25">
      <c r="H463" s="21" t="s">
        <v>36</v>
      </c>
      <c r="I463" s="24">
        <v>610832</v>
      </c>
      <c r="J463" s="20">
        <v>41133</v>
      </c>
      <c r="K463" s="25">
        <v>478</v>
      </c>
      <c r="L463" s="25">
        <v>17</v>
      </c>
      <c r="M463" s="25">
        <v>4502</v>
      </c>
      <c r="N463" s="25">
        <v>3</v>
      </c>
      <c r="O463" s="25">
        <v>0</v>
      </c>
    </row>
    <row r="464" spans="8:15" x14ac:dyDescent="0.25">
      <c r="H464" s="21" t="s">
        <v>36</v>
      </c>
      <c r="I464" s="24">
        <v>610832</v>
      </c>
      <c r="J464" s="20">
        <v>41133</v>
      </c>
      <c r="K464" s="25">
        <v>481</v>
      </c>
      <c r="L464" s="25">
        <v>0</v>
      </c>
      <c r="M464" s="25">
        <v>0</v>
      </c>
      <c r="N464" s="25">
        <v>0</v>
      </c>
      <c r="O464" s="25">
        <v>0</v>
      </c>
    </row>
    <row r="465" spans="8:15" x14ac:dyDescent="0.25">
      <c r="H465" s="21" t="s">
        <v>36</v>
      </c>
      <c r="I465" s="24">
        <v>610832</v>
      </c>
      <c r="J465" s="20">
        <v>41133</v>
      </c>
      <c r="K465" s="25">
        <v>790</v>
      </c>
      <c r="L465" s="25">
        <v>0</v>
      </c>
      <c r="M465" s="25">
        <v>0</v>
      </c>
      <c r="N465" s="25">
        <v>0</v>
      </c>
      <c r="O465" s="25">
        <v>0</v>
      </c>
    </row>
    <row r="466" spans="8:15" x14ac:dyDescent="0.25">
      <c r="H466" s="21" t="s">
        <v>36</v>
      </c>
      <c r="I466" s="24">
        <v>610832</v>
      </c>
      <c r="J466" s="20">
        <v>41134</v>
      </c>
      <c r="K466" s="25">
        <v>85</v>
      </c>
      <c r="L466" s="25">
        <v>0</v>
      </c>
      <c r="M466" s="25">
        <v>0</v>
      </c>
      <c r="N466" s="25">
        <v>0</v>
      </c>
      <c r="O466" s="25">
        <v>0</v>
      </c>
    </row>
    <row r="467" spans="8:15" x14ac:dyDescent="0.25">
      <c r="H467" s="21" t="s">
        <v>36</v>
      </c>
      <c r="I467" s="24">
        <v>610832</v>
      </c>
      <c r="J467" s="20">
        <v>41134</v>
      </c>
      <c r="K467" s="25">
        <v>477</v>
      </c>
      <c r="L467" s="25">
        <v>48</v>
      </c>
      <c r="M467" s="25">
        <v>16700</v>
      </c>
      <c r="N467" s="25">
        <v>6</v>
      </c>
      <c r="O467" s="25">
        <v>19</v>
      </c>
    </row>
    <row r="468" spans="8:15" x14ac:dyDescent="0.25">
      <c r="H468" s="21" t="s">
        <v>36</v>
      </c>
      <c r="I468" s="24">
        <v>610832</v>
      </c>
      <c r="J468" s="20">
        <v>41134</v>
      </c>
      <c r="K468" s="25">
        <v>478</v>
      </c>
      <c r="L468" s="25">
        <v>7</v>
      </c>
      <c r="M468" s="25">
        <v>2479</v>
      </c>
      <c r="N468" s="25">
        <v>1</v>
      </c>
      <c r="O468" s="25">
        <v>10</v>
      </c>
    </row>
    <row r="469" spans="8:15" x14ac:dyDescent="0.25">
      <c r="H469" s="21" t="s">
        <v>36</v>
      </c>
      <c r="I469" s="24">
        <v>610832</v>
      </c>
      <c r="J469" s="20">
        <v>41134</v>
      </c>
      <c r="K469" s="25">
        <v>481</v>
      </c>
      <c r="L469" s="25">
        <v>0</v>
      </c>
      <c r="M469" s="25">
        <v>0</v>
      </c>
      <c r="N469" s="25">
        <v>0</v>
      </c>
      <c r="O469" s="25">
        <v>0</v>
      </c>
    </row>
    <row r="470" spans="8:15" x14ac:dyDescent="0.25">
      <c r="H470" s="21" t="s">
        <v>36</v>
      </c>
      <c r="I470" s="24">
        <v>610832</v>
      </c>
      <c r="J470" s="20">
        <v>41134</v>
      </c>
      <c r="K470" s="25">
        <v>790</v>
      </c>
      <c r="L470" s="25">
        <v>0</v>
      </c>
      <c r="M470" s="25">
        <v>0</v>
      </c>
      <c r="N470" s="25">
        <v>0</v>
      </c>
      <c r="O470" s="25">
        <v>0</v>
      </c>
    </row>
    <row r="471" spans="8:15" x14ac:dyDescent="0.25">
      <c r="H471" s="21" t="s">
        <v>36</v>
      </c>
      <c r="I471" s="24">
        <v>610832</v>
      </c>
      <c r="J471" s="20">
        <v>41135</v>
      </c>
      <c r="K471" s="25">
        <v>85</v>
      </c>
      <c r="L471" s="25">
        <v>0</v>
      </c>
      <c r="M471" s="25">
        <v>0</v>
      </c>
      <c r="N471" s="25">
        <v>0</v>
      </c>
      <c r="O471" s="25">
        <v>0</v>
      </c>
    </row>
    <row r="472" spans="8:15" x14ac:dyDescent="0.25">
      <c r="H472" s="21" t="s">
        <v>36</v>
      </c>
      <c r="I472" s="24">
        <v>610832</v>
      </c>
      <c r="J472" s="20">
        <v>41135</v>
      </c>
      <c r="K472" s="25">
        <v>466</v>
      </c>
      <c r="L472" s="25">
        <v>2</v>
      </c>
      <c r="M472" s="25">
        <v>242</v>
      </c>
      <c r="N472" s="25">
        <v>0</v>
      </c>
      <c r="O472" s="25">
        <v>0</v>
      </c>
    </row>
    <row r="473" spans="8:15" x14ac:dyDescent="0.25">
      <c r="H473" s="21" t="s">
        <v>36</v>
      </c>
      <c r="I473" s="24">
        <v>610832</v>
      </c>
      <c r="J473" s="20">
        <v>41135</v>
      </c>
      <c r="K473" s="25">
        <v>467</v>
      </c>
      <c r="L473" s="25">
        <v>0</v>
      </c>
      <c r="M473" s="25">
        <v>0</v>
      </c>
      <c r="N473" s="25">
        <v>0</v>
      </c>
      <c r="O473" s="25">
        <v>0</v>
      </c>
    </row>
    <row r="474" spans="8:15" x14ac:dyDescent="0.25">
      <c r="H474" s="21" t="s">
        <v>36</v>
      </c>
      <c r="I474" s="24">
        <v>610832</v>
      </c>
      <c r="J474" s="20">
        <v>41135</v>
      </c>
      <c r="K474" s="25">
        <v>477</v>
      </c>
      <c r="L474" s="25">
        <v>20</v>
      </c>
      <c r="M474" s="25">
        <v>7850</v>
      </c>
      <c r="N474" s="25">
        <v>2</v>
      </c>
      <c r="O474" s="25">
        <v>7</v>
      </c>
    </row>
    <row r="475" spans="8:15" x14ac:dyDescent="0.25">
      <c r="H475" s="21" t="s">
        <v>36</v>
      </c>
      <c r="I475" s="24">
        <v>610832</v>
      </c>
      <c r="J475" s="20">
        <v>41135</v>
      </c>
      <c r="K475" s="25">
        <v>478</v>
      </c>
      <c r="L475" s="25">
        <v>29</v>
      </c>
      <c r="M475" s="25">
        <v>10923</v>
      </c>
      <c r="N475" s="25">
        <v>2</v>
      </c>
      <c r="O475" s="25">
        <v>8</v>
      </c>
    </row>
    <row r="476" spans="8:15" x14ac:dyDescent="0.25">
      <c r="H476" s="21" t="s">
        <v>36</v>
      </c>
      <c r="I476" s="24">
        <v>610832</v>
      </c>
      <c r="J476" s="20">
        <v>41135</v>
      </c>
      <c r="K476" s="25">
        <v>481</v>
      </c>
      <c r="L476" s="25">
        <v>0</v>
      </c>
      <c r="M476" s="25">
        <v>0</v>
      </c>
      <c r="N476" s="25">
        <v>0</v>
      </c>
      <c r="O476" s="25">
        <v>0</v>
      </c>
    </row>
    <row r="477" spans="8:15" x14ac:dyDescent="0.25">
      <c r="H477" s="21" t="s">
        <v>36</v>
      </c>
      <c r="I477" s="24">
        <v>610832</v>
      </c>
      <c r="J477" s="20">
        <v>41135</v>
      </c>
      <c r="K477" s="25">
        <v>790</v>
      </c>
      <c r="L477" s="25">
        <v>0</v>
      </c>
      <c r="M477" s="25">
        <v>0</v>
      </c>
      <c r="N477" s="25">
        <v>0</v>
      </c>
      <c r="O477" s="25">
        <v>0</v>
      </c>
    </row>
    <row r="478" spans="8:15" x14ac:dyDescent="0.25">
      <c r="H478" s="21" t="s">
        <v>36</v>
      </c>
      <c r="I478" s="24">
        <v>610832</v>
      </c>
      <c r="J478" s="20">
        <v>41136</v>
      </c>
      <c r="K478" s="25">
        <v>85</v>
      </c>
      <c r="L478" s="25">
        <v>0</v>
      </c>
      <c r="M478" s="25">
        <v>0</v>
      </c>
      <c r="N478" s="25">
        <v>0</v>
      </c>
      <c r="O478" s="25">
        <v>0</v>
      </c>
    </row>
    <row r="479" spans="8:15" x14ac:dyDescent="0.25">
      <c r="H479" s="21" t="s">
        <v>36</v>
      </c>
      <c r="I479" s="24">
        <v>610832</v>
      </c>
      <c r="J479" s="20">
        <v>41136</v>
      </c>
      <c r="K479" s="25">
        <v>465</v>
      </c>
      <c r="L479" s="25">
        <v>0</v>
      </c>
      <c r="M479" s="25">
        <v>0</v>
      </c>
      <c r="N479" s="25">
        <v>0</v>
      </c>
      <c r="O479" s="25">
        <v>0</v>
      </c>
    </row>
    <row r="480" spans="8:15" x14ac:dyDescent="0.25">
      <c r="H480" s="21" t="s">
        <v>36</v>
      </c>
      <c r="I480" s="24">
        <v>610832</v>
      </c>
      <c r="J480" s="20">
        <v>41136</v>
      </c>
      <c r="K480" s="25">
        <v>466</v>
      </c>
      <c r="L480" s="25">
        <v>2</v>
      </c>
      <c r="M480" s="25">
        <v>1566</v>
      </c>
      <c r="N480" s="25">
        <v>0</v>
      </c>
      <c r="O480" s="25">
        <v>3</v>
      </c>
    </row>
    <row r="481" spans="8:15" x14ac:dyDescent="0.25">
      <c r="H481" s="21" t="s">
        <v>36</v>
      </c>
      <c r="I481" s="24">
        <v>610832</v>
      </c>
      <c r="J481" s="20">
        <v>41136</v>
      </c>
      <c r="K481" s="25">
        <v>467</v>
      </c>
      <c r="L481" s="25">
        <v>0</v>
      </c>
      <c r="M481" s="25">
        <v>0</v>
      </c>
      <c r="N481" s="25">
        <v>0</v>
      </c>
      <c r="O481" s="25">
        <v>0</v>
      </c>
    </row>
    <row r="482" spans="8:15" x14ac:dyDescent="0.25">
      <c r="H482" s="21" t="s">
        <v>36</v>
      </c>
      <c r="I482" s="24">
        <v>610832</v>
      </c>
      <c r="J482" s="20">
        <v>41136</v>
      </c>
      <c r="K482" s="25">
        <v>477</v>
      </c>
      <c r="L482" s="25">
        <v>3</v>
      </c>
      <c r="M482" s="25">
        <v>836</v>
      </c>
      <c r="N482" s="25">
        <v>0</v>
      </c>
      <c r="O482" s="25">
        <v>0</v>
      </c>
    </row>
    <row r="483" spans="8:15" x14ac:dyDescent="0.25">
      <c r="H483" s="21" t="s">
        <v>36</v>
      </c>
      <c r="I483" s="24">
        <v>610832</v>
      </c>
      <c r="J483" s="20">
        <v>41136</v>
      </c>
      <c r="K483" s="25">
        <v>478</v>
      </c>
      <c r="L483" s="25">
        <v>9</v>
      </c>
      <c r="M483" s="25">
        <v>2206</v>
      </c>
      <c r="N483" s="25">
        <v>1</v>
      </c>
      <c r="O483" s="25">
        <v>13</v>
      </c>
    </row>
    <row r="484" spans="8:15" x14ac:dyDescent="0.25">
      <c r="H484" s="21" t="s">
        <v>36</v>
      </c>
      <c r="I484" s="24">
        <v>610832</v>
      </c>
      <c r="J484" s="20">
        <v>41136</v>
      </c>
      <c r="K484" s="25">
        <v>480</v>
      </c>
      <c r="L484" s="25">
        <v>11</v>
      </c>
      <c r="M484" s="25">
        <v>4670</v>
      </c>
      <c r="N484" s="25">
        <v>0</v>
      </c>
      <c r="O484" s="25">
        <v>0</v>
      </c>
    </row>
    <row r="485" spans="8:15" x14ac:dyDescent="0.25">
      <c r="H485" s="21" t="s">
        <v>36</v>
      </c>
      <c r="I485" s="24">
        <v>610832</v>
      </c>
      <c r="J485" s="20">
        <v>41136</v>
      </c>
      <c r="K485" s="25">
        <v>481</v>
      </c>
      <c r="L485" s="25">
        <v>6</v>
      </c>
      <c r="M485" s="25">
        <v>2152</v>
      </c>
      <c r="N485" s="25">
        <v>2</v>
      </c>
      <c r="O485" s="25">
        <v>5</v>
      </c>
    </row>
    <row r="486" spans="8:15" x14ac:dyDescent="0.25">
      <c r="H486" s="21" t="s">
        <v>36</v>
      </c>
      <c r="I486" s="24">
        <v>610832</v>
      </c>
      <c r="J486" s="20">
        <v>41136</v>
      </c>
      <c r="K486" s="25">
        <v>482</v>
      </c>
      <c r="L486" s="25">
        <v>13</v>
      </c>
      <c r="M486" s="25">
        <v>7497</v>
      </c>
      <c r="N486" s="25">
        <v>1</v>
      </c>
      <c r="O486" s="25">
        <v>19</v>
      </c>
    </row>
    <row r="487" spans="8:15" x14ac:dyDescent="0.25">
      <c r="H487" s="21" t="s">
        <v>36</v>
      </c>
      <c r="I487" s="24">
        <v>610832</v>
      </c>
      <c r="J487" s="20">
        <v>41136</v>
      </c>
      <c r="K487" s="25">
        <v>790</v>
      </c>
      <c r="L487" s="25">
        <v>0</v>
      </c>
      <c r="M487" s="25">
        <v>0</v>
      </c>
      <c r="N487" s="25">
        <v>0</v>
      </c>
      <c r="O487" s="25">
        <v>0</v>
      </c>
    </row>
    <row r="488" spans="8:15" x14ac:dyDescent="0.25">
      <c r="H488" s="21" t="s">
        <v>36</v>
      </c>
      <c r="I488" s="24">
        <v>610832</v>
      </c>
      <c r="J488" s="20">
        <v>41137</v>
      </c>
      <c r="K488" s="25">
        <v>85</v>
      </c>
      <c r="L488" s="25">
        <v>0</v>
      </c>
      <c r="M488" s="25">
        <v>0</v>
      </c>
      <c r="N488" s="25">
        <v>0</v>
      </c>
      <c r="O488" s="25">
        <v>0</v>
      </c>
    </row>
    <row r="489" spans="8:15" x14ac:dyDescent="0.25">
      <c r="H489" s="21" t="s">
        <v>36</v>
      </c>
      <c r="I489" s="24">
        <v>610832</v>
      </c>
      <c r="J489" s="20">
        <v>41137</v>
      </c>
      <c r="K489" s="25">
        <v>465</v>
      </c>
      <c r="L489" s="25">
        <v>0</v>
      </c>
      <c r="M489" s="25">
        <v>0</v>
      </c>
      <c r="N489" s="25">
        <v>0</v>
      </c>
      <c r="O489" s="25">
        <v>0</v>
      </c>
    </row>
    <row r="490" spans="8:15" x14ac:dyDescent="0.25">
      <c r="H490" s="21" t="s">
        <v>36</v>
      </c>
      <c r="I490" s="24">
        <v>610832</v>
      </c>
      <c r="J490" s="20">
        <v>41137</v>
      </c>
      <c r="K490" s="25">
        <v>466</v>
      </c>
      <c r="L490" s="25">
        <v>32</v>
      </c>
      <c r="M490" s="25">
        <v>13473</v>
      </c>
      <c r="N490" s="25">
        <v>2</v>
      </c>
      <c r="O490" s="25">
        <v>6</v>
      </c>
    </row>
    <row r="491" spans="8:15" x14ac:dyDescent="0.25">
      <c r="H491" s="21" t="s">
        <v>36</v>
      </c>
      <c r="I491" s="24">
        <v>610832</v>
      </c>
      <c r="J491" s="20">
        <v>41137</v>
      </c>
      <c r="K491" s="25">
        <v>467</v>
      </c>
      <c r="L491" s="25">
        <v>0</v>
      </c>
      <c r="M491" s="25">
        <v>0</v>
      </c>
      <c r="N491" s="25">
        <v>0</v>
      </c>
      <c r="O491" s="25">
        <v>0</v>
      </c>
    </row>
    <row r="492" spans="8:15" x14ac:dyDescent="0.25">
      <c r="H492" s="21" t="s">
        <v>36</v>
      </c>
      <c r="I492" s="24">
        <v>610832</v>
      </c>
      <c r="J492" s="20">
        <v>41137</v>
      </c>
      <c r="K492" s="25">
        <v>477</v>
      </c>
      <c r="L492" s="25">
        <v>13</v>
      </c>
      <c r="M492" s="25">
        <v>3891</v>
      </c>
      <c r="N492" s="25">
        <v>0</v>
      </c>
      <c r="O492" s="25">
        <v>6</v>
      </c>
    </row>
    <row r="493" spans="8:15" x14ac:dyDescent="0.25">
      <c r="H493" s="21" t="s">
        <v>36</v>
      </c>
      <c r="I493" s="24">
        <v>610832</v>
      </c>
      <c r="J493" s="20">
        <v>41137</v>
      </c>
      <c r="K493" s="25">
        <v>478</v>
      </c>
      <c r="L493" s="25">
        <v>0</v>
      </c>
      <c r="M493" s="25">
        <v>0</v>
      </c>
      <c r="N493" s="25">
        <v>0</v>
      </c>
      <c r="O493" s="25">
        <v>0</v>
      </c>
    </row>
    <row r="494" spans="8:15" x14ac:dyDescent="0.25">
      <c r="H494" s="21" t="s">
        <v>36</v>
      </c>
      <c r="I494" s="24">
        <v>610832</v>
      </c>
      <c r="J494" s="20">
        <v>41137</v>
      </c>
      <c r="K494" s="25">
        <v>480</v>
      </c>
      <c r="L494" s="25">
        <v>3</v>
      </c>
      <c r="M494" s="25">
        <v>842</v>
      </c>
      <c r="N494" s="25">
        <v>7</v>
      </c>
      <c r="O494" s="25">
        <v>0</v>
      </c>
    </row>
    <row r="495" spans="8:15" x14ac:dyDescent="0.25">
      <c r="H495" s="21" t="s">
        <v>36</v>
      </c>
      <c r="I495" s="24">
        <v>610832</v>
      </c>
      <c r="J495" s="20">
        <v>41137</v>
      </c>
      <c r="K495" s="25">
        <v>481</v>
      </c>
      <c r="L495" s="25">
        <v>0</v>
      </c>
      <c r="M495" s="25">
        <v>0</v>
      </c>
      <c r="N495" s="25">
        <v>0</v>
      </c>
      <c r="O495" s="25">
        <v>0</v>
      </c>
    </row>
    <row r="496" spans="8:15" x14ac:dyDescent="0.25">
      <c r="H496" s="21" t="s">
        <v>36</v>
      </c>
      <c r="I496" s="24">
        <v>610832</v>
      </c>
      <c r="J496" s="20">
        <v>41137</v>
      </c>
      <c r="K496" s="25">
        <v>482</v>
      </c>
      <c r="L496" s="25">
        <v>1</v>
      </c>
      <c r="M496" s="25">
        <v>762</v>
      </c>
      <c r="N496" s="25">
        <v>0</v>
      </c>
      <c r="O496" s="25">
        <v>0</v>
      </c>
    </row>
    <row r="497" spans="8:15" x14ac:dyDescent="0.25">
      <c r="H497" s="21" t="s">
        <v>36</v>
      </c>
      <c r="I497" s="24">
        <v>610832</v>
      </c>
      <c r="J497" s="20">
        <v>41137</v>
      </c>
      <c r="K497" s="25">
        <v>790</v>
      </c>
      <c r="L497" s="25">
        <v>0</v>
      </c>
      <c r="M497" s="25">
        <v>0</v>
      </c>
      <c r="N497" s="25">
        <v>0</v>
      </c>
      <c r="O497" s="25">
        <v>0</v>
      </c>
    </row>
    <row r="498" spans="8:15" x14ac:dyDescent="0.25">
      <c r="H498" s="21" t="s">
        <v>36</v>
      </c>
      <c r="I498" s="24">
        <v>610832</v>
      </c>
      <c r="J498" s="20">
        <v>41138</v>
      </c>
      <c r="K498" s="25">
        <v>85</v>
      </c>
      <c r="L498" s="25">
        <v>0</v>
      </c>
      <c r="M498" s="25">
        <v>0</v>
      </c>
      <c r="N498" s="25">
        <v>0</v>
      </c>
      <c r="O498" s="25">
        <v>0</v>
      </c>
    </row>
    <row r="499" spans="8:15" x14ac:dyDescent="0.25">
      <c r="H499" s="21" t="s">
        <v>36</v>
      </c>
      <c r="I499" s="24">
        <v>610832</v>
      </c>
      <c r="J499" s="20">
        <v>41138</v>
      </c>
      <c r="K499" s="25">
        <v>465</v>
      </c>
      <c r="L499" s="25">
        <v>0</v>
      </c>
      <c r="M499" s="25">
        <v>0</v>
      </c>
      <c r="N499" s="25">
        <v>0</v>
      </c>
      <c r="O499" s="25">
        <v>0</v>
      </c>
    </row>
    <row r="500" spans="8:15" x14ac:dyDescent="0.25">
      <c r="H500" s="21" t="s">
        <v>36</v>
      </c>
      <c r="I500" s="24">
        <v>610832</v>
      </c>
      <c r="J500" s="20">
        <v>41138</v>
      </c>
      <c r="K500" s="25">
        <v>466</v>
      </c>
      <c r="L500" s="25">
        <v>23</v>
      </c>
      <c r="M500" s="25">
        <v>9037</v>
      </c>
      <c r="N500" s="25">
        <v>0</v>
      </c>
      <c r="O500" s="25">
        <v>99</v>
      </c>
    </row>
    <row r="501" spans="8:15" x14ac:dyDescent="0.25">
      <c r="H501" s="21" t="s">
        <v>36</v>
      </c>
      <c r="I501" s="24">
        <v>610832</v>
      </c>
      <c r="J501" s="20">
        <v>41138</v>
      </c>
      <c r="K501" s="25">
        <v>467</v>
      </c>
      <c r="L501" s="25">
        <v>0</v>
      </c>
      <c r="M501" s="25">
        <v>0</v>
      </c>
      <c r="N501" s="25">
        <v>0</v>
      </c>
      <c r="O501" s="25">
        <v>0</v>
      </c>
    </row>
    <row r="502" spans="8:15" x14ac:dyDescent="0.25">
      <c r="H502" s="21" t="s">
        <v>36</v>
      </c>
      <c r="I502" s="24">
        <v>610832</v>
      </c>
      <c r="J502" s="20">
        <v>41138</v>
      </c>
      <c r="K502" s="25">
        <v>477</v>
      </c>
      <c r="L502" s="25">
        <v>9</v>
      </c>
      <c r="M502" s="25">
        <v>2698</v>
      </c>
      <c r="N502" s="25">
        <v>0</v>
      </c>
      <c r="O502" s="25">
        <v>16</v>
      </c>
    </row>
    <row r="503" spans="8:15" x14ac:dyDescent="0.25">
      <c r="H503" s="21" t="s">
        <v>36</v>
      </c>
      <c r="I503" s="24">
        <v>610832</v>
      </c>
      <c r="J503" s="20">
        <v>41138</v>
      </c>
      <c r="K503" s="25">
        <v>478</v>
      </c>
      <c r="L503" s="25">
        <v>5</v>
      </c>
      <c r="M503" s="25">
        <v>1326</v>
      </c>
      <c r="N503" s="25">
        <v>0</v>
      </c>
      <c r="O503" s="25">
        <v>0</v>
      </c>
    </row>
    <row r="504" spans="8:15" x14ac:dyDescent="0.25">
      <c r="H504" s="21" t="s">
        <v>36</v>
      </c>
      <c r="I504" s="24">
        <v>610832</v>
      </c>
      <c r="J504" s="20">
        <v>41138</v>
      </c>
      <c r="K504" s="25">
        <v>480</v>
      </c>
      <c r="L504" s="25">
        <v>7</v>
      </c>
      <c r="M504" s="25">
        <v>2207</v>
      </c>
      <c r="N504" s="25">
        <v>0</v>
      </c>
      <c r="O504" s="25">
        <v>20</v>
      </c>
    </row>
    <row r="505" spans="8:15" x14ac:dyDescent="0.25">
      <c r="H505" s="21" t="s">
        <v>36</v>
      </c>
      <c r="I505" s="24">
        <v>610832</v>
      </c>
      <c r="J505" s="20">
        <v>41138</v>
      </c>
      <c r="K505" s="25">
        <v>481</v>
      </c>
      <c r="L505" s="25">
        <v>0</v>
      </c>
      <c r="M505" s="25">
        <v>0</v>
      </c>
      <c r="N505" s="25">
        <v>0</v>
      </c>
      <c r="O505" s="25">
        <v>0</v>
      </c>
    </row>
    <row r="506" spans="8:15" x14ac:dyDescent="0.25">
      <c r="H506" s="21" t="s">
        <v>36</v>
      </c>
      <c r="I506" s="24">
        <v>610832</v>
      </c>
      <c r="J506" s="20">
        <v>41138</v>
      </c>
      <c r="K506" s="25">
        <v>482</v>
      </c>
      <c r="L506" s="25">
        <v>8</v>
      </c>
      <c r="M506" s="25">
        <v>2187</v>
      </c>
      <c r="N506" s="25">
        <v>0</v>
      </c>
      <c r="O506" s="25">
        <v>11</v>
      </c>
    </row>
    <row r="507" spans="8:15" x14ac:dyDescent="0.25">
      <c r="H507" s="21" t="s">
        <v>36</v>
      </c>
      <c r="I507" s="24">
        <v>610832</v>
      </c>
      <c r="J507" s="20">
        <v>41138</v>
      </c>
      <c r="K507" s="25">
        <v>790</v>
      </c>
      <c r="L507" s="25">
        <v>0</v>
      </c>
      <c r="M507" s="25">
        <v>0</v>
      </c>
      <c r="N507" s="25">
        <v>0</v>
      </c>
      <c r="O507" s="25">
        <v>0</v>
      </c>
    </row>
    <row r="508" spans="8:15" x14ac:dyDescent="0.25">
      <c r="H508" s="21" t="s">
        <v>36</v>
      </c>
      <c r="I508" s="24">
        <v>610832</v>
      </c>
      <c r="J508" s="20">
        <v>41139</v>
      </c>
      <c r="K508" s="25">
        <v>465</v>
      </c>
      <c r="L508" s="25">
        <v>0</v>
      </c>
      <c r="M508" s="25">
        <v>0</v>
      </c>
      <c r="N508" s="25">
        <v>0</v>
      </c>
      <c r="O508" s="25">
        <v>0</v>
      </c>
    </row>
    <row r="509" spans="8:15" x14ac:dyDescent="0.25">
      <c r="H509" s="21" t="s">
        <v>36</v>
      </c>
      <c r="I509" s="24">
        <v>610832</v>
      </c>
      <c r="J509" s="20">
        <v>41139</v>
      </c>
      <c r="K509" s="25">
        <v>467</v>
      </c>
      <c r="L509" s="25">
        <v>0</v>
      </c>
      <c r="M509" s="25">
        <v>0</v>
      </c>
      <c r="N509" s="25">
        <v>0</v>
      </c>
      <c r="O509" s="25">
        <v>0</v>
      </c>
    </row>
    <row r="510" spans="8:15" x14ac:dyDescent="0.25">
      <c r="H510" s="21" t="s">
        <v>36</v>
      </c>
      <c r="I510" s="24">
        <v>610832</v>
      </c>
      <c r="J510" s="20">
        <v>41139</v>
      </c>
      <c r="K510" s="25">
        <v>478</v>
      </c>
      <c r="L510" s="25">
        <v>10</v>
      </c>
      <c r="M510" s="25">
        <v>3040</v>
      </c>
      <c r="N510" s="25">
        <v>0</v>
      </c>
      <c r="O510" s="25">
        <v>0</v>
      </c>
    </row>
    <row r="511" spans="8:15" x14ac:dyDescent="0.25">
      <c r="H511" s="21" t="s">
        <v>36</v>
      </c>
      <c r="I511" s="24">
        <v>610832</v>
      </c>
      <c r="J511" s="20">
        <v>41139</v>
      </c>
      <c r="K511" s="25">
        <v>480</v>
      </c>
      <c r="L511" s="25">
        <v>11</v>
      </c>
      <c r="M511" s="25">
        <v>4703</v>
      </c>
      <c r="N511" s="25">
        <v>2</v>
      </c>
      <c r="O511" s="25">
        <v>55</v>
      </c>
    </row>
    <row r="512" spans="8:15" x14ac:dyDescent="0.25">
      <c r="H512" s="21" t="s">
        <v>36</v>
      </c>
      <c r="I512" s="24">
        <v>610832</v>
      </c>
      <c r="J512" s="20">
        <v>41139</v>
      </c>
      <c r="K512" s="25">
        <v>481</v>
      </c>
      <c r="L512" s="25">
        <v>0</v>
      </c>
      <c r="M512" s="25">
        <v>0</v>
      </c>
      <c r="N512" s="25">
        <v>0</v>
      </c>
      <c r="O512" s="25">
        <v>0</v>
      </c>
    </row>
    <row r="513" spans="8:15" x14ac:dyDescent="0.25">
      <c r="H513" s="21" t="s">
        <v>36</v>
      </c>
      <c r="I513" s="24">
        <v>610832</v>
      </c>
      <c r="J513" s="20">
        <v>41139</v>
      </c>
      <c r="K513" s="25">
        <v>482</v>
      </c>
      <c r="L513" s="25">
        <v>35</v>
      </c>
      <c r="M513" s="25">
        <v>10144</v>
      </c>
      <c r="N513" s="25">
        <v>1</v>
      </c>
      <c r="O513" s="25">
        <v>19</v>
      </c>
    </row>
    <row r="514" spans="8:15" x14ac:dyDescent="0.25">
      <c r="H514" s="21" t="s">
        <v>36</v>
      </c>
      <c r="I514" s="24">
        <v>610832</v>
      </c>
      <c r="J514" s="20">
        <v>41139</v>
      </c>
      <c r="K514" s="25">
        <v>790</v>
      </c>
      <c r="L514" s="25">
        <v>0</v>
      </c>
      <c r="M514" s="25">
        <v>0</v>
      </c>
      <c r="N514" s="25">
        <v>0</v>
      </c>
      <c r="O514" s="25">
        <v>0</v>
      </c>
    </row>
    <row r="515" spans="8:15" x14ac:dyDescent="0.25">
      <c r="H515" s="21" t="s">
        <v>36</v>
      </c>
      <c r="I515" s="24">
        <v>610832</v>
      </c>
      <c r="J515" s="20">
        <v>41141</v>
      </c>
      <c r="K515" s="25">
        <v>85</v>
      </c>
      <c r="L515" s="25">
        <v>0</v>
      </c>
      <c r="M515" s="25">
        <v>0</v>
      </c>
      <c r="N515" s="25">
        <v>0</v>
      </c>
      <c r="O515" s="25">
        <v>0</v>
      </c>
    </row>
    <row r="516" spans="8:15" x14ac:dyDescent="0.25">
      <c r="H516" s="21" t="s">
        <v>36</v>
      </c>
      <c r="I516" s="24">
        <v>610832</v>
      </c>
      <c r="J516" s="20">
        <v>41141</v>
      </c>
      <c r="K516" s="25">
        <v>465</v>
      </c>
      <c r="L516" s="25">
        <v>0</v>
      </c>
      <c r="M516" s="25">
        <v>0</v>
      </c>
      <c r="N516" s="25">
        <v>0</v>
      </c>
      <c r="O516" s="25">
        <v>0</v>
      </c>
    </row>
    <row r="517" spans="8:15" x14ac:dyDescent="0.25">
      <c r="H517" s="21" t="s">
        <v>36</v>
      </c>
      <c r="I517" s="24">
        <v>610832</v>
      </c>
      <c r="J517" s="20">
        <v>41141</v>
      </c>
      <c r="K517" s="25">
        <v>466</v>
      </c>
      <c r="L517" s="25">
        <v>31</v>
      </c>
      <c r="M517" s="25">
        <v>10249</v>
      </c>
      <c r="N517" s="25">
        <v>7</v>
      </c>
      <c r="O517" s="25">
        <v>3</v>
      </c>
    </row>
    <row r="518" spans="8:15" x14ac:dyDescent="0.25">
      <c r="H518" s="21" t="s">
        <v>36</v>
      </c>
      <c r="I518" s="24">
        <v>610832</v>
      </c>
      <c r="J518" s="20">
        <v>41141</v>
      </c>
      <c r="K518" s="25">
        <v>467</v>
      </c>
      <c r="L518" s="25">
        <v>0</v>
      </c>
      <c r="M518" s="25">
        <v>0</v>
      </c>
      <c r="N518" s="25">
        <v>0</v>
      </c>
      <c r="O518" s="25">
        <v>0</v>
      </c>
    </row>
    <row r="519" spans="8:15" x14ac:dyDescent="0.25">
      <c r="H519" s="21" t="s">
        <v>36</v>
      </c>
      <c r="I519" s="24">
        <v>610832</v>
      </c>
      <c r="J519" s="20">
        <v>41141</v>
      </c>
      <c r="K519" s="25">
        <v>477</v>
      </c>
      <c r="L519" s="25">
        <v>20</v>
      </c>
      <c r="M519" s="25">
        <v>6557</v>
      </c>
      <c r="N519" s="25">
        <v>0</v>
      </c>
      <c r="O519" s="25">
        <v>15</v>
      </c>
    </row>
    <row r="520" spans="8:15" x14ac:dyDescent="0.25">
      <c r="H520" s="21" t="s">
        <v>36</v>
      </c>
      <c r="I520" s="24">
        <v>610832</v>
      </c>
      <c r="J520" s="20">
        <v>41141</v>
      </c>
      <c r="K520" s="25">
        <v>478</v>
      </c>
      <c r="L520" s="25">
        <v>2</v>
      </c>
      <c r="M520" s="25">
        <v>224</v>
      </c>
      <c r="N520" s="25">
        <v>0</v>
      </c>
      <c r="O520" s="25">
        <v>0</v>
      </c>
    </row>
    <row r="521" spans="8:15" x14ac:dyDescent="0.25">
      <c r="H521" s="21" t="s">
        <v>36</v>
      </c>
      <c r="I521" s="24">
        <v>610832</v>
      </c>
      <c r="J521" s="20">
        <v>41141</v>
      </c>
      <c r="K521" s="25">
        <v>480</v>
      </c>
      <c r="L521" s="25">
        <v>4</v>
      </c>
      <c r="M521" s="25">
        <v>802</v>
      </c>
      <c r="N521" s="25">
        <v>0</v>
      </c>
      <c r="O521" s="25">
        <v>0</v>
      </c>
    </row>
    <row r="522" spans="8:15" x14ac:dyDescent="0.25">
      <c r="H522" s="21" t="s">
        <v>36</v>
      </c>
      <c r="I522" s="24">
        <v>610832</v>
      </c>
      <c r="J522" s="20">
        <v>41141</v>
      </c>
      <c r="K522" s="25">
        <v>481</v>
      </c>
      <c r="L522" s="25">
        <v>0</v>
      </c>
      <c r="M522" s="25">
        <v>0</v>
      </c>
      <c r="N522" s="25">
        <v>0</v>
      </c>
      <c r="O522" s="25">
        <v>0</v>
      </c>
    </row>
    <row r="523" spans="8:15" x14ac:dyDescent="0.25">
      <c r="H523" s="21" t="s">
        <v>36</v>
      </c>
      <c r="I523" s="24">
        <v>610832</v>
      </c>
      <c r="J523" s="20">
        <v>41141</v>
      </c>
      <c r="K523" s="25">
        <v>482</v>
      </c>
      <c r="L523" s="25">
        <v>6</v>
      </c>
      <c r="M523" s="25">
        <v>2185</v>
      </c>
      <c r="N523" s="25">
        <v>0</v>
      </c>
      <c r="O523" s="25">
        <v>6</v>
      </c>
    </row>
    <row r="524" spans="8:15" x14ac:dyDescent="0.25">
      <c r="H524" s="21" t="s">
        <v>36</v>
      </c>
      <c r="I524" s="24">
        <v>610832</v>
      </c>
      <c r="J524" s="20">
        <v>41141</v>
      </c>
      <c r="K524" s="25">
        <v>790</v>
      </c>
      <c r="L524" s="25">
        <v>0</v>
      </c>
      <c r="M524" s="25">
        <v>0</v>
      </c>
      <c r="N524" s="25">
        <v>0</v>
      </c>
      <c r="O524" s="25">
        <v>0</v>
      </c>
    </row>
    <row r="525" spans="8:15" x14ac:dyDescent="0.25">
      <c r="H525" s="21" t="s">
        <v>36</v>
      </c>
      <c r="I525" s="24">
        <v>610832</v>
      </c>
      <c r="J525" s="20">
        <v>41142</v>
      </c>
      <c r="K525" s="25">
        <v>85</v>
      </c>
      <c r="L525" s="25">
        <v>0</v>
      </c>
      <c r="M525" s="25">
        <v>0</v>
      </c>
      <c r="N525" s="25">
        <v>0</v>
      </c>
      <c r="O525" s="25">
        <v>0</v>
      </c>
    </row>
    <row r="526" spans="8:15" x14ac:dyDescent="0.25">
      <c r="H526" s="21" t="s">
        <v>36</v>
      </c>
      <c r="I526" s="24">
        <v>610832</v>
      </c>
      <c r="J526" s="20">
        <v>41142</v>
      </c>
      <c r="K526" s="25">
        <v>465</v>
      </c>
      <c r="L526" s="25">
        <v>0</v>
      </c>
      <c r="M526" s="25">
        <v>0</v>
      </c>
      <c r="N526" s="25">
        <v>0</v>
      </c>
      <c r="O526" s="25">
        <v>0</v>
      </c>
    </row>
    <row r="527" spans="8:15" x14ac:dyDescent="0.25">
      <c r="H527" s="21" t="s">
        <v>36</v>
      </c>
      <c r="I527" s="24">
        <v>610832</v>
      </c>
      <c r="J527" s="20">
        <v>41142</v>
      </c>
      <c r="K527" s="25">
        <v>466</v>
      </c>
      <c r="L527" s="25">
        <v>26</v>
      </c>
      <c r="M527" s="25">
        <v>7562</v>
      </c>
      <c r="N527" s="25">
        <v>2</v>
      </c>
      <c r="O527" s="25">
        <v>25</v>
      </c>
    </row>
    <row r="528" spans="8:15" x14ac:dyDescent="0.25">
      <c r="H528" s="21" t="s">
        <v>36</v>
      </c>
      <c r="I528" s="24">
        <v>610832</v>
      </c>
      <c r="J528" s="20">
        <v>41142</v>
      </c>
      <c r="K528" s="25">
        <v>467</v>
      </c>
      <c r="L528" s="25">
        <v>0</v>
      </c>
      <c r="M528" s="25">
        <v>0</v>
      </c>
      <c r="N528" s="25">
        <v>0</v>
      </c>
      <c r="O528" s="25">
        <v>0</v>
      </c>
    </row>
    <row r="529" spans="8:15" x14ac:dyDescent="0.25">
      <c r="H529" s="21" t="s">
        <v>36</v>
      </c>
      <c r="I529" s="24">
        <v>610832</v>
      </c>
      <c r="J529" s="20">
        <v>41142</v>
      </c>
      <c r="K529" s="25">
        <v>477</v>
      </c>
      <c r="L529" s="25">
        <v>13</v>
      </c>
      <c r="M529" s="25">
        <v>4526</v>
      </c>
      <c r="N529" s="25">
        <v>0</v>
      </c>
      <c r="O529" s="25">
        <v>14</v>
      </c>
    </row>
    <row r="530" spans="8:15" x14ac:dyDescent="0.25">
      <c r="H530" s="21" t="s">
        <v>36</v>
      </c>
      <c r="I530" s="24">
        <v>610832</v>
      </c>
      <c r="J530" s="20">
        <v>41142</v>
      </c>
      <c r="K530" s="25">
        <v>478</v>
      </c>
      <c r="L530" s="25">
        <v>4</v>
      </c>
      <c r="M530" s="25">
        <v>2635</v>
      </c>
      <c r="N530" s="25">
        <v>0</v>
      </c>
      <c r="O530" s="25">
        <v>30</v>
      </c>
    </row>
    <row r="531" spans="8:15" x14ac:dyDescent="0.25">
      <c r="H531" s="21" t="s">
        <v>36</v>
      </c>
      <c r="I531" s="24">
        <v>610832</v>
      </c>
      <c r="J531" s="20">
        <v>41142</v>
      </c>
      <c r="K531" s="25">
        <v>480</v>
      </c>
      <c r="L531" s="25">
        <v>1</v>
      </c>
      <c r="M531" s="25">
        <v>299</v>
      </c>
      <c r="N531" s="25">
        <v>0</v>
      </c>
      <c r="O531" s="25">
        <v>0</v>
      </c>
    </row>
    <row r="532" spans="8:15" x14ac:dyDescent="0.25">
      <c r="H532" s="21" t="s">
        <v>36</v>
      </c>
      <c r="I532" s="24">
        <v>610832</v>
      </c>
      <c r="J532" s="20">
        <v>41142</v>
      </c>
      <c r="K532" s="25">
        <v>481</v>
      </c>
      <c r="L532" s="25">
        <v>0</v>
      </c>
      <c r="M532" s="25">
        <v>0</v>
      </c>
      <c r="N532" s="25">
        <v>0</v>
      </c>
      <c r="O532" s="25">
        <v>0</v>
      </c>
    </row>
    <row r="533" spans="8:15" x14ac:dyDescent="0.25">
      <c r="H533" s="21" t="s">
        <v>36</v>
      </c>
      <c r="I533" s="24">
        <v>610832</v>
      </c>
      <c r="J533" s="20">
        <v>41142</v>
      </c>
      <c r="K533" s="25">
        <v>482</v>
      </c>
      <c r="L533" s="25">
        <v>10</v>
      </c>
      <c r="M533" s="25">
        <v>4061</v>
      </c>
      <c r="N533" s="25">
        <v>0</v>
      </c>
      <c r="O533" s="25">
        <v>14</v>
      </c>
    </row>
    <row r="534" spans="8:15" x14ac:dyDescent="0.25">
      <c r="H534" s="21" t="s">
        <v>36</v>
      </c>
      <c r="I534" s="24">
        <v>610832</v>
      </c>
      <c r="J534" s="20">
        <v>41142</v>
      </c>
      <c r="K534" s="25">
        <v>790</v>
      </c>
      <c r="L534" s="25">
        <v>0</v>
      </c>
      <c r="M534" s="25">
        <v>0</v>
      </c>
      <c r="N534" s="25">
        <v>0</v>
      </c>
      <c r="O534" s="25">
        <v>0</v>
      </c>
    </row>
    <row r="535" spans="8:15" x14ac:dyDescent="0.25">
      <c r="H535" s="21" t="s">
        <v>36</v>
      </c>
      <c r="I535" s="24">
        <v>610832</v>
      </c>
      <c r="J535" s="20">
        <v>41143</v>
      </c>
      <c r="K535" s="25">
        <v>85</v>
      </c>
      <c r="L535" s="25">
        <v>0</v>
      </c>
      <c r="M535" s="25">
        <v>0</v>
      </c>
      <c r="N535" s="25">
        <v>0</v>
      </c>
      <c r="O535" s="25">
        <v>0</v>
      </c>
    </row>
    <row r="536" spans="8:15" x14ac:dyDescent="0.25">
      <c r="H536" s="21" t="s">
        <v>36</v>
      </c>
      <c r="I536" s="24">
        <v>610832</v>
      </c>
      <c r="J536" s="20">
        <v>41143</v>
      </c>
      <c r="K536" s="25">
        <v>465</v>
      </c>
      <c r="L536" s="25">
        <v>0</v>
      </c>
      <c r="M536" s="25">
        <v>0</v>
      </c>
      <c r="N536" s="25">
        <v>0</v>
      </c>
      <c r="O536" s="25">
        <v>0</v>
      </c>
    </row>
    <row r="537" spans="8:15" x14ac:dyDescent="0.25">
      <c r="H537" s="21" t="s">
        <v>36</v>
      </c>
      <c r="I537" s="24">
        <v>610832</v>
      </c>
      <c r="J537" s="20">
        <v>41143</v>
      </c>
      <c r="K537" s="25">
        <v>466</v>
      </c>
      <c r="L537" s="25">
        <v>19</v>
      </c>
      <c r="M537" s="25">
        <v>6395</v>
      </c>
      <c r="N537" s="25">
        <v>4</v>
      </c>
      <c r="O537" s="25">
        <v>23</v>
      </c>
    </row>
    <row r="538" spans="8:15" x14ac:dyDescent="0.25">
      <c r="H538" s="21" t="s">
        <v>36</v>
      </c>
      <c r="I538" s="24">
        <v>610832</v>
      </c>
      <c r="J538" s="20">
        <v>41143</v>
      </c>
      <c r="K538" s="25">
        <v>477</v>
      </c>
      <c r="L538" s="25">
        <v>26</v>
      </c>
      <c r="M538" s="25">
        <v>7955</v>
      </c>
      <c r="N538" s="25">
        <v>0</v>
      </c>
      <c r="O538" s="25">
        <v>97</v>
      </c>
    </row>
    <row r="539" spans="8:15" x14ac:dyDescent="0.25">
      <c r="H539" s="21" t="s">
        <v>36</v>
      </c>
      <c r="I539" s="24">
        <v>610832</v>
      </c>
      <c r="J539" s="20">
        <v>41143</v>
      </c>
      <c r="K539" s="25">
        <v>478</v>
      </c>
      <c r="L539" s="25">
        <v>4</v>
      </c>
      <c r="M539" s="25">
        <v>841</v>
      </c>
      <c r="N539" s="25">
        <v>1</v>
      </c>
      <c r="O539" s="25">
        <v>6</v>
      </c>
    </row>
    <row r="540" spans="8:15" x14ac:dyDescent="0.25">
      <c r="H540" s="21" t="s">
        <v>36</v>
      </c>
      <c r="I540" s="24">
        <v>610832</v>
      </c>
      <c r="J540" s="20">
        <v>41143</v>
      </c>
      <c r="K540" s="25">
        <v>480</v>
      </c>
      <c r="L540" s="25">
        <v>6</v>
      </c>
      <c r="M540" s="25">
        <v>1810</v>
      </c>
      <c r="N540" s="25">
        <v>0</v>
      </c>
      <c r="O540" s="25">
        <v>0</v>
      </c>
    </row>
    <row r="541" spans="8:15" x14ac:dyDescent="0.25">
      <c r="H541" s="21" t="s">
        <v>36</v>
      </c>
      <c r="I541" s="24">
        <v>610832</v>
      </c>
      <c r="J541" s="20">
        <v>41143</v>
      </c>
      <c r="K541" s="25">
        <v>481</v>
      </c>
      <c r="L541" s="25">
        <v>0</v>
      </c>
      <c r="M541" s="25">
        <v>0</v>
      </c>
      <c r="N541" s="25">
        <v>0</v>
      </c>
      <c r="O541" s="25">
        <v>0</v>
      </c>
    </row>
    <row r="542" spans="8:15" x14ac:dyDescent="0.25">
      <c r="H542" s="21" t="s">
        <v>36</v>
      </c>
      <c r="I542" s="24">
        <v>610832</v>
      </c>
      <c r="J542" s="20">
        <v>41143</v>
      </c>
      <c r="K542" s="25">
        <v>482</v>
      </c>
      <c r="L542" s="25">
        <v>6</v>
      </c>
      <c r="M542" s="25">
        <v>1828</v>
      </c>
      <c r="N542" s="25">
        <v>0</v>
      </c>
      <c r="O542" s="25">
        <v>0</v>
      </c>
    </row>
    <row r="543" spans="8:15" x14ac:dyDescent="0.25">
      <c r="H543" s="21" t="s">
        <v>36</v>
      </c>
      <c r="I543" s="24">
        <v>610832</v>
      </c>
      <c r="J543" s="20">
        <v>41143</v>
      </c>
      <c r="K543" s="25">
        <v>790</v>
      </c>
      <c r="L543" s="25">
        <v>0</v>
      </c>
      <c r="M543" s="25">
        <v>0</v>
      </c>
      <c r="N543" s="25">
        <v>0</v>
      </c>
      <c r="O543" s="25">
        <v>0</v>
      </c>
    </row>
    <row r="544" spans="8:15" x14ac:dyDescent="0.25">
      <c r="H544" s="21" t="s">
        <v>36</v>
      </c>
      <c r="I544" s="24">
        <v>610832</v>
      </c>
      <c r="J544" s="20">
        <v>41144</v>
      </c>
      <c r="K544" s="25">
        <v>85</v>
      </c>
      <c r="L544" s="25">
        <v>0</v>
      </c>
      <c r="M544" s="25">
        <v>0</v>
      </c>
      <c r="N544" s="25">
        <v>0</v>
      </c>
      <c r="O544" s="25">
        <v>0</v>
      </c>
    </row>
    <row r="545" spans="8:15" x14ac:dyDescent="0.25">
      <c r="H545" s="21" t="s">
        <v>36</v>
      </c>
      <c r="I545" s="24">
        <v>610832</v>
      </c>
      <c r="J545" s="20">
        <v>41144</v>
      </c>
      <c r="K545" s="25">
        <v>465</v>
      </c>
      <c r="L545" s="25">
        <v>0</v>
      </c>
      <c r="M545" s="25">
        <v>0</v>
      </c>
      <c r="N545" s="25">
        <v>0</v>
      </c>
      <c r="O545" s="25">
        <v>0</v>
      </c>
    </row>
    <row r="546" spans="8:15" x14ac:dyDescent="0.25">
      <c r="H546" s="21" t="s">
        <v>36</v>
      </c>
      <c r="I546" s="24">
        <v>610832</v>
      </c>
      <c r="J546" s="20">
        <v>41144</v>
      </c>
      <c r="K546" s="25">
        <v>466</v>
      </c>
      <c r="L546" s="25">
        <v>23</v>
      </c>
      <c r="M546" s="25">
        <v>8141</v>
      </c>
      <c r="N546" s="25">
        <v>0</v>
      </c>
      <c r="O546" s="25">
        <v>84</v>
      </c>
    </row>
    <row r="547" spans="8:15" x14ac:dyDescent="0.25">
      <c r="H547" s="21" t="s">
        <v>36</v>
      </c>
      <c r="I547" s="24">
        <v>610832</v>
      </c>
      <c r="J547" s="20">
        <v>41144</v>
      </c>
      <c r="K547" s="25">
        <v>477</v>
      </c>
      <c r="L547" s="25">
        <v>15</v>
      </c>
      <c r="M547" s="25">
        <v>4750</v>
      </c>
      <c r="N547" s="25">
        <v>6</v>
      </c>
      <c r="O547" s="25">
        <v>0</v>
      </c>
    </row>
    <row r="548" spans="8:15" x14ac:dyDescent="0.25">
      <c r="H548" s="21" t="s">
        <v>36</v>
      </c>
      <c r="I548" s="24">
        <v>610832</v>
      </c>
      <c r="J548" s="20">
        <v>41144</v>
      </c>
      <c r="K548" s="25">
        <v>478</v>
      </c>
      <c r="L548" s="25">
        <v>2</v>
      </c>
      <c r="M548" s="25">
        <v>1507</v>
      </c>
      <c r="N548" s="25">
        <v>0</v>
      </c>
      <c r="O548" s="25">
        <v>0</v>
      </c>
    </row>
    <row r="549" spans="8:15" x14ac:dyDescent="0.25">
      <c r="H549" s="21" t="s">
        <v>36</v>
      </c>
      <c r="I549" s="24">
        <v>610832</v>
      </c>
      <c r="J549" s="20">
        <v>41144</v>
      </c>
      <c r="K549" s="25">
        <v>480</v>
      </c>
      <c r="L549" s="25">
        <v>3</v>
      </c>
      <c r="M549" s="25">
        <v>2042</v>
      </c>
      <c r="N549" s="25">
        <v>3</v>
      </c>
      <c r="O549" s="25">
        <v>0</v>
      </c>
    </row>
    <row r="550" spans="8:15" x14ac:dyDescent="0.25">
      <c r="H550" s="21" t="s">
        <v>36</v>
      </c>
      <c r="I550" s="24">
        <v>610832</v>
      </c>
      <c r="J550" s="20">
        <v>41144</v>
      </c>
      <c r="K550" s="25">
        <v>481</v>
      </c>
      <c r="L550" s="25">
        <v>0</v>
      </c>
      <c r="M550" s="25">
        <v>0</v>
      </c>
      <c r="N550" s="25">
        <v>0</v>
      </c>
      <c r="O550" s="25">
        <v>0</v>
      </c>
    </row>
    <row r="551" spans="8:15" x14ac:dyDescent="0.25">
      <c r="H551" s="21" t="s">
        <v>36</v>
      </c>
      <c r="I551" s="24">
        <v>610832</v>
      </c>
      <c r="J551" s="20">
        <v>41144</v>
      </c>
      <c r="K551" s="25">
        <v>482</v>
      </c>
      <c r="L551" s="25">
        <v>7</v>
      </c>
      <c r="M551" s="25">
        <v>2205</v>
      </c>
      <c r="N551" s="25">
        <v>1</v>
      </c>
      <c r="O551" s="25">
        <v>36</v>
      </c>
    </row>
    <row r="552" spans="8:15" x14ac:dyDescent="0.25">
      <c r="H552" s="21" t="s">
        <v>36</v>
      </c>
      <c r="I552" s="24">
        <v>610832</v>
      </c>
      <c r="J552" s="20">
        <v>41144</v>
      </c>
      <c r="K552" s="25">
        <v>790</v>
      </c>
      <c r="L552" s="25">
        <v>0</v>
      </c>
      <c r="M552" s="25">
        <v>0</v>
      </c>
      <c r="N552" s="25">
        <v>0</v>
      </c>
      <c r="O552" s="25">
        <v>0</v>
      </c>
    </row>
    <row r="553" spans="8:15" x14ac:dyDescent="0.25">
      <c r="H553" s="21" t="s">
        <v>36</v>
      </c>
      <c r="I553" s="24">
        <v>610832</v>
      </c>
      <c r="J553" s="20">
        <v>41145</v>
      </c>
      <c r="K553" s="25">
        <v>85</v>
      </c>
      <c r="L553" s="25">
        <v>0</v>
      </c>
      <c r="M553" s="25">
        <v>0</v>
      </c>
      <c r="N553" s="25">
        <v>0</v>
      </c>
      <c r="O553" s="25">
        <v>0</v>
      </c>
    </row>
    <row r="554" spans="8:15" x14ac:dyDescent="0.25">
      <c r="H554" s="21" t="s">
        <v>36</v>
      </c>
      <c r="I554" s="24">
        <v>610832</v>
      </c>
      <c r="J554" s="20">
        <v>41145</v>
      </c>
      <c r="K554" s="25">
        <v>465</v>
      </c>
      <c r="L554" s="25">
        <v>0</v>
      </c>
      <c r="M554" s="25">
        <v>0</v>
      </c>
      <c r="N554" s="25">
        <v>0</v>
      </c>
      <c r="O554" s="25">
        <v>0</v>
      </c>
    </row>
    <row r="555" spans="8:15" x14ac:dyDescent="0.25">
      <c r="H555" s="21" t="s">
        <v>36</v>
      </c>
      <c r="I555" s="24">
        <v>610832</v>
      </c>
      <c r="J555" s="20">
        <v>41145</v>
      </c>
      <c r="K555" s="25">
        <v>466</v>
      </c>
      <c r="L555" s="25">
        <v>18</v>
      </c>
      <c r="M555" s="25">
        <v>5726</v>
      </c>
      <c r="N555" s="25">
        <v>0</v>
      </c>
      <c r="O555" s="25">
        <v>16</v>
      </c>
    </row>
    <row r="556" spans="8:15" x14ac:dyDescent="0.25">
      <c r="H556" s="21" t="s">
        <v>36</v>
      </c>
      <c r="I556" s="24">
        <v>610832</v>
      </c>
      <c r="J556" s="20">
        <v>41145</v>
      </c>
      <c r="K556" s="25">
        <v>467</v>
      </c>
      <c r="L556" s="25">
        <v>0</v>
      </c>
      <c r="M556" s="25">
        <v>0</v>
      </c>
      <c r="N556" s="25">
        <v>0</v>
      </c>
      <c r="O556" s="25">
        <v>0</v>
      </c>
    </row>
    <row r="557" spans="8:15" x14ac:dyDescent="0.25">
      <c r="H557" s="21" t="s">
        <v>36</v>
      </c>
      <c r="I557" s="24">
        <v>610832</v>
      </c>
      <c r="J557" s="20">
        <v>41145</v>
      </c>
      <c r="K557" s="25">
        <v>477</v>
      </c>
      <c r="L557" s="25">
        <v>10</v>
      </c>
      <c r="M557" s="25">
        <v>5539</v>
      </c>
      <c r="N557" s="25">
        <v>0</v>
      </c>
      <c r="O557" s="25">
        <v>17</v>
      </c>
    </row>
    <row r="558" spans="8:15" x14ac:dyDescent="0.25">
      <c r="H558" s="21" t="s">
        <v>36</v>
      </c>
      <c r="I558" s="24">
        <v>610832</v>
      </c>
      <c r="J558" s="20">
        <v>41145</v>
      </c>
      <c r="K558" s="25">
        <v>478</v>
      </c>
      <c r="L558" s="25">
        <v>0</v>
      </c>
      <c r="M558" s="25">
        <v>0</v>
      </c>
      <c r="N558" s="25">
        <v>0</v>
      </c>
      <c r="O558" s="25">
        <v>0</v>
      </c>
    </row>
    <row r="559" spans="8:15" x14ac:dyDescent="0.25">
      <c r="H559" s="21" t="s">
        <v>36</v>
      </c>
      <c r="I559" s="24">
        <v>610832</v>
      </c>
      <c r="J559" s="20">
        <v>41145</v>
      </c>
      <c r="K559" s="25">
        <v>480</v>
      </c>
      <c r="L559" s="25">
        <v>10</v>
      </c>
      <c r="M559" s="25">
        <v>2334</v>
      </c>
      <c r="N559" s="25">
        <v>0</v>
      </c>
      <c r="O559" s="25">
        <v>3</v>
      </c>
    </row>
    <row r="560" spans="8:15" x14ac:dyDescent="0.25">
      <c r="H560" s="21" t="s">
        <v>36</v>
      </c>
      <c r="I560" s="24">
        <v>610832</v>
      </c>
      <c r="J560" s="20">
        <v>41145</v>
      </c>
      <c r="K560" s="25">
        <v>481</v>
      </c>
      <c r="L560" s="25">
        <v>0</v>
      </c>
      <c r="M560" s="25">
        <v>0</v>
      </c>
      <c r="N560" s="25">
        <v>0</v>
      </c>
      <c r="O560" s="25">
        <v>0</v>
      </c>
    </row>
    <row r="561" spans="8:15" x14ac:dyDescent="0.25">
      <c r="H561" s="21" t="s">
        <v>36</v>
      </c>
      <c r="I561" s="24">
        <v>610832</v>
      </c>
      <c r="J561" s="20">
        <v>41145</v>
      </c>
      <c r="K561" s="25">
        <v>482</v>
      </c>
      <c r="L561" s="25">
        <v>10</v>
      </c>
      <c r="M561" s="25">
        <v>3138</v>
      </c>
      <c r="N561" s="25">
        <v>2</v>
      </c>
      <c r="O561" s="25">
        <v>6</v>
      </c>
    </row>
    <row r="562" spans="8:15" x14ac:dyDescent="0.25">
      <c r="H562" s="21" t="s">
        <v>36</v>
      </c>
      <c r="I562" s="24">
        <v>610832</v>
      </c>
      <c r="J562" s="20">
        <v>41145</v>
      </c>
      <c r="K562" s="25">
        <v>790</v>
      </c>
      <c r="L562" s="25">
        <v>0</v>
      </c>
      <c r="M562" s="25">
        <v>0</v>
      </c>
      <c r="N562" s="25">
        <v>0</v>
      </c>
      <c r="O562" s="25">
        <v>0</v>
      </c>
    </row>
    <row r="563" spans="8:15" x14ac:dyDescent="0.25">
      <c r="H563" s="21" t="s">
        <v>36</v>
      </c>
      <c r="I563" s="24">
        <v>610832</v>
      </c>
      <c r="J563" s="20">
        <v>41146</v>
      </c>
      <c r="K563" s="25">
        <v>85</v>
      </c>
      <c r="L563" s="25">
        <v>0</v>
      </c>
      <c r="M563" s="25">
        <v>0</v>
      </c>
      <c r="N563" s="25">
        <v>0</v>
      </c>
      <c r="O563" s="25">
        <v>0</v>
      </c>
    </row>
    <row r="564" spans="8:15" x14ac:dyDescent="0.25">
      <c r="H564" s="21" t="s">
        <v>36</v>
      </c>
      <c r="I564" s="24">
        <v>610832</v>
      </c>
      <c r="J564" s="20">
        <v>41146</v>
      </c>
      <c r="K564" s="25">
        <v>465</v>
      </c>
      <c r="L564" s="25">
        <v>0</v>
      </c>
      <c r="M564" s="25">
        <v>0</v>
      </c>
      <c r="N564" s="25">
        <v>0</v>
      </c>
      <c r="O564" s="25">
        <v>0</v>
      </c>
    </row>
    <row r="565" spans="8:15" x14ac:dyDescent="0.25">
      <c r="H565" s="21" t="s">
        <v>36</v>
      </c>
      <c r="I565" s="24">
        <v>610832</v>
      </c>
      <c r="J565" s="20">
        <v>41146</v>
      </c>
      <c r="K565" s="25">
        <v>466</v>
      </c>
      <c r="L565" s="25">
        <v>4</v>
      </c>
      <c r="M565" s="25">
        <v>908</v>
      </c>
      <c r="N565" s="25">
        <v>0</v>
      </c>
      <c r="O565" s="25">
        <v>0</v>
      </c>
    </row>
    <row r="566" spans="8:15" x14ac:dyDescent="0.25">
      <c r="H566" s="21" t="s">
        <v>36</v>
      </c>
      <c r="I566" s="24">
        <v>610832</v>
      </c>
      <c r="J566" s="20">
        <v>41146</v>
      </c>
      <c r="K566" s="25">
        <v>467</v>
      </c>
      <c r="L566" s="25">
        <v>0</v>
      </c>
      <c r="M566" s="25">
        <v>0</v>
      </c>
      <c r="N566" s="25">
        <v>0</v>
      </c>
      <c r="O566" s="25">
        <v>0</v>
      </c>
    </row>
    <row r="567" spans="8:15" x14ac:dyDescent="0.25">
      <c r="H567" s="21" t="s">
        <v>36</v>
      </c>
      <c r="I567" s="24">
        <v>610832</v>
      </c>
      <c r="J567" s="20">
        <v>41146</v>
      </c>
      <c r="K567" s="25">
        <v>477</v>
      </c>
      <c r="L567" s="25">
        <v>25</v>
      </c>
      <c r="M567" s="25">
        <v>7604</v>
      </c>
      <c r="N567" s="25">
        <v>2</v>
      </c>
      <c r="O567" s="25">
        <v>0</v>
      </c>
    </row>
    <row r="568" spans="8:15" x14ac:dyDescent="0.25">
      <c r="H568" s="21" t="s">
        <v>36</v>
      </c>
      <c r="I568" s="24">
        <v>610832</v>
      </c>
      <c r="J568" s="20">
        <v>41146</v>
      </c>
      <c r="K568" s="25">
        <v>478</v>
      </c>
      <c r="L568" s="25">
        <v>4</v>
      </c>
      <c r="M568" s="25">
        <v>1628</v>
      </c>
      <c r="N568" s="25">
        <v>0</v>
      </c>
      <c r="O568" s="25">
        <v>0</v>
      </c>
    </row>
    <row r="569" spans="8:15" x14ac:dyDescent="0.25">
      <c r="H569" s="21" t="s">
        <v>36</v>
      </c>
      <c r="I569" s="24">
        <v>610832</v>
      </c>
      <c r="J569" s="20">
        <v>41146</v>
      </c>
      <c r="K569" s="25">
        <v>480</v>
      </c>
      <c r="L569" s="25">
        <v>8</v>
      </c>
      <c r="M569" s="25">
        <v>1571</v>
      </c>
      <c r="N569" s="25">
        <v>24</v>
      </c>
      <c r="O569" s="25">
        <v>27</v>
      </c>
    </row>
    <row r="570" spans="8:15" x14ac:dyDescent="0.25">
      <c r="H570" s="21" t="s">
        <v>36</v>
      </c>
      <c r="I570" s="24">
        <v>610832</v>
      </c>
      <c r="J570" s="20">
        <v>41146</v>
      </c>
      <c r="K570" s="25">
        <v>481</v>
      </c>
      <c r="L570" s="25">
        <v>0</v>
      </c>
      <c r="M570" s="25">
        <v>0</v>
      </c>
      <c r="N570" s="25">
        <v>0</v>
      </c>
      <c r="O570" s="25">
        <v>0</v>
      </c>
    </row>
    <row r="571" spans="8:15" x14ac:dyDescent="0.25">
      <c r="H571" s="21" t="s">
        <v>36</v>
      </c>
      <c r="I571" s="24">
        <v>610832</v>
      </c>
      <c r="J571" s="20">
        <v>41146</v>
      </c>
      <c r="K571" s="25">
        <v>482</v>
      </c>
      <c r="L571" s="25">
        <v>7</v>
      </c>
      <c r="M571" s="25">
        <v>1844</v>
      </c>
      <c r="N571" s="25">
        <v>4</v>
      </c>
      <c r="O571" s="25">
        <v>5</v>
      </c>
    </row>
    <row r="572" spans="8:15" x14ac:dyDescent="0.25">
      <c r="H572" s="21" t="s">
        <v>36</v>
      </c>
      <c r="I572" s="24">
        <v>610832</v>
      </c>
      <c r="J572" s="20">
        <v>41146</v>
      </c>
      <c r="K572" s="25">
        <v>790</v>
      </c>
      <c r="L572" s="25">
        <v>0</v>
      </c>
      <c r="M572" s="25">
        <v>0</v>
      </c>
      <c r="N572" s="25">
        <v>0</v>
      </c>
      <c r="O572" s="25">
        <v>0</v>
      </c>
    </row>
    <row r="573" spans="8:15" x14ac:dyDescent="0.25">
      <c r="H573" s="21" t="s">
        <v>36</v>
      </c>
      <c r="I573" s="24">
        <v>610832</v>
      </c>
      <c r="J573" s="20">
        <v>41148</v>
      </c>
      <c r="K573" s="25">
        <v>85</v>
      </c>
      <c r="L573" s="25">
        <v>0</v>
      </c>
      <c r="M573" s="25">
        <v>0</v>
      </c>
      <c r="N573" s="25">
        <v>0</v>
      </c>
      <c r="O573" s="25">
        <v>0</v>
      </c>
    </row>
    <row r="574" spans="8:15" x14ac:dyDescent="0.25">
      <c r="H574" s="21" t="s">
        <v>36</v>
      </c>
      <c r="I574" s="24">
        <v>610832</v>
      </c>
      <c r="J574" s="20">
        <v>41148</v>
      </c>
      <c r="K574" s="25">
        <v>465</v>
      </c>
      <c r="L574" s="25">
        <v>2</v>
      </c>
      <c r="M574" s="25">
        <v>532</v>
      </c>
      <c r="N574" s="25">
        <v>0</v>
      </c>
      <c r="O574" s="25">
        <v>0</v>
      </c>
    </row>
    <row r="575" spans="8:15" x14ac:dyDescent="0.25">
      <c r="H575" s="21" t="s">
        <v>36</v>
      </c>
      <c r="I575" s="24">
        <v>610832</v>
      </c>
      <c r="J575" s="20">
        <v>41148</v>
      </c>
      <c r="K575" s="25">
        <v>466</v>
      </c>
      <c r="L575" s="25">
        <v>6</v>
      </c>
      <c r="M575" s="25">
        <v>1437</v>
      </c>
      <c r="N575" s="25">
        <v>3</v>
      </c>
      <c r="O575" s="25">
        <v>0</v>
      </c>
    </row>
    <row r="576" spans="8:15" x14ac:dyDescent="0.25">
      <c r="H576" s="21" t="s">
        <v>36</v>
      </c>
      <c r="I576" s="24">
        <v>610832</v>
      </c>
      <c r="J576" s="20">
        <v>41148</v>
      </c>
      <c r="K576" s="25">
        <v>467</v>
      </c>
      <c r="L576" s="25">
        <v>0</v>
      </c>
      <c r="M576" s="25">
        <v>0</v>
      </c>
      <c r="N576" s="25">
        <v>0</v>
      </c>
      <c r="O576" s="25">
        <v>0</v>
      </c>
    </row>
    <row r="577" spans="8:15" x14ac:dyDescent="0.25">
      <c r="H577" s="21" t="s">
        <v>36</v>
      </c>
      <c r="I577" s="24">
        <v>610832</v>
      </c>
      <c r="J577" s="20">
        <v>41148</v>
      </c>
      <c r="K577" s="25">
        <v>477</v>
      </c>
      <c r="L577" s="25">
        <v>2</v>
      </c>
      <c r="M577" s="25">
        <v>1670</v>
      </c>
      <c r="N577" s="25">
        <v>0</v>
      </c>
      <c r="O577" s="25">
        <v>0</v>
      </c>
    </row>
    <row r="578" spans="8:15" x14ac:dyDescent="0.25">
      <c r="H578" s="21" t="s">
        <v>36</v>
      </c>
      <c r="I578" s="24">
        <v>610832</v>
      </c>
      <c r="J578" s="20">
        <v>41148</v>
      </c>
      <c r="K578" s="25">
        <v>478</v>
      </c>
      <c r="L578" s="25">
        <v>41</v>
      </c>
      <c r="M578" s="25">
        <v>14683</v>
      </c>
      <c r="N578" s="25">
        <v>6</v>
      </c>
      <c r="O578" s="25">
        <v>64</v>
      </c>
    </row>
    <row r="579" spans="8:15" x14ac:dyDescent="0.25">
      <c r="H579" s="21" t="s">
        <v>36</v>
      </c>
      <c r="I579" s="24">
        <v>610832</v>
      </c>
      <c r="J579" s="20">
        <v>41148</v>
      </c>
      <c r="K579" s="25">
        <v>480</v>
      </c>
      <c r="L579" s="25">
        <v>1</v>
      </c>
      <c r="M579" s="25">
        <v>477</v>
      </c>
      <c r="N579" s="25">
        <v>0</v>
      </c>
      <c r="O579" s="25">
        <v>0</v>
      </c>
    </row>
    <row r="580" spans="8:15" x14ac:dyDescent="0.25">
      <c r="H580" s="21" t="s">
        <v>36</v>
      </c>
      <c r="I580" s="24">
        <v>610832</v>
      </c>
      <c r="J580" s="20">
        <v>41148</v>
      </c>
      <c r="K580" s="25">
        <v>481</v>
      </c>
      <c r="L580" s="25">
        <v>0</v>
      </c>
      <c r="M580" s="25">
        <v>0</v>
      </c>
      <c r="N580" s="25">
        <v>0</v>
      </c>
      <c r="O580" s="25">
        <v>0</v>
      </c>
    </row>
    <row r="581" spans="8:15" x14ac:dyDescent="0.25">
      <c r="H581" s="21" t="s">
        <v>36</v>
      </c>
      <c r="I581" s="24">
        <v>610832</v>
      </c>
      <c r="J581" s="20">
        <v>41148</v>
      </c>
      <c r="K581" s="25">
        <v>790</v>
      </c>
      <c r="L581" s="25">
        <v>0</v>
      </c>
      <c r="M581" s="25">
        <v>0</v>
      </c>
      <c r="N581" s="25">
        <v>0</v>
      </c>
      <c r="O581" s="25">
        <v>0</v>
      </c>
    </row>
    <row r="582" spans="8:15" x14ac:dyDescent="0.25">
      <c r="H582" s="21" t="s">
        <v>36</v>
      </c>
      <c r="I582" s="24">
        <v>610832</v>
      </c>
      <c r="J582" s="20">
        <v>41149</v>
      </c>
      <c r="K582" s="25">
        <v>85</v>
      </c>
      <c r="L582" s="25">
        <v>0</v>
      </c>
      <c r="M582" s="25">
        <v>0</v>
      </c>
      <c r="N582" s="25">
        <v>0</v>
      </c>
      <c r="O582" s="25">
        <v>0</v>
      </c>
    </row>
    <row r="583" spans="8:15" x14ac:dyDescent="0.25">
      <c r="H583" s="21" t="s">
        <v>36</v>
      </c>
      <c r="I583" s="24">
        <v>610832</v>
      </c>
      <c r="J583" s="20">
        <v>41149</v>
      </c>
      <c r="K583" s="25">
        <v>465</v>
      </c>
      <c r="L583" s="25">
        <v>1</v>
      </c>
      <c r="M583" s="25">
        <v>821</v>
      </c>
      <c r="N583" s="25">
        <v>0</v>
      </c>
      <c r="O583" s="25">
        <v>0</v>
      </c>
    </row>
    <row r="584" spans="8:15" x14ac:dyDescent="0.25">
      <c r="H584" s="21" t="s">
        <v>36</v>
      </c>
      <c r="I584" s="24">
        <v>610832</v>
      </c>
      <c r="J584" s="20">
        <v>41149</v>
      </c>
      <c r="K584" s="25">
        <v>466</v>
      </c>
      <c r="L584" s="25">
        <v>5</v>
      </c>
      <c r="M584" s="25">
        <v>2212</v>
      </c>
      <c r="N584" s="25">
        <v>0</v>
      </c>
      <c r="O584" s="25">
        <v>0</v>
      </c>
    </row>
    <row r="585" spans="8:15" x14ac:dyDescent="0.25">
      <c r="H585" s="21" t="s">
        <v>36</v>
      </c>
      <c r="I585" s="24">
        <v>610832</v>
      </c>
      <c r="J585" s="20">
        <v>41149</v>
      </c>
      <c r="K585" s="25">
        <v>467</v>
      </c>
      <c r="L585" s="25">
        <v>0</v>
      </c>
      <c r="M585" s="25">
        <v>0</v>
      </c>
      <c r="N585" s="25">
        <v>0</v>
      </c>
      <c r="O585" s="25">
        <v>0</v>
      </c>
    </row>
    <row r="586" spans="8:15" x14ac:dyDescent="0.25">
      <c r="H586" s="21" t="s">
        <v>36</v>
      </c>
      <c r="I586" s="24">
        <v>610832</v>
      </c>
      <c r="J586" s="20">
        <v>41149</v>
      </c>
      <c r="K586" s="25">
        <v>477</v>
      </c>
      <c r="L586" s="25">
        <v>8</v>
      </c>
      <c r="M586" s="25">
        <v>1807</v>
      </c>
      <c r="N586" s="25">
        <v>1</v>
      </c>
      <c r="O586" s="25">
        <v>9</v>
      </c>
    </row>
    <row r="587" spans="8:15" x14ac:dyDescent="0.25">
      <c r="H587" s="21" t="s">
        <v>36</v>
      </c>
      <c r="I587" s="24">
        <v>610832</v>
      </c>
      <c r="J587" s="20">
        <v>41149</v>
      </c>
      <c r="K587" s="25">
        <v>478</v>
      </c>
      <c r="L587" s="25">
        <v>33</v>
      </c>
      <c r="M587" s="25">
        <v>10683</v>
      </c>
      <c r="N587" s="25">
        <v>27</v>
      </c>
      <c r="O587" s="25">
        <v>85</v>
      </c>
    </row>
    <row r="588" spans="8:15" x14ac:dyDescent="0.25">
      <c r="H588" s="21" t="s">
        <v>36</v>
      </c>
      <c r="I588" s="24">
        <v>610832</v>
      </c>
      <c r="J588" s="20">
        <v>41149</v>
      </c>
      <c r="K588" s="25">
        <v>480</v>
      </c>
      <c r="L588" s="25">
        <v>6</v>
      </c>
      <c r="M588" s="25">
        <v>1681</v>
      </c>
      <c r="N588" s="25">
        <v>0</v>
      </c>
      <c r="O588" s="25">
        <v>3</v>
      </c>
    </row>
    <row r="589" spans="8:15" x14ac:dyDescent="0.25">
      <c r="H589" s="21" t="s">
        <v>36</v>
      </c>
      <c r="I589" s="24">
        <v>610832</v>
      </c>
      <c r="J589" s="20">
        <v>41149</v>
      </c>
      <c r="K589" s="25">
        <v>481</v>
      </c>
      <c r="L589" s="25">
        <v>0</v>
      </c>
      <c r="M589" s="25">
        <v>0</v>
      </c>
      <c r="N589" s="25">
        <v>0</v>
      </c>
      <c r="O589" s="25">
        <v>0</v>
      </c>
    </row>
    <row r="590" spans="8:15" x14ac:dyDescent="0.25">
      <c r="H590" s="21" t="s">
        <v>36</v>
      </c>
      <c r="I590" s="24">
        <v>610832</v>
      </c>
      <c r="J590" s="20">
        <v>41149</v>
      </c>
      <c r="K590" s="25">
        <v>790</v>
      </c>
      <c r="L590" s="25">
        <v>0</v>
      </c>
      <c r="M590" s="25">
        <v>0</v>
      </c>
      <c r="N590" s="25">
        <v>0</v>
      </c>
      <c r="O590" s="25">
        <v>0</v>
      </c>
    </row>
    <row r="591" spans="8:15" x14ac:dyDescent="0.25">
      <c r="H591" s="21" t="s">
        <v>36</v>
      </c>
      <c r="I591" s="24">
        <v>610832</v>
      </c>
      <c r="J591" s="20">
        <v>41150</v>
      </c>
      <c r="K591" s="25">
        <v>85</v>
      </c>
      <c r="L591" s="25">
        <v>0</v>
      </c>
      <c r="M591" s="25">
        <v>0</v>
      </c>
      <c r="N591" s="25">
        <v>0</v>
      </c>
      <c r="O591" s="25">
        <v>0</v>
      </c>
    </row>
    <row r="592" spans="8:15" x14ac:dyDescent="0.25">
      <c r="H592" s="21" t="s">
        <v>36</v>
      </c>
      <c r="I592" s="24">
        <v>610832</v>
      </c>
      <c r="J592" s="20">
        <v>41150</v>
      </c>
      <c r="K592" s="25">
        <v>465</v>
      </c>
      <c r="L592" s="25">
        <v>0</v>
      </c>
      <c r="M592" s="25">
        <v>0</v>
      </c>
      <c r="N592" s="25">
        <v>0</v>
      </c>
      <c r="O592" s="25">
        <v>0</v>
      </c>
    </row>
    <row r="593" spans="8:15" x14ac:dyDescent="0.25">
      <c r="H593" s="21" t="s">
        <v>36</v>
      </c>
      <c r="I593" s="24">
        <v>610832</v>
      </c>
      <c r="J593" s="20">
        <v>41150</v>
      </c>
      <c r="K593" s="25">
        <v>466</v>
      </c>
      <c r="L593" s="25">
        <v>5</v>
      </c>
      <c r="M593" s="25">
        <v>715</v>
      </c>
      <c r="N593" s="25">
        <v>0</v>
      </c>
      <c r="O593" s="25">
        <v>37</v>
      </c>
    </row>
    <row r="594" spans="8:15" x14ac:dyDescent="0.25">
      <c r="H594" s="21" t="s">
        <v>36</v>
      </c>
      <c r="I594" s="24">
        <v>610832</v>
      </c>
      <c r="J594" s="20">
        <v>41150</v>
      </c>
      <c r="K594" s="25">
        <v>467</v>
      </c>
      <c r="L594" s="25">
        <v>0</v>
      </c>
      <c r="M594" s="25">
        <v>0</v>
      </c>
      <c r="N594" s="25">
        <v>0</v>
      </c>
      <c r="O594" s="25">
        <v>0</v>
      </c>
    </row>
    <row r="595" spans="8:15" x14ac:dyDescent="0.25">
      <c r="H595" s="21" t="s">
        <v>36</v>
      </c>
      <c r="I595" s="24">
        <v>610832</v>
      </c>
      <c r="J595" s="20">
        <v>41150</v>
      </c>
      <c r="K595" s="25">
        <v>477</v>
      </c>
      <c r="L595" s="25">
        <v>6</v>
      </c>
      <c r="M595" s="25">
        <v>1811</v>
      </c>
      <c r="N595" s="25">
        <v>2</v>
      </c>
      <c r="O595" s="25">
        <v>24</v>
      </c>
    </row>
    <row r="596" spans="8:15" x14ac:dyDescent="0.25">
      <c r="H596" s="21" t="s">
        <v>36</v>
      </c>
      <c r="I596" s="24">
        <v>610832</v>
      </c>
      <c r="J596" s="20">
        <v>41150</v>
      </c>
      <c r="K596" s="25">
        <v>478</v>
      </c>
      <c r="L596" s="25">
        <v>49</v>
      </c>
      <c r="M596" s="25">
        <v>15087</v>
      </c>
      <c r="N596" s="25">
        <v>18</v>
      </c>
      <c r="O596" s="25">
        <v>138</v>
      </c>
    </row>
    <row r="597" spans="8:15" x14ac:dyDescent="0.25">
      <c r="H597" s="21" t="s">
        <v>36</v>
      </c>
      <c r="I597" s="24">
        <v>610832</v>
      </c>
      <c r="J597" s="20">
        <v>41150</v>
      </c>
      <c r="K597" s="25">
        <v>480</v>
      </c>
      <c r="L597" s="25">
        <v>3</v>
      </c>
      <c r="M597" s="25">
        <v>417</v>
      </c>
      <c r="N597" s="25">
        <v>0</v>
      </c>
      <c r="O597" s="25">
        <v>0</v>
      </c>
    </row>
    <row r="598" spans="8:15" x14ac:dyDescent="0.25">
      <c r="H598" s="21" t="s">
        <v>36</v>
      </c>
      <c r="I598" s="24">
        <v>610832</v>
      </c>
      <c r="J598" s="20">
        <v>41150</v>
      </c>
      <c r="K598" s="25">
        <v>481</v>
      </c>
      <c r="L598" s="25">
        <v>0</v>
      </c>
      <c r="M598" s="25">
        <v>0</v>
      </c>
      <c r="N598" s="25">
        <v>0</v>
      </c>
      <c r="O598" s="25">
        <v>0</v>
      </c>
    </row>
    <row r="599" spans="8:15" x14ac:dyDescent="0.25">
      <c r="H599" s="21" t="s">
        <v>36</v>
      </c>
      <c r="I599" s="24">
        <v>610832</v>
      </c>
      <c r="J599" s="20">
        <v>41150</v>
      </c>
      <c r="K599" s="25">
        <v>790</v>
      </c>
      <c r="L599" s="25">
        <v>0</v>
      </c>
      <c r="M599" s="25">
        <v>0</v>
      </c>
      <c r="N599" s="25">
        <v>0</v>
      </c>
      <c r="O599" s="25">
        <v>0</v>
      </c>
    </row>
    <row r="600" spans="8:15" x14ac:dyDescent="0.25">
      <c r="H600" s="21" t="s">
        <v>36</v>
      </c>
      <c r="I600" s="24">
        <v>610832</v>
      </c>
      <c r="J600" s="20">
        <v>41151</v>
      </c>
      <c r="K600" s="25">
        <v>85</v>
      </c>
      <c r="L600" s="25">
        <v>0</v>
      </c>
      <c r="M600" s="25">
        <v>0</v>
      </c>
      <c r="N600" s="25">
        <v>0</v>
      </c>
      <c r="O600" s="25">
        <v>0</v>
      </c>
    </row>
    <row r="601" spans="8:15" x14ac:dyDescent="0.25">
      <c r="H601" s="21" t="s">
        <v>36</v>
      </c>
      <c r="I601" s="24">
        <v>610832</v>
      </c>
      <c r="J601" s="20">
        <v>41151</v>
      </c>
      <c r="K601" s="25">
        <v>465</v>
      </c>
      <c r="L601" s="25">
        <v>0</v>
      </c>
      <c r="M601" s="25">
        <v>0</v>
      </c>
      <c r="N601" s="25">
        <v>0</v>
      </c>
      <c r="O601" s="25">
        <v>0</v>
      </c>
    </row>
    <row r="602" spans="8:15" x14ac:dyDescent="0.25">
      <c r="H602" s="21" t="s">
        <v>36</v>
      </c>
      <c r="I602" s="24">
        <v>610832</v>
      </c>
      <c r="J602" s="20">
        <v>41151</v>
      </c>
      <c r="K602" s="25">
        <v>466</v>
      </c>
      <c r="L602" s="25">
        <v>0</v>
      </c>
      <c r="M602" s="25">
        <v>0</v>
      </c>
      <c r="N602" s="25">
        <v>0</v>
      </c>
      <c r="O602" s="25">
        <v>0</v>
      </c>
    </row>
    <row r="603" spans="8:15" x14ac:dyDescent="0.25">
      <c r="H603" s="21" t="s">
        <v>36</v>
      </c>
      <c r="I603" s="24">
        <v>610832</v>
      </c>
      <c r="J603" s="20">
        <v>41151</v>
      </c>
      <c r="K603" s="25">
        <v>467</v>
      </c>
      <c r="L603" s="25">
        <v>0</v>
      </c>
      <c r="M603" s="25">
        <v>0</v>
      </c>
      <c r="N603" s="25">
        <v>0</v>
      </c>
      <c r="O603" s="25">
        <v>0</v>
      </c>
    </row>
    <row r="604" spans="8:15" x14ac:dyDescent="0.25">
      <c r="H604" s="21" t="s">
        <v>36</v>
      </c>
      <c r="I604" s="24">
        <v>610832</v>
      </c>
      <c r="J604" s="20">
        <v>41151</v>
      </c>
      <c r="K604" s="25">
        <v>477</v>
      </c>
      <c r="L604" s="25">
        <v>12</v>
      </c>
      <c r="M604" s="25">
        <v>4403</v>
      </c>
      <c r="N604" s="25">
        <v>8</v>
      </c>
      <c r="O604" s="25">
        <v>17</v>
      </c>
    </row>
    <row r="605" spans="8:15" x14ac:dyDescent="0.25">
      <c r="H605" s="21" t="s">
        <v>36</v>
      </c>
      <c r="I605" s="24">
        <v>610832</v>
      </c>
      <c r="J605" s="20">
        <v>41151</v>
      </c>
      <c r="K605" s="25">
        <v>478</v>
      </c>
      <c r="L605" s="25">
        <v>40</v>
      </c>
      <c r="M605" s="25">
        <v>12426</v>
      </c>
      <c r="N605" s="25">
        <v>9</v>
      </c>
      <c r="O605" s="25">
        <v>41</v>
      </c>
    </row>
    <row r="606" spans="8:15" x14ac:dyDescent="0.25">
      <c r="H606" s="21" t="s">
        <v>36</v>
      </c>
      <c r="I606" s="24">
        <v>610832</v>
      </c>
      <c r="J606" s="20">
        <v>41151</v>
      </c>
      <c r="K606" s="25">
        <v>480</v>
      </c>
      <c r="L606" s="25">
        <v>5</v>
      </c>
      <c r="M606" s="25">
        <v>1863</v>
      </c>
      <c r="N606" s="25">
        <v>0</v>
      </c>
      <c r="O606" s="25">
        <v>27</v>
      </c>
    </row>
    <row r="607" spans="8:15" x14ac:dyDescent="0.25">
      <c r="H607" s="21" t="s">
        <v>36</v>
      </c>
      <c r="I607" s="24">
        <v>610832</v>
      </c>
      <c r="J607" s="20">
        <v>41151</v>
      </c>
      <c r="K607" s="25">
        <v>481</v>
      </c>
      <c r="L607" s="25">
        <v>0</v>
      </c>
      <c r="M607" s="25">
        <v>0</v>
      </c>
      <c r="N607" s="25">
        <v>0</v>
      </c>
      <c r="O607" s="25">
        <v>0</v>
      </c>
    </row>
    <row r="608" spans="8:15" x14ac:dyDescent="0.25">
      <c r="H608" s="21" t="s">
        <v>36</v>
      </c>
      <c r="I608" s="24">
        <v>610832</v>
      </c>
      <c r="J608" s="20">
        <v>41151</v>
      </c>
      <c r="K608" s="25">
        <v>790</v>
      </c>
      <c r="L608" s="25">
        <v>0</v>
      </c>
      <c r="M608" s="25">
        <v>0</v>
      </c>
      <c r="N608" s="25">
        <v>0</v>
      </c>
      <c r="O608" s="25">
        <v>0</v>
      </c>
    </row>
    <row r="609" spans="8:15" x14ac:dyDescent="0.25">
      <c r="H609" s="21" t="s">
        <v>36</v>
      </c>
      <c r="I609" s="24">
        <v>610832</v>
      </c>
      <c r="J609" s="20">
        <v>41152</v>
      </c>
      <c r="K609" s="25">
        <v>85</v>
      </c>
      <c r="L609" s="25">
        <v>0</v>
      </c>
      <c r="M609" s="25">
        <v>0</v>
      </c>
      <c r="N609" s="25">
        <v>0</v>
      </c>
      <c r="O609" s="25">
        <v>0</v>
      </c>
    </row>
    <row r="610" spans="8:15" x14ac:dyDescent="0.25">
      <c r="H610" s="21" t="s">
        <v>36</v>
      </c>
      <c r="I610" s="24">
        <v>610832</v>
      </c>
      <c r="J610" s="20">
        <v>41152</v>
      </c>
      <c r="K610" s="25">
        <v>465</v>
      </c>
      <c r="L610" s="25">
        <v>0</v>
      </c>
      <c r="M610" s="25">
        <v>0</v>
      </c>
      <c r="N610" s="25">
        <v>0</v>
      </c>
      <c r="O610" s="25">
        <v>0</v>
      </c>
    </row>
    <row r="611" spans="8:15" x14ac:dyDescent="0.25">
      <c r="H611" s="21" t="s">
        <v>36</v>
      </c>
      <c r="I611" s="24">
        <v>610832</v>
      </c>
      <c r="J611" s="20">
        <v>41152</v>
      </c>
      <c r="K611" s="25">
        <v>466</v>
      </c>
      <c r="L611" s="25">
        <v>2</v>
      </c>
      <c r="M611" s="25">
        <v>420</v>
      </c>
      <c r="N611" s="25">
        <v>0</v>
      </c>
      <c r="O611" s="25">
        <v>0</v>
      </c>
    </row>
    <row r="612" spans="8:15" x14ac:dyDescent="0.25">
      <c r="H612" s="21" t="s">
        <v>36</v>
      </c>
      <c r="I612" s="24">
        <v>610832</v>
      </c>
      <c r="J612" s="20">
        <v>41152</v>
      </c>
      <c r="K612" s="25">
        <v>467</v>
      </c>
      <c r="L612" s="25">
        <v>0</v>
      </c>
      <c r="M612" s="25">
        <v>0</v>
      </c>
      <c r="N612" s="25">
        <v>0</v>
      </c>
      <c r="O612" s="25">
        <v>0</v>
      </c>
    </row>
    <row r="613" spans="8:15" x14ac:dyDescent="0.25">
      <c r="H613" s="21" t="s">
        <v>36</v>
      </c>
      <c r="I613" s="24">
        <v>610832</v>
      </c>
      <c r="J613" s="20">
        <v>41152</v>
      </c>
      <c r="K613" s="25">
        <v>477</v>
      </c>
      <c r="L613" s="25">
        <v>4</v>
      </c>
      <c r="M613" s="25">
        <v>1119</v>
      </c>
      <c r="N613" s="25">
        <v>0</v>
      </c>
      <c r="O613" s="25">
        <v>5</v>
      </c>
    </row>
    <row r="614" spans="8:15" x14ac:dyDescent="0.25">
      <c r="H614" s="21" t="s">
        <v>36</v>
      </c>
      <c r="I614" s="24">
        <v>610832</v>
      </c>
      <c r="J614" s="20">
        <v>41152</v>
      </c>
      <c r="K614" s="25">
        <v>478</v>
      </c>
      <c r="L614" s="25">
        <v>31</v>
      </c>
      <c r="M614" s="25">
        <v>8414</v>
      </c>
      <c r="N614" s="25">
        <v>4</v>
      </c>
      <c r="O614" s="25">
        <v>154</v>
      </c>
    </row>
    <row r="615" spans="8:15" x14ac:dyDescent="0.25">
      <c r="H615" s="21" t="s">
        <v>36</v>
      </c>
      <c r="I615" s="24">
        <v>610832</v>
      </c>
      <c r="J615" s="20">
        <v>41152</v>
      </c>
      <c r="K615" s="25">
        <v>480</v>
      </c>
      <c r="L615" s="25">
        <v>6</v>
      </c>
      <c r="M615" s="25">
        <v>2084</v>
      </c>
      <c r="N615" s="25">
        <v>0</v>
      </c>
      <c r="O615" s="25">
        <v>0</v>
      </c>
    </row>
    <row r="616" spans="8:15" x14ac:dyDescent="0.25">
      <c r="H616" s="21" t="s">
        <v>36</v>
      </c>
      <c r="I616" s="24">
        <v>610832</v>
      </c>
      <c r="J616" s="20">
        <v>41152</v>
      </c>
      <c r="K616" s="25">
        <v>481</v>
      </c>
      <c r="L616" s="25">
        <v>0</v>
      </c>
      <c r="M616" s="25">
        <v>0</v>
      </c>
      <c r="N616" s="25">
        <v>0</v>
      </c>
      <c r="O616" s="25">
        <v>0</v>
      </c>
    </row>
    <row r="617" spans="8:15" x14ac:dyDescent="0.25">
      <c r="H617" s="21" t="s">
        <v>36</v>
      </c>
      <c r="I617" s="24">
        <v>610832</v>
      </c>
      <c r="J617" s="20">
        <v>41152</v>
      </c>
      <c r="K617" s="25">
        <v>482</v>
      </c>
      <c r="L617" s="25">
        <v>5</v>
      </c>
      <c r="M617" s="25">
        <v>1097</v>
      </c>
      <c r="N617" s="25">
        <v>0</v>
      </c>
      <c r="O617" s="25">
        <v>0</v>
      </c>
    </row>
    <row r="618" spans="8:15" x14ac:dyDescent="0.25">
      <c r="H618" s="21" t="s">
        <v>36</v>
      </c>
      <c r="I618" s="24">
        <v>610832</v>
      </c>
      <c r="J618" s="20">
        <v>41152</v>
      </c>
      <c r="K618" s="25">
        <v>790</v>
      </c>
      <c r="L618" s="25">
        <v>0</v>
      </c>
      <c r="M618" s="25">
        <v>0</v>
      </c>
      <c r="N618" s="25">
        <v>0</v>
      </c>
      <c r="O618" s="25">
        <v>0</v>
      </c>
    </row>
    <row r="619" spans="8:15" x14ac:dyDescent="0.25">
      <c r="H619" s="21" t="s">
        <v>35</v>
      </c>
      <c r="I619" s="24">
        <v>611419</v>
      </c>
      <c r="J619" s="20">
        <v>41122</v>
      </c>
      <c r="K619" s="25">
        <v>465</v>
      </c>
      <c r="L619" s="25">
        <v>5</v>
      </c>
      <c r="M619" s="25">
        <v>1241</v>
      </c>
      <c r="N619" s="25">
        <v>12</v>
      </c>
      <c r="O619" s="25">
        <v>13</v>
      </c>
    </row>
    <row r="620" spans="8:15" x14ac:dyDescent="0.25">
      <c r="H620" s="21" t="s">
        <v>35</v>
      </c>
      <c r="I620" s="24">
        <v>611419</v>
      </c>
      <c r="J620" s="20">
        <v>41122</v>
      </c>
      <c r="K620" s="25">
        <v>477</v>
      </c>
      <c r="L620" s="25">
        <v>19</v>
      </c>
      <c r="M620" s="25">
        <v>5774</v>
      </c>
      <c r="N620" s="25">
        <v>18</v>
      </c>
      <c r="O620" s="25">
        <v>0</v>
      </c>
    </row>
    <row r="621" spans="8:15" x14ac:dyDescent="0.25">
      <c r="H621" s="21" t="s">
        <v>35</v>
      </c>
      <c r="I621" s="24">
        <v>611419</v>
      </c>
      <c r="J621" s="20">
        <v>41122</v>
      </c>
      <c r="K621" s="25">
        <v>478</v>
      </c>
      <c r="L621" s="25">
        <v>2</v>
      </c>
      <c r="M621" s="25">
        <v>556</v>
      </c>
      <c r="N621" s="25">
        <v>1</v>
      </c>
      <c r="O621" s="25">
        <v>0</v>
      </c>
    </row>
    <row r="622" spans="8:15" x14ac:dyDescent="0.25">
      <c r="H622" s="21" t="s">
        <v>35</v>
      </c>
      <c r="I622" s="24">
        <v>611419</v>
      </c>
      <c r="J622" s="20">
        <v>41122</v>
      </c>
      <c r="K622" s="25">
        <v>790</v>
      </c>
      <c r="L622" s="25">
        <v>0</v>
      </c>
      <c r="M622" s="25">
        <v>0</v>
      </c>
      <c r="N622" s="25">
        <v>0</v>
      </c>
      <c r="O622" s="25">
        <v>0</v>
      </c>
    </row>
    <row r="623" spans="8:15" x14ac:dyDescent="0.25">
      <c r="H623" s="21" t="s">
        <v>35</v>
      </c>
      <c r="I623" s="24">
        <v>611419</v>
      </c>
      <c r="J623" s="20">
        <v>41123</v>
      </c>
      <c r="K623" s="25">
        <v>465</v>
      </c>
      <c r="L623" s="25">
        <v>5</v>
      </c>
      <c r="M623" s="25">
        <v>894</v>
      </c>
      <c r="N623" s="25">
        <v>0</v>
      </c>
      <c r="O623" s="25">
        <v>0</v>
      </c>
    </row>
    <row r="624" spans="8:15" x14ac:dyDescent="0.25">
      <c r="H624" s="21" t="s">
        <v>35</v>
      </c>
      <c r="I624" s="24">
        <v>611419</v>
      </c>
      <c r="J624" s="20">
        <v>41123</v>
      </c>
      <c r="K624" s="25">
        <v>477</v>
      </c>
      <c r="L624" s="25">
        <v>20</v>
      </c>
      <c r="M624" s="25">
        <v>5828</v>
      </c>
      <c r="N624" s="25">
        <v>8</v>
      </c>
      <c r="O624" s="25">
        <v>0</v>
      </c>
    </row>
    <row r="625" spans="8:15" x14ac:dyDescent="0.25">
      <c r="H625" s="21" t="s">
        <v>35</v>
      </c>
      <c r="I625" s="24">
        <v>611419</v>
      </c>
      <c r="J625" s="20">
        <v>41123</v>
      </c>
      <c r="K625" s="25">
        <v>478</v>
      </c>
      <c r="L625" s="25">
        <v>23</v>
      </c>
      <c r="M625" s="25">
        <v>5569</v>
      </c>
      <c r="N625" s="25">
        <v>21</v>
      </c>
      <c r="O625" s="25">
        <v>0</v>
      </c>
    </row>
    <row r="626" spans="8:15" x14ac:dyDescent="0.25">
      <c r="H626" s="21" t="s">
        <v>35</v>
      </c>
      <c r="I626" s="24">
        <v>611419</v>
      </c>
      <c r="J626" s="20">
        <v>41123</v>
      </c>
      <c r="K626" s="25">
        <v>790</v>
      </c>
      <c r="L626" s="25">
        <v>0</v>
      </c>
      <c r="M626" s="25">
        <v>0</v>
      </c>
      <c r="N626" s="25">
        <v>0</v>
      </c>
      <c r="O626" s="25">
        <v>0</v>
      </c>
    </row>
    <row r="627" spans="8:15" x14ac:dyDescent="0.25">
      <c r="H627" s="21" t="s">
        <v>35</v>
      </c>
      <c r="I627" s="24">
        <v>611419</v>
      </c>
      <c r="J627" s="20">
        <v>41124</v>
      </c>
      <c r="K627" s="25">
        <v>465</v>
      </c>
      <c r="L627" s="25">
        <v>13</v>
      </c>
      <c r="M627" s="25">
        <v>3840</v>
      </c>
      <c r="N627" s="25">
        <v>1</v>
      </c>
      <c r="O627" s="25">
        <v>0</v>
      </c>
    </row>
    <row r="628" spans="8:15" x14ac:dyDescent="0.25">
      <c r="H628" s="21" t="s">
        <v>35</v>
      </c>
      <c r="I628" s="24">
        <v>611419</v>
      </c>
      <c r="J628" s="20">
        <v>41124</v>
      </c>
      <c r="K628" s="25">
        <v>477</v>
      </c>
      <c r="L628" s="25">
        <v>25</v>
      </c>
      <c r="M628" s="25">
        <v>6840</v>
      </c>
      <c r="N628" s="25">
        <v>19</v>
      </c>
      <c r="O628" s="25">
        <v>0</v>
      </c>
    </row>
    <row r="629" spans="8:15" x14ac:dyDescent="0.25">
      <c r="H629" s="21" t="s">
        <v>35</v>
      </c>
      <c r="I629" s="24">
        <v>611419</v>
      </c>
      <c r="J629" s="20">
        <v>41124</v>
      </c>
      <c r="K629" s="25">
        <v>478</v>
      </c>
      <c r="L629" s="25">
        <v>1</v>
      </c>
      <c r="M629" s="25">
        <v>120</v>
      </c>
      <c r="N629" s="25">
        <v>0</v>
      </c>
      <c r="O629" s="25">
        <v>0</v>
      </c>
    </row>
    <row r="630" spans="8:15" x14ac:dyDescent="0.25">
      <c r="H630" s="21" t="s">
        <v>35</v>
      </c>
      <c r="I630" s="24">
        <v>611419</v>
      </c>
      <c r="J630" s="20">
        <v>41124</v>
      </c>
      <c r="K630" s="25">
        <v>790</v>
      </c>
      <c r="L630" s="25">
        <v>0</v>
      </c>
      <c r="M630" s="25">
        <v>0</v>
      </c>
      <c r="N630" s="25">
        <v>0</v>
      </c>
      <c r="O630" s="25">
        <v>0</v>
      </c>
    </row>
    <row r="631" spans="8:15" x14ac:dyDescent="0.25">
      <c r="H631" s="21" t="s">
        <v>35</v>
      </c>
      <c r="I631" s="24">
        <v>611419</v>
      </c>
      <c r="J631" s="20">
        <v>41126</v>
      </c>
      <c r="K631" s="25">
        <v>465</v>
      </c>
      <c r="L631" s="25">
        <v>0</v>
      </c>
      <c r="M631" s="25">
        <v>0</v>
      </c>
      <c r="N631" s="25">
        <v>0</v>
      </c>
      <c r="O631" s="25">
        <v>0</v>
      </c>
    </row>
    <row r="632" spans="8:15" x14ac:dyDescent="0.25">
      <c r="H632" s="21" t="s">
        <v>35</v>
      </c>
      <c r="I632" s="24">
        <v>611419</v>
      </c>
      <c r="J632" s="20">
        <v>41126</v>
      </c>
      <c r="K632" s="25">
        <v>477</v>
      </c>
      <c r="L632" s="25">
        <v>61</v>
      </c>
      <c r="M632" s="25">
        <v>14114</v>
      </c>
      <c r="N632" s="25">
        <v>37</v>
      </c>
      <c r="O632" s="25">
        <v>79</v>
      </c>
    </row>
    <row r="633" spans="8:15" x14ac:dyDescent="0.25">
      <c r="H633" s="21" t="s">
        <v>35</v>
      </c>
      <c r="I633" s="24">
        <v>611419</v>
      </c>
      <c r="J633" s="20">
        <v>41126</v>
      </c>
      <c r="K633" s="25">
        <v>478</v>
      </c>
      <c r="L633" s="25">
        <v>1</v>
      </c>
      <c r="M633" s="25">
        <v>174</v>
      </c>
      <c r="N633" s="25">
        <v>0</v>
      </c>
      <c r="O633" s="25">
        <v>0</v>
      </c>
    </row>
    <row r="634" spans="8:15" x14ac:dyDescent="0.25">
      <c r="H634" s="21" t="s">
        <v>35</v>
      </c>
      <c r="I634" s="24">
        <v>611419</v>
      </c>
      <c r="J634" s="20">
        <v>41126</v>
      </c>
      <c r="K634" s="25">
        <v>790</v>
      </c>
      <c r="L634" s="25">
        <v>0</v>
      </c>
      <c r="M634" s="25">
        <v>0</v>
      </c>
      <c r="N634" s="25">
        <v>0</v>
      </c>
      <c r="O634" s="25">
        <v>0</v>
      </c>
    </row>
    <row r="635" spans="8:15" x14ac:dyDescent="0.25">
      <c r="H635" s="21" t="s">
        <v>35</v>
      </c>
      <c r="I635" s="24">
        <v>611419</v>
      </c>
      <c r="J635" s="20">
        <v>41127</v>
      </c>
      <c r="K635" s="25">
        <v>465</v>
      </c>
      <c r="L635" s="25">
        <v>0</v>
      </c>
      <c r="M635" s="25">
        <v>0</v>
      </c>
      <c r="N635" s="25">
        <v>0</v>
      </c>
      <c r="O635" s="25">
        <v>0</v>
      </c>
    </row>
    <row r="636" spans="8:15" x14ac:dyDescent="0.25">
      <c r="H636" s="21" t="s">
        <v>35</v>
      </c>
      <c r="I636" s="24">
        <v>611419</v>
      </c>
      <c r="J636" s="20">
        <v>41127</v>
      </c>
      <c r="K636" s="25">
        <v>477</v>
      </c>
      <c r="L636" s="25">
        <v>44</v>
      </c>
      <c r="M636" s="25">
        <v>12649</v>
      </c>
      <c r="N636" s="25">
        <v>139</v>
      </c>
      <c r="O636" s="25">
        <v>84</v>
      </c>
    </row>
    <row r="637" spans="8:15" x14ac:dyDescent="0.25">
      <c r="H637" s="21" t="s">
        <v>35</v>
      </c>
      <c r="I637" s="24">
        <v>611419</v>
      </c>
      <c r="J637" s="20">
        <v>41127</v>
      </c>
      <c r="K637" s="25">
        <v>478</v>
      </c>
      <c r="L637" s="25">
        <v>6</v>
      </c>
      <c r="M637" s="25">
        <v>2095</v>
      </c>
      <c r="N637" s="25">
        <v>2</v>
      </c>
      <c r="O637" s="25">
        <v>107</v>
      </c>
    </row>
    <row r="638" spans="8:15" x14ac:dyDescent="0.25">
      <c r="H638" s="21" t="s">
        <v>35</v>
      </c>
      <c r="I638" s="24">
        <v>611419</v>
      </c>
      <c r="J638" s="20">
        <v>41127</v>
      </c>
      <c r="K638" s="25">
        <v>790</v>
      </c>
      <c r="L638" s="25">
        <v>0</v>
      </c>
      <c r="M638" s="25">
        <v>0</v>
      </c>
      <c r="N638" s="25">
        <v>0</v>
      </c>
      <c r="O638" s="25">
        <v>0</v>
      </c>
    </row>
    <row r="639" spans="8:15" x14ac:dyDescent="0.25">
      <c r="H639" s="21" t="s">
        <v>35</v>
      </c>
      <c r="I639" s="24">
        <v>611419</v>
      </c>
      <c r="J639" s="20">
        <v>41128</v>
      </c>
      <c r="K639" s="25">
        <v>465</v>
      </c>
      <c r="L639" s="25">
        <v>0</v>
      </c>
      <c r="M639" s="25">
        <v>0</v>
      </c>
      <c r="N639" s="25">
        <v>0</v>
      </c>
      <c r="O639" s="25">
        <v>0</v>
      </c>
    </row>
    <row r="640" spans="8:15" x14ac:dyDescent="0.25">
      <c r="H640" s="21" t="s">
        <v>35</v>
      </c>
      <c r="I640" s="24">
        <v>611419</v>
      </c>
      <c r="J640" s="20">
        <v>41128</v>
      </c>
      <c r="K640" s="25">
        <v>477</v>
      </c>
      <c r="L640" s="25">
        <v>53</v>
      </c>
      <c r="M640" s="25">
        <v>14813</v>
      </c>
      <c r="N640" s="25">
        <v>29</v>
      </c>
      <c r="O640" s="25">
        <v>339</v>
      </c>
    </row>
    <row r="641" spans="8:15" x14ac:dyDescent="0.25">
      <c r="H641" s="21" t="s">
        <v>35</v>
      </c>
      <c r="I641" s="24">
        <v>611419</v>
      </c>
      <c r="J641" s="20">
        <v>41128</v>
      </c>
      <c r="K641" s="25">
        <v>478</v>
      </c>
      <c r="L641" s="25">
        <v>4</v>
      </c>
      <c r="M641" s="25">
        <v>371</v>
      </c>
      <c r="N641" s="25">
        <v>1</v>
      </c>
      <c r="O641" s="25">
        <v>0</v>
      </c>
    </row>
    <row r="642" spans="8:15" x14ac:dyDescent="0.25">
      <c r="H642" s="21" t="s">
        <v>35</v>
      </c>
      <c r="I642" s="24">
        <v>611419</v>
      </c>
      <c r="J642" s="20">
        <v>41128</v>
      </c>
      <c r="K642" s="25">
        <v>790</v>
      </c>
      <c r="L642" s="25">
        <v>0</v>
      </c>
      <c r="M642" s="25">
        <v>0</v>
      </c>
      <c r="N642" s="25">
        <v>0</v>
      </c>
      <c r="O642" s="25">
        <v>0</v>
      </c>
    </row>
    <row r="643" spans="8:15" x14ac:dyDescent="0.25">
      <c r="H643" s="21" t="s">
        <v>35</v>
      </c>
      <c r="I643" s="24">
        <v>611419</v>
      </c>
      <c r="J643" s="20">
        <v>41129</v>
      </c>
      <c r="K643" s="25">
        <v>465</v>
      </c>
      <c r="L643" s="25">
        <v>0</v>
      </c>
      <c r="M643" s="25">
        <v>0</v>
      </c>
      <c r="N643" s="25">
        <v>0</v>
      </c>
      <c r="O643" s="25">
        <v>0</v>
      </c>
    </row>
    <row r="644" spans="8:15" x14ac:dyDescent="0.25">
      <c r="H644" s="21" t="s">
        <v>35</v>
      </c>
      <c r="I644" s="24">
        <v>611419</v>
      </c>
      <c r="J644" s="20">
        <v>41129</v>
      </c>
      <c r="K644" s="25">
        <v>477</v>
      </c>
      <c r="L644" s="25">
        <v>42</v>
      </c>
      <c r="M644" s="25">
        <v>13631</v>
      </c>
      <c r="N644" s="25">
        <v>29</v>
      </c>
      <c r="O644" s="25">
        <v>173</v>
      </c>
    </row>
    <row r="645" spans="8:15" x14ac:dyDescent="0.25">
      <c r="H645" s="21" t="s">
        <v>35</v>
      </c>
      <c r="I645" s="24">
        <v>611419</v>
      </c>
      <c r="J645" s="20">
        <v>41129</v>
      </c>
      <c r="K645" s="25">
        <v>478</v>
      </c>
      <c r="L645" s="25">
        <v>6</v>
      </c>
      <c r="M645" s="25">
        <v>1751</v>
      </c>
      <c r="N645" s="25">
        <v>2</v>
      </c>
      <c r="O645" s="25">
        <v>48</v>
      </c>
    </row>
    <row r="646" spans="8:15" x14ac:dyDescent="0.25">
      <c r="H646" s="21" t="s">
        <v>35</v>
      </c>
      <c r="I646" s="24">
        <v>611419</v>
      </c>
      <c r="J646" s="20">
        <v>41129</v>
      </c>
      <c r="K646" s="25">
        <v>790</v>
      </c>
      <c r="L646" s="25">
        <v>0</v>
      </c>
      <c r="M646" s="25">
        <v>0</v>
      </c>
      <c r="N646" s="25">
        <v>0</v>
      </c>
      <c r="O646" s="25">
        <v>0</v>
      </c>
    </row>
    <row r="647" spans="8:15" x14ac:dyDescent="0.25">
      <c r="H647" s="21" t="s">
        <v>35</v>
      </c>
      <c r="I647" s="24">
        <v>611419</v>
      </c>
      <c r="J647" s="20">
        <v>41130</v>
      </c>
      <c r="K647" s="25">
        <v>465</v>
      </c>
      <c r="L647" s="25">
        <v>0</v>
      </c>
      <c r="M647" s="25">
        <v>0</v>
      </c>
      <c r="N647" s="25">
        <v>0</v>
      </c>
      <c r="O647" s="25">
        <v>0</v>
      </c>
    </row>
    <row r="648" spans="8:15" x14ac:dyDescent="0.25">
      <c r="H648" s="21" t="s">
        <v>35</v>
      </c>
      <c r="I648" s="24">
        <v>611419</v>
      </c>
      <c r="J648" s="20">
        <v>41130</v>
      </c>
      <c r="K648" s="25">
        <v>477</v>
      </c>
      <c r="L648" s="25">
        <v>52</v>
      </c>
      <c r="M648" s="25">
        <v>13155</v>
      </c>
      <c r="N648" s="25">
        <v>62</v>
      </c>
      <c r="O648" s="25">
        <v>180</v>
      </c>
    </row>
    <row r="649" spans="8:15" x14ac:dyDescent="0.25">
      <c r="H649" s="21" t="s">
        <v>35</v>
      </c>
      <c r="I649" s="24">
        <v>611419</v>
      </c>
      <c r="J649" s="20">
        <v>41130</v>
      </c>
      <c r="K649" s="25">
        <v>478</v>
      </c>
      <c r="L649" s="25">
        <v>4</v>
      </c>
      <c r="M649" s="25">
        <v>957</v>
      </c>
      <c r="N649" s="25">
        <v>2</v>
      </c>
      <c r="O649" s="25">
        <v>14</v>
      </c>
    </row>
    <row r="650" spans="8:15" x14ac:dyDescent="0.25">
      <c r="H650" s="21" t="s">
        <v>35</v>
      </c>
      <c r="I650" s="24">
        <v>611419</v>
      </c>
      <c r="J650" s="20">
        <v>41130</v>
      </c>
      <c r="K650" s="25">
        <v>790</v>
      </c>
      <c r="L650" s="25">
        <v>0</v>
      </c>
      <c r="M650" s="25">
        <v>0</v>
      </c>
      <c r="N650" s="25">
        <v>0</v>
      </c>
      <c r="O650" s="25">
        <v>0</v>
      </c>
    </row>
    <row r="651" spans="8:15" x14ac:dyDescent="0.25">
      <c r="H651" s="21" t="s">
        <v>35</v>
      </c>
      <c r="I651" s="24">
        <v>611419</v>
      </c>
      <c r="J651" s="20">
        <v>41131</v>
      </c>
      <c r="K651" s="25">
        <v>465</v>
      </c>
      <c r="L651" s="25">
        <v>0</v>
      </c>
      <c r="M651" s="25">
        <v>0</v>
      </c>
      <c r="N651" s="25">
        <v>0</v>
      </c>
      <c r="O651" s="25">
        <v>0</v>
      </c>
    </row>
    <row r="652" spans="8:15" x14ac:dyDescent="0.25">
      <c r="H652" s="21" t="s">
        <v>35</v>
      </c>
      <c r="I652" s="24">
        <v>611419</v>
      </c>
      <c r="J652" s="20">
        <v>41131</v>
      </c>
      <c r="K652" s="25">
        <v>477</v>
      </c>
      <c r="L652" s="25">
        <v>53</v>
      </c>
      <c r="M652" s="25">
        <v>11072</v>
      </c>
      <c r="N652" s="25">
        <v>43</v>
      </c>
      <c r="O652" s="25">
        <v>170</v>
      </c>
    </row>
    <row r="653" spans="8:15" x14ac:dyDescent="0.25">
      <c r="H653" s="21" t="s">
        <v>35</v>
      </c>
      <c r="I653" s="24">
        <v>611419</v>
      </c>
      <c r="J653" s="20">
        <v>41131</v>
      </c>
      <c r="K653" s="25">
        <v>478</v>
      </c>
      <c r="L653" s="25">
        <v>1</v>
      </c>
      <c r="M653" s="25">
        <v>52</v>
      </c>
      <c r="N653" s="25">
        <v>2</v>
      </c>
      <c r="O653" s="25">
        <v>0</v>
      </c>
    </row>
    <row r="654" spans="8:15" x14ac:dyDescent="0.25">
      <c r="H654" s="21" t="s">
        <v>35</v>
      </c>
      <c r="I654" s="24">
        <v>611419</v>
      </c>
      <c r="J654" s="20">
        <v>41131</v>
      </c>
      <c r="K654" s="25">
        <v>790</v>
      </c>
      <c r="L654" s="25">
        <v>0</v>
      </c>
      <c r="M654" s="25">
        <v>0</v>
      </c>
      <c r="N654" s="25">
        <v>0</v>
      </c>
      <c r="O654" s="25">
        <v>0</v>
      </c>
    </row>
    <row r="655" spans="8:15" x14ac:dyDescent="0.25">
      <c r="H655" s="21" t="s">
        <v>35</v>
      </c>
      <c r="I655" s="24">
        <v>611419</v>
      </c>
      <c r="J655" s="20">
        <v>41132</v>
      </c>
      <c r="K655" s="25">
        <v>465</v>
      </c>
      <c r="L655" s="25">
        <v>0</v>
      </c>
      <c r="M655" s="25">
        <v>0</v>
      </c>
      <c r="N655" s="25">
        <v>0</v>
      </c>
      <c r="O655" s="25">
        <v>0</v>
      </c>
    </row>
    <row r="656" spans="8:15" x14ac:dyDescent="0.25">
      <c r="H656" s="21" t="s">
        <v>35</v>
      </c>
      <c r="I656" s="24">
        <v>611419</v>
      </c>
      <c r="J656" s="20">
        <v>41132</v>
      </c>
      <c r="K656" s="25">
        <v>477</v>
      </c>
      <c r="L656" s="25">
        <v>53</v>
      </c>
      <c r="M656" s="25">
        <v>14925</v>
      </c>
      <c r="N656" s="25">
        <v>79</v>
      </c>
      <c r="O656" s="25">
        <v>19</v>
      </c>
    </row>
    <row r="657" spans="8:15" x14ac:dyDescent="0.25">
      <c r="H657" s="21" t="s">
        <v>35</v>
      </c>
      <c r="I657" s="24">
        <v>611419</v>
      </c>
      <c r="J657" s="20">
        <v>41132</v>
      </c>
      <c r="K657" s="25">
        <v>478</v>
      </c>
      <c r="L657" s="25">
        <v>14</v>
      </c>
      <c r="M657" s="25">
        <v>2309</v>
      </c>
      <c r="N657" s="25">
        <v>27</v>
      </c>
      <c r="O657" s="25">
        <v>16</v>
      </c>
    </row>
    <row r="658" spans="8:15" x14ac:dyDescent="0.25">
      <c r="H658" s="21" t="s">
        <v>35</v>
      </c>
      <c r="I658" s="24">
        <v>611419</v>
      </c>
      <c r="J658" s="20">
        <v>41132</v>
      </c>
      <c r="K658" s="25">
        <v>790</v>
      </c>
      <c r="L658" s="25">
        <v>0</v>
      </c>
      <c r="M658" s="25">
        <v>0</v>
      </c>
      <c r="N658" s="25">
        <v>0</v>
      </c>
      <c r="O658" s="25">
        <v>0</v>
      </c>
    </row>
    <row r="659" spans="8:15" x14ac:dyDescent="0.25">
      <c r="H659" s="21" t="s">
        <v>35</v>
      </c>
      <c r="I659" s="24">
        <v>611419</v>
      </c>
      <c r="J659" s="20">
        <v>41134</v>
      </c>
      <c r="K659" s="25">
        <v>465</v>
      </c>
      <c r="L659" s="25">
        <v>0</v>
      </c>
      <c r="M659" s="25">
        <v>0</v>
      </c>
      <c r="N659" s="25">
        <v>0</v>
      </c>
      <c r="O659" s="25">
        <v>0</v>
      </c>
    </row>
    <row r="660" spans="8:15" x14ac:dyDescent="0.25">
      <c r="H660" s="21" t="s">
        <v>35</v>
      </c>
      <c r="I660" s="24">
        <v>611419</v>
      </c>
      <c r="J660" s="20">
        <v>41134</v>
      </c>
      <c r="K660" s="25">
        <v>477</v>
      </c>
      <c r="L660" s="25">
        <v>44</v>
      </c>
      <c r="M660" s="25">
        <v>10669</v>
      </c>
      <c r="N660" s="25">
        <v>33</v>
      </c>
      <c r="O660" s="25">
        <v>150</v>
      </c>
    </row>
    <row r="661" spans="8:15" x14ac:dyDescent="0.25">
      <c r="H661" s="21" t="s">
        <v>35</v>
      </c>
      <c r="I661" s="24">
        <v>611419</v>
      </c>
      <c r="J661" s="20">
        <v>41134</v>
      </c>
      <c r="K661" s="25">
        <v>478</v>
      </c>
      <c r="L661" s="25">
        <v>14</v>
      </c>
      <c r="M661" s="25">
        <v>2579</v>
      </c>
      <c r="N661" s="25">
        <v>9</v>
      </c>
      <c r="O661" s="25">
        <v>94</v>
      </c>
    </row>
    <row r="662" spans="8:15" x14ac:dyDescent="0.25">
      <c r="H662" s="21" t="s">
        <v>35</v>
      </c>
      <c r="I662" s="24">
        <v>611419</v>
      </c>
      <c r="J662" s="20">
        <v>41134</v>
      </c>
      <c r="K662" s="25">
        <v>790</v>
      </c>
      <c r="L662" s="25">
        <v>0</v>
      </c>
      <c r="M662" s="25">
        <v>0</v>
      </c>
      <c r="N662" s="25">
        <v>0</v>
      </c>
      <c r="O662" s="25">
        <v>0</v>
      </c>
    </row>
    <row r="663" spans="8:15" x14ac:dyDescent="0.25">
      <c r="H663" s="21" t="s">
        <v>35</v>
      </c>
      <c r="I663" s="24">
        <v>611419</v>
      </c>
      <c r="J663" s="20">
        <v>41135</v>
      </c>
      <c r="K663" s="25">
        <v>465</v>
      </c>
      <c r="L663" s="25">
        <v>0</v>
      </c>
      <c r="M663" s="25">
        <v>0</v>
      </c>
      <c r="N663" s="25">
        <v>0</v>
      </c>
      <c r="O663" s="25">
        <v>0</v>
      </c>
    </row>
    <row r="664" spans="8:15" x14ac:dyDescent="0.25">
      <c r="H664" s="21" t="s">
        <v>35</v>
      </c>
      <c r="I664" s="24">
        <v>611419</v>
      </c>
      <c r="J664" s="20">
        <v>41135</v>
      </c>
      <c r="K664" s="25">
        <v>477</v>
      </c>
      <c r="L664" s="25">
        <v>51</v>
      </c>
      <c r="M664" s="25">
        <v>10706</v>
      </c>
      <c r="N664" s="25">
        <v>44</v>
      </c>
      <c r="O664" s="25">
        <v>1025</v>
      </c>
    </row>
    <row r="665" spans="8:15" x14ac:dyDescent="0.25">
      <c r="H665" s="21" t="s">
        <v>35</v>
      </c>
      <c r="I665" s="24">
        <v>611419</v>
      </c>
      <c r="J665" s="20">
        <v>41135</v>
      </c>
      <c r="K665" s="25">
        <v>478</v>
      </c>
      <c r="L665" s="25">
        <v>8</v>
      </c>
      <c r="M665" s="25">
        <v>1713</v>
      </c>
      <c r="N665" s="25">
        <v>25</v>
      </c>
      <c r="O665" s="25">
        <v>254</v>
      </c>
    </row>
    <row r="666" spans="8:15" x14ac:dyDescent="0.25">
      <c r="H666" s="21" t="s">
        <v>35</v>
      </c>
      <c r="I666" s="24">
        <v>611419</v>
      </c>
      <c r="J666" s="20">
        <v>41135</v>
      </c>
      <c r="K666" s="25">
        <v>790</v>
      </c>
      <c r="L666" s="25">
        <v>0</v>
      </c>
      <c r="M666" s="25">
        <v>0</v>
      </c>
      <c r="N666" s="25">
        <v>0</v>
      </c>
      <c r="O666" s="25">
        <v>0</v>
      </c>
    </row>
    <row r="667" spans="8:15" x14ac:dyDescent="0.25">
      <c r="H667" s="21" t="s">
        <v>35</v>
      </c>
      <c r="I667" s="24">
        <v>611419</v>
      </c>
      <c r="J667" s="20">
        <v>41137</v>
      </c>
      <c r="K667" s="25">
        <v>85</v>
      </c>
      <c r="L667" s="25">
        <v>0</v>
      </c>
      <c r="M667" s="25">
        <v>0</v>
      </c>
      <c r="N667" s="25">
        <v>0</v>
      </c>
      <c r="O667" s="25">
        <v>0</v>
      </c>
    </row>
    <row r="668" spans="8:15" x14ac:dyDescent="0.25">
      <c r="H668" s="21" t="s">
        <v>35</v>
      </c>
      <c r="I668" s="24">
        <v>611419</v>
      </c>
      <c r="J668" s="20">
        <v>41137</v>
      </c>
      <c r="K668" s="25">
        <v>465</v>
      </c>
      <c r="L668" s="25">
        <v>0</v>
      </c>
      <c r="M668" s="25">
        <v>0</v>
      </c>
      <c r="N668" s="25">
        <v>0</v>
      </c>
      <c r="O668" s="25">
        <v>0</v>
      </c>
    </row>
    <row r="669" spans="8:15" x14ac:dyDescent="0.25">
      <c r="H669" s="21" t="s">
        <v>35</v>
      </c>
      <c r="I669" s="24">
        <v>611419</v>
      </c>
      <c r="J669" s="20">
        <v>41137</v>
      </c>
      <c r="K669" s="25">
        <v>466</v>
      </c>
      <c r="L669" s="25">
        <v>19</v>
      </c>
      <c r="M669" s="25">
        <v>4215</v>
      </c>
      <c r="N669" s="25">
        <v>17</v>
      </c>
      <c r="O669" s="25">
        <v>33</v>
      </c>
    </row>
    <row r="670" spans="8:15" x14ac:dyDescent="0.25">
      <c r="H670" s="21" t="s">
        <v>35</v>
      </c>
      <c r="I670" s="24">
        <v>611419</v>
      </c>
      <c r="J670" s="20">
        <v>41137</v>
      </c>
      <c r="K670" s="25">
        <v>467</v>
      </c>
      <c r="L670" s="25">
        <v>0</v>
      </c>
      <c r="M670" s="25">
        <v>0</v>
      </c>
      <c r="N670" s="25">
        <v>0</v>
      </c>
      <c r="O670" s="25">
        <v>0</v>
      </c>
    </row>
    <row r="671" spans="8:15" x14ac:dyDescent="0.25">
      <c r="H671" s="21" t="s">
        <v>35</v>
      </c>
      <c r="I671" s="24">
        <v>611419</v>
      </c>
      <c r="J671" s="20">
        <v>41137</v>
      </c>
      <c r="K671" s="25">
        <v>477</v>
      </c>
      <c r="L671" s="25">
        <v>9</v>
      </c>
      <c r="M671" s="25">
        <v>2293</v>
      </c>
      <c r="N671" s="25">
        <v>4</v>
      </c>
      <c r="O671" s="25">
        <v>95</v>
      </c>
    </row>
    <row r="672" spans="8:15" x14ac:dyDescent="0.25">
      <c r="H672" s="21" t="s">
        <v>35</v>
      </c>
      <c r="I672" s="24">
        <v>611419</v>
      </c>
      <c r="J672" s="20">
        <v>41137</v>
      </c>
      <c r="K672" s="25">
        <v>478</v>
      </c>
      <c r="L672" s="25">
        <v>0</v>
      </c>
      <c r="M672" s="25">
        <v>0</v>
      </c>
      <c r="N672" s="25">
        <v>0</v>
      </c>
      <c r="O672" s="25">
        <v>0</v>
      </c>
    </row>
    <row r="673" spans="8:15" x14ac:dyDescent="0.25">
      <c r="H673" s="21" t="s">
        <v>35</v>
      </c>
      <c r="I673" s="24">
        <v>611419</v>
      </c>
      <c r="J673" s="20">
        <v>41137</v>
      </c>
      <c r="K673" s="25">
        <v>480</v>
      </c>
      <c r="L673" s="25">
        <v>5</v>
      </c>
      <c r="M673" s="25">
        <v>607</v>
      </c>
      <c r="N673" s="25">
        <v>11</v>
      </c>
      <c r="O673" s="25">
        <v>2040</v>
      </c>
    </row>
    <row r="674" spans="8:15" x14ac:dyDescent="0.25">
      <c r="H674" s="21" t="s">
        <v>35</v>
      </c>
      <c r="I674" s="24">
        <v>611419</v>
      </c>
      <c r="J674" s="20">
        <v>41137</v>
      </c>
      <c r="K674" s="25">
        <v>481</v>
      </c>
      <c r="L674" s="25">
        <v>0</v>
      </c>
      <c r="M674" s="25">
        <v>0</v>
      </c>
      <c r="N674" s="25">
        <v>0</v>
      </c>
      <c r="O674" s="25">
        <v>0</v>
      </c>
    </row>
    <row r="675" spans="8:15" x14ac:dyDescent="0.25">
      <c r="H675" s="21" t="s">
        <v>35</v>
      </c>
      <c r="I675" s="24">
        <v>611419</v>
      </c>
      <c r="J675" s="20">
        <v>41137</v>
      </c>
      <c r="K675" s="25">
        <v>482</v>
      </c>
      <c r="L675" s="25">
        <v>8</v>
      </c>
      <c r="M675" s="25">
        <v>6954</v>
      </c>
      <c r="N675" s="25">
        <v>8</v>
      </c>
      <c r="O675" s="25">
        <v>0</v>
      </c>
    </row>
    <row r="676" spans="8:15" x14ac:dyDescent="0.25">
      <c r="H676" s="21" t="s">
        <v>35</v>
      </c>
      <c r="I676" s="24">
        <v>611419</v>
      </c>
      <c r="J676" s="20">
        <v>41137</v>
      </c>
      <c r="K676" s="25">
        <v>790</v>
      </c>
      <c r="L676" s="25">
        <v>0</v>
      </c>
      <c r="M676" s="25">
        <v>0</v>
      </c>
      <c r="N676" s="25">
        <v>0</v>
      </c>
      <c r="O676" s="25">
        <v>0</v>
      </c>
    </row>
    <row r="677" spans="8:15" x14ac:dyDescent="0.25">
      <c r="H677" s="21" t="s">
        <v>35</v>
      </c>
      <c r="I677" s="24">
        <v>611419</v>
      </c>
      <c r="J677" s="20">
        <v>41138</v>
      </c>
      <c r="K677" s="25">
        <v>85</v>
      </c>
      <c r="L677" s="25">
        <v>0</v>
      </c>
      <c r="M677" s="25">
        <v>0</v>
      </c>
      <c r="N677" s="25">
        <v>0</v>
      </c>
      <c r="O677" s="25">
        <v>0</v>
      </c>
    </row>
    <row r="678" spans="8:15" x14ac:dyDescent="0.25">
      <c r="H678" s="21" t="s">
        <v>35</v>
      </c>
      <c r="I678" s="24">
        <v>611419</v>
      </c>
      <c r="J678" s="20">
        <v>41138</v>
      </c>
      <c r="K678" s="25">
        <v>465</v>
      </c>
      <c r="L678" s="25">
        <v>0</v>
      </c>
      <c r="M678" s="25">
        <v>0</v>
      </c>
      <c r="N678" s="25">
        <v>0</v>
      </c>
      <c r="O678" s="25">
        <v>0</v>
      </c>
    </row>
    <row r="679" spans="8:15" x14ac:dyDescent="0.25">
      <c r="H679" s="21" t="s">
        <v>35</v>
      </c>
      <c r="I679" s="24">
        <v>611419</v>
      </c>
      <c r="J679" s="20">
        <v>41138</v>
      </c>
      <c r="K679" s="25">
        <v>466</v>
      </c>
      <c r="L679" s="25">
        <v>27</v>
      </c>
      <c r="M679" s="25">
        <v>6120</v>
      </c>
      <c r="N679" s="25">
        <v>16</v>
      </c>
      <c r="O679" s="25">
        <v>187</v>
      </c>
    </row>
    <row r="680" spans="8:15" x14ac:dyDescent="0.25">
      <c r="H680" s="21" t="s">
        <v>35</v>
      </c>
      <c r="I680" s="24">
        <v>611419</v>
      </c>
      <c r="J680" s="20">
        <v>41138</v>
      </c>
      <c r="K680" s="25">
        <v>467</v>
      </c>
      <c r="L680" s="25">
        <v>0</v>
      </c>
      <c r="M680" s="25">
        <v>0</v>
      </c>
      <c r="N680" s="25">
        <v>0</v>
      </c>
      <c r="O680" s="25">
        <v>0</v>
      </c>
    </row>
    <row r="681" spans="8:15" x14ac:dyDescent="0.25">
      <c r="H681" s="21" t="s">
        <v>35</v>
      </c>
      <c r="I681" s="24">
        <v>611419</v>
      </c>
      <c r="J681" s="20">
        <v>41138</v>
      </c>
      <c r="K681" s="25">
        <v>477</v>
      </c>
      <c r="L681" s="25">
        <v>10</v>
      </c>
      <c r="M681" s="25">
        <v>2702</v>
      </c>
      <c r="N681" s="25">
        <v>14</v>
      </c>
      <c r="O681" s="25">
        <v>155</v>
      </c>
    </row>
    <row r="682" spans="8:15" x14ac:dyDescent="0.25">
      <c r="H682" s="21" t="s">
        <v>35</v>
      </c>
      <c r="I682" s="24">
        <v>611419</v>
      </c>
      <c r="J682" s="20">
        <v>41138</v>
      </c>
      <c r="K682" s="25">
        <v>478</v>
      </c>
      <c r="L682" s="25">
        <v>0</v>
      </c>
      <c r="M682" s="25">
        <v>0</v>
      </c>
      <c r="N682" s="25">
        <v>0</v>
      </c>
      <c r="O682" s="25">
        <v>0</v>
      </c>
    </row>
    <row r="683" spans="8:15" x14ac:dyDescent="0.25">
      <c r="H683" s="21" t="s">
        <v>35</v>
      </c>
      <c r="I683" s="24">
        <v>611419</v>
      </c>
      <c r="J683" s="20">
        <v>41138</v>
      </c>
      <c r="K683" s="25">
        <v>480</v>
      </c>
      <c r="L683" s="25">
        <v>6</v>
      </c>
      <c r="M683" s="25">
        <v>1835</v>
      </c>
      <c r="N683" s="25">
        <v>0</v>
      </c>
      <c r="O683" s="25">
        <v>167</v>
      </c>
    </row>
    <row r="684" spans="8:15" x14ac:dyDescent="0.25">
      <c r="H684" s="21" t="s">
        <v>35</v>
      </c>
      <c r="I684" s="24">
        <v>611419</v>
      </c>
      <c r="J684" s="20">
        <v>41138</v>
      </c>
      <c r="K684" s="25">
        <v>481</v>
      </c>
      <c r="L684" s="25">
        <v>0</v>
      </c>
      <c r="M684" s="25">
        <v>0</v>
      </c>
      <c r="N684" s="25">
        <v>0</v>
      </c>
      <c r="O684" s="25">
        <v>0</v>
      </c>
    </row>
    <row r="685" spans="8:15" x14ac:dyDescent="0.25">
      <c r="H685" s="21" t="s">
        <v>35</v>
      </c>
      <c r="I685" s="24">
        <v>611419</v>
      </c>
      <c r="J685" s="20">
        <v>41138</v>
      </c>
      <c r="K685" s="25">
        <v>482</v>
      </c>
      <c r="L685" s="25">
        <v>8</v>
      </c>
      <c r="M685" s="25">
        <v>3158</v>
      </c>
      <c r="N685" s="25">
        <v>4</v>
      </c>
      <c r="O685" s="25">
        <v>623</v>
      </c>
    </row>
    <row r="686" spans="8:15" x14ac:dyDescent="0.25">
      <c r="H686" s="21" t="s">
        <v>35</v>
      </c>
      <c r="I686" s="24">
        <v>611419</v>
      </c>
      <c r="J686" s="20">
        <v>41138</v>
      </c>
      <c r="K686" s="25">
        <v>790</v>
      </c>
      <c r="L686" s="25">
        <v>0</v>
      </c>
      <c r="M686" s="25">
        <v>0</v>
      </c>
      <c r="N686" s="25">
        <v>0</v>
      </c>
      <c r="O686" s="25">
        <v>0</v>
      </c>
    </row>
    <row r="687" spans="8:15" x14ac:dyDescent="0.25">
      <c r="H687" s="21" t="s">
        <v>35</v>
      </c>
      <c r="I687" s="24">
        <v>611419</v>
      </c>
      <c r="J687" s="20">
        <v>41140</v>
      </c>
      <c r="K687" s="25">
        <v>85</v>
      </c>
      <c r="L687" s="25">
        <v>1</v>
      </c>
      <c r="M687" s="25">
        <v>164</v>
      </c>
      <c r="N687" s="25">
        <v>0</v>
      </c>
      <c r="O687" s="25">
        <v>0</v>
      </c>
    </row>
    <row r="688" spans="8:15" x14ac:dyDescent="0.25">
      <c r="H688" s="21" t="s">
        <v>35</v>
      </c>
      <c r="I688" s="24">
        <v>611419</v>
      </c>
      <c r="J688" s="20">
        <v>41140</v>
      </c>
      <c r="K688" s="25">
        <v>465</v>
      </c>
      <c r="L688" s="25">
        <v>0</v>
      </c>
      <c r="M688" s="25">
        <v>0</v>
      </c>
      <c r="N688" s="25">
        <v>0</v>
      </c>
      <c r="O688" s="25">
        <v>0</v>
      </c>
    </row>
    <row r="689" spans="8:15" x14ac:dyDescent="0.25">
      <c r="H689" s="21" t="s">
        <v>35</v>
      </c>
      <c r="I689" s="24">
        <v>611419</v>
      </c>
      <c r="J689" s="20">
        <v>41140</v>
      </c>
      <c r="K689" s="25">
        <v>466</v>
      </c>
      <c r="L689" s="25">
        <v>27</v>
      </c>
      <c r="M689" s="25">
        <v>7283</v>
      </c>
      <c r="N689" s="25">
        <v>13</v>
      </c>
      <c r="O689" s="25">
        <v>0</v>
      </c>
    </row>
    <row r="690" spans="8:15" x14ac:dyDescent="0.25">
      <c r="H690" s="21" t="s">
        <v>35</v>
      </c>
      <c r="I690" s="24">
        <v>611419</v>
      </c>
      <c r="J690" s="20">
        <v>41140</v>
      </c>
      <c r="K690" s="25">
        <v>467</v>
      </c>
      <c r="L690" s="25">
        <v>0</v>
      </c>
      <c r="M690" s="25">
        <v>0</v>
      </c>
      <c r="N690" s="25">
        <v>0</v>
      </c>
      <c r="O690" s="25">
        <v>0</v>
      </c>
    </row>
    <row r="691" spans="8:15" x14ac:dyDescent="0.25">
      <c r="H691" s="21" t="s">
        <v>35</v>
      </c>
      <c r="I691" s="24">
        <v>611419</v>
      </c>
      <c r="J691" s="20">
        <v>41140</v>
      </c>
      <c r="K691" s="25">
        <v>477</v>
      </c>
      <c r="L691" s="25">
        <v>17</v>
      </c>
      <c r="M691" s="25">
        <v>4141</v>
      </c>
      <c r="N691" s="25">
        <v>24</v>
      </c>
      <c r="O691" s="25">
        <v>0</v>
      </c>
    </row>
    <row r="692" spans="8:15" x14ac:dyDescent="0.25">
      <c r="H692" s="21" t="s">
        <v>35</v>
      </c>
      <c r="I692" s="24">
        <v>611419</v>
      </c>
      <c r="J692" s="20">
        <v>41140</v>
      </c>
      <c r="K692" s="25">
        <v>478</v>
      </c>
      <c r="L692" s="25">
        <v>5</v>
      </c>
      <c r="M692" s="25">
        <v>1396</v>
      </c>
      <c r="N692" s="25">
        <v>9</v>
      </c>
      <c r="O692" s="25">
        <v>0</v>
      </c>
    </row>
    <row r="693" spans="8:15" x14ac:dyDescent="0.25">
      <c r="H693" s="21" t="s">
        <v>35</v>
      </c>
      <c r="I693" s="24">
        <v>611419</v>
      </c>
      <c r="J693" s="20">
        <v>41140</v>
      </c>
      <c r="K693" s="25">
        <v>480</v>
      </c>
      <c r="L693" s="25">
        <v>3</v>
      </c>
      <c r="M693" s="25">
        <v>469</v>
      </c>
      <c r="N693" s="25">
        <v>0</v>
      </c>
      <c r="O693" s="25">
        <v>0</v>
      </c>
    </row>
    <row r="694" spans="8:15" x14ac:dyDescent="0.25">
      <c r="H694" s="21" t="s">
        <v>35</v>
      </c>
      <c r="I694" s="24">
        <v>611419</v>
      </c>
      <c r="J694" s="20">
        <v>41140</v>
      </c>
      <c r="K694" s="25">
        <v>481</v>
      </c>
      <c r="L694" s="25">
        <v>3</v>
      </c>
      <c r="M694" s="25">
        <v>223</v>
      </c>
      <c r="N694" s="25">
        <v>5</v>
      </c>
      <c r="O694" s="25">
        <v>0</v>
      </c>
    </row>
    <row r="695" spans="8:15" x14ac:dyDescent="0.25">
      <c r="H695" s="21" t="s">
        <v>35</v>
      </c>
      <c r="I695" s="24">
        <v>611419</v>
      </c>
      <c r="J695" s="20">
        <v>41140</v>
      </c>
      <c r="K695" s="25">
        <v>482</v>
      </c>
      <c r="L695" s="25">
        <v>14</v>
      </c>
      <c r="M695" s="25">
        <v>4700</v>
      </c>
      <c r="N695" s="25">
        <v>6</v>
      </c>
      <c r="O695" s="25">
        <v>0</v>
      </c>
    </row>
    <row r="696" spans="8:15" x14ac:dyDescent="0.25">
      <c r="H696" s="21" t="s">
        <v>35</v>
      </c>
      <c r="I696" s="24">
        <v>611419</v>
      </c>
      <c r="J696" s="20">
        <v>41140</v>
      </c>
      <c r="K696" s="25">
        <v>790</v>
      </c>
      <c r="L696" s="25">
        <v>0</v>
      </c>
      <c r="M696" s="25">
        <v>0</v>
      </c>
      <c r="N696" s="25">
        <v>0</v>
      </c>
      <c r="O696" s="25">
        <v>0</v>
      </c>
    </row>
    <row r="697" spans="8:15" x14ac:dyDescent="0.25">
      <c r="H697" s="21" t="s">
        <v>35</v>
      </c>
      <c r="I697" s="24">
        <v>611419</v>
      </c>
      <c r="J697" s="20">
        <v>41141</v>
      </c>
      <c r="K697" s="25">
        <v>85</v>
      </c>
      <c r="L697" s="25">
        <v>0</v>
      </c>
      <c r="M697" s="25">
        <v>0</v>
      </c>
      <c r="N697" s="25">
        <v>0</v>
      </c>
      <c r="O697" s="25">
        <v>0</v>
      </c>
    </row>
    <row r="698" spans="8:15" x14ac:dyDescent="0.25">
      <c r="H698" s="21" t="s">
        <v>35</v>
      </c>
      <c r="I698" s="24">
        <v>611419</v>
      </c>
      <c r="J698" s="20">
        <v>41141</v>
      </c>
      <c r="K698" s="25">
        <v>465</v>
      </c>
      <c r="L698" s="25">
        <v>0</v>
      </c>
      <c r="M698" s="25">
        <v>0</v>
      </c>
      <c r="N698" s="25">
        <v>0</v>
      </c>
      <c r="O698" s="25">
        <v>0</v>
      </c>
    </row>
    <row r="699" spans="8:15" x14ac:dyDescent="0.25">
      <c r="H699" s="21" t="s">
        <v>35</v>
      </c>
      <c r="I699" s="24">
        <v>611419</v>
      </c>
      <c r="J699" s="20">
        <v>41141</v>
      </c>
      <c r="K699" s="25">
        <v>466</v>
      </c>
      <c r="L699" s="25">
        <v>19</v>
      </c>
      <c r="M699" s="25">
        <v>4348</v>
      </c>
      <c r="N699" s="25">
        <v>13</v>
      </c>
      <c r="O699" s="25">
        <v>198</v>
      </c>
    </row>
    <row r="700" spans="8:15" x14ac:dyDescent="0.25">
      <c r="H700" s="21" t="s">
        <v>35</v>
      </c>
      <c r="I700" s="24">
        <v>611419</v>
      </c>
      <c r="J700" s="20">
        <v>41141</v>
      </c>
      <c r="K700" s="25">
        <v>467</v>
      </c>
      <c r="L700" s="25">
        <v>0</v>
      </c>
      <c r="M700" s="25">
        <v>0</v>
      </c>
      <c r="N700" s="25">
        <v>0</v>
      </c>
      <c r="O700" s="25">
        <v>0</v>
      </c>
    </row>
    <row r="701" spans="8:15" x14ac:dyDescent="0.25">
      <c r="H701" s="21" t="s">
        <v>35</v>
      </c>
      <c r="I701" s="24">
        <v>611419</v>
      </c>
      <c r="J701" s="20">
        <v>41141</v>
      </c>
      <c r="K701" s="25">
        <v>477</v>
      </c>
      <c r="L701" s="25">
        <v>9</v>
      </c>
      <c r="M701" s="25">
        <v>2588</v>
      </c>
      <c r="N701" s="25">
        <v>8</v>
      </c>
      <c r="O701" s="25">
        <v>60</v>
      </c>
    </row>
    <row r="702" spans="8:15" x14ac:dyDescent="0.25">
      <c r="H702" s="21" t="s">
        <v>35</v>
      </c>
      <c r="I702" s="24">
        <v>611419</v>
      </c>
      <c r="J702" s="20">
        <v>41141</v>
      </c>
      <c r="K702" s="25">
        <v>478</v>
      </c>
      <c r="L702" s="25">
        <v>0</v>
      </c>
      <c r="M702" s="25">
        <v>0</v>
      </c>
      <c r="N702" s="25">
        <v>0</v>
      </c>
      <c r="O702" s="25">
        <v>0</v>
      </c>
    </row>
    <row r="703" spans="8:15" x14ac:dyDescent="0.25">
      <c r="H703" s="21" t="s">
        <v>35</v>
      </c>
      <c r="I703" s="24">
        <v>611419</v>
      </c>
      <c r="J703" s="20">
        <v>41141</v>
      </c>
      <c r="K703" s="25">
        <v>480</v>
      </c>
      <c r="L703" s="25">
        <v>8</v>
      </c>
      <c r="M703" s="25">
        <v>2796</v>
      </c>
      <c r="N703" s="25">
        <v>0</v>
      </c>
      <c r="O703" s="25">
        <v>64</v>
      </c>
    </row>
    <row r="704" spans="8:15" x14ac:dyDescent="0.25">
      <c r="H704" s="21" t="s">
        <v>35</v>
      </c>
      <c r="I704" s="24">
        <v>611419</v>
      </c>
      <c r="J704" s="20">
        <v>41141</v>
      </c>
      <c r="K704" s="25">
        <v>481</v>
      </c>
      <c r="L704" s="25">
        <v>0</v>
      </c>
      <c r="M704" s="25">
        <v>0</v>
      </c>
      <c r="N704" s="25">
        <v>0</v>
      </c>
      <c r="O704" s="25">
        <v>0</v>
      </c>
    </row>
    <row r="705" spans="8:15" x14ac:dyDescent="0.25">
      <c r="H705" s="21" t="s">
        <v>35</v>
      </c>
      <c r="I705" s="24">
        <v>611419</v>
      </c>
      <c r="J705" s="20">
        <v>41141</v>
      </c>
      <c r="K705" s="25">
        <v>482</v>
      </c>
      <c r="L705" s="25">
        <v>18</v>
      </c>
      <c r="M705" s="25">
        <v>3275</v>
      </c>
      <c r="N705" s="25">
        <v>6</v>
      </c>
      <c r="O705" s="25">
        <v>50</v>
      </c>
    </row>
    <row r="706" spans="8:15" x14ac:dyDescent="0.25">
      <c r="H706" s="21" t="s">
        <v>35</v>
      </c>
      <c r="I706" s="24">
        <v>611419</v>
      </c>
      <c r="J706" s="20">
        <v>41141</v>
      </c>
      <c r="K706" s="25">
        <v>790</v>
      </c>
      <c r="L706" s="25">
        <v>0</v>
      </c>
      <c r="M706" s="25">
        <v>0</v>
      </c>
      <c r="N706" s="25">
        <v>0</v>
      </c>
      <c r="O706" s="25">
        <v>0</v>
      </c>
    </row>
    <row r="707" spans="8:15" x14ac:dyDescent="0.25">
      <c r="H707" s="21" t="s">
        <v>35</v>
      </c>
      <c r="I707" s="24">
        <v>611419</v>
      </c>
      <c r="J707" s="20">
        <v>41142</v>
      </c>
      <c r="K707" s="25">
        <v>85</v>
      </c>
      <c r="L707" s="25">
        <v>0</v>
      </c>
      <c r="M707" s="25">
        <v>0</v>
      </c>
      <c r="N707" s="25">
        <v>0</v>
      </c>
      <c r="O707" s="25">
        <v>0</v>
      </c>
    </row>
    <row r="708" spans="8:15" x14ac:dyDescent="0.25">
      <c r="H708" s="21" t="s">
        <v>35</v>
      </c>
      <c r="I708" s="24">
        <v>611419</v>
      </c>
      <c r="J708" s="20">
        <v>41142</v>
      </c>
      <c r="K708" s="25">
        <v>465</v>
      </c>
      <c r="L708" s="25">
        <v>0</v>
      </c>
      <c r="M708" s="25">
        <v>0</v>
      </c>
      <c r="N708" s="25">
        <v>0</v>
      </c>
      <c r="O708" s="25">
        <v>0</v>
      </c>
    </row>
    <row r="709" spans="8:15" x14ac:dyDescent="0.25">
      <c r="H709" s="21" t="s">
        <v>35</v>
      </c>
      <c r="I709" s="24">
        <v>611419</v>
      </c>
      <c r="J709" s="20">
        <v>41142</v>
      </c>
      <c r="K709" s="25">
        <v>466</v>
      </c>
      <c r="L709" s="25">
        <v>27</v>
      </c>
      <c r="M709" s="25">
        <v>6258</v>
      </c>
      <c r="N709" s="25">
        <v>3</v>
      </c>
      <c r="O709" s="25">
        <v>928</v>
      </c>
    </row>
    <row r="710" spans="8:15" x14ac:dyDescent="0.25">
      <c r="H710" s="21" t="s">
        <v>35</v>
      </c>
      <c r="I710" s="24">
        <v>611419</v>
      </c>
      <c r="J710" s="20">
        <v>41142</v>
      </c>
      <c r="K710" s="25">
        <v>467</v>
      </c>
      <c r="L710" s="25">
        <v>0</v>
      </c>
      <c r="M710" s="25">
        <v>0</v>
      </c>
      <c r="N710" s="25">
        <v>0</v>
      </c>
      <c r="O710" s="25">
        <v>0</v>
      </c>
    </row>
    <row r="711" spans="8:15" x14ac:dyDescent="0.25">
      <c r="H711" s="21" t="s">
        <v>35</v>
      </c>
      <c r="I711" s="24">
        <v>611419</v>
      </c>
      <c r="J711" s="20">
        <v>41142</v>
      </c>
      <c r="K711" s="25">
        <v>477</v>
      </c>
      <c r="L711" s="25">
        <v>12</v>
      </c>
      <c r="M711" s="25">
        <v>2400</v>
      </c>
      <c r="N711" s="25">
        <v>5</v>
      </c>
      <c r="O711" s="25">
        <v>282</v>
      </c>
    </row>
    <row r="712" spans="8:15" x14ac:dyDescent="0.25">
      <c r="H712" s="21" t="s">
        <v>35</v>
      </c>
      <c r="I712" s="24">
        <v>611419</v>
      </c>
      <c r="J712" s="20">
        <v>41142</v>
      </c>
      <c r="K712" s="25">
        <v>478</v>
      </c>
      <c r="L712" s="25">
        <v>0</v>
      </c>
      <c r="M712" s="25">
        <v>0</v>
      </c>
      <c r="N712" s="25">
        <v>0</v>
      </c>
      <c r="O712" s="25">
        <v>0</v>
      </c>
    </row>
    <row r="713" spans="8:15" x14ac:dyDescent="0.25">
      <c r="H713" s="21" t="s">
        <v>35</v>
      </c>
      <c r="I713" s="24">
        <v>611419</v>
      </c>
      <c r="J713" s="20">
        <v>41142</v>
      </c>
      <c r="K713" s="25">
        <v>480</v>
      </c>
      <c r="L713" s="25">
        <v>4</v>
      </c>
      <c r="M713" s="25">
        <v>1564</v>
      </c>
      <c r="N713" s="25">
        <v>0</v>
      </c>
      <c r="O713" s="25">
        <v>41</v>
      </c>
    </row>
    <row r="714" spans="8:15" x14ac:dyDescent="0.25">
      <c r="H714" s="21" t="s">
        <v>35</v>
      </c>
      <c r="I714" s="24">
        <v>611419</v>
      </c>
      <c r="J714" s="20">
        <v>41142</v>
      </c>
      <c r="K714" s="25">
        <v>481</v>
      </c>
      <c r="L714" s="25">
        <v>0</v>
      </c>
      <c r="M714" s="25">
        <v>0</v>
      </c>
      <c r="N714" s="25">
        <v>0</v>
      </c>
      <c r="O714" s="25">
        <v>0</v>
      </c>
    </row>
    <row r="715" spans="8:15" x14ac:dyDescent="0.25">
      <c r="H715" s="21" t="s">
        <v>35</v>
      </c>
      <c r="I715" s="24">
        <v>611419</v>
      </c>
      <c r="J715" s="20">
        <v>41142</v>
      </c>
      <c r="K715" s="25">
        <v>482</v>
      </c>
      <c r="L715" s="25">
        <v>16</v>
      </c>
      <c r="M715" s="25">
        <v>3432</v>
      </c>
      <c r="N715" s="25">
        <v>1</v>
      </c>
      <c r="O715" s="25">
        <v>614</v>
      </c>
    </row>
    <row r="716" spans="8:15" x14ac:dyDescent="0.25">
      <c r="H716" s="21" t="s">
        <v>35</v>
      </c>
      <c r="I716" s="24">
        <v>611419</v>
      </c>
      <c r="J716" s="20">
        <v>41142</v>
      </c>
      <c r="K716" s="25">
        <v>790</v>
      </c>
      <c r="L716" s="25">
        <v>0</v>
      </c>
      <c r="M716" s="25">
        <v>0</v>
      </c>
      <c r="N716" s="25">
        <v>0</v>
      </c>
      <c r="O716" s="25">
        <v>0</v>
      </c>
    </row>
    <row r="717" spans="8:15" x14ac:dyDescent="0.25">
      <c r="H717" s="21" t="s">
        <v>35</v>
      </c>
      <c r="I717" s="24">
        <v>611419</v>
      </c>
      <c r="J717" s="20">
        <v>41143</v>
      </c>
      <c r="K717" s="25">
        <v>85</v>
      </c>
      <c r="L717" s="25">
        <v>0</v>
      </c>
      <c r="M717" s="25">
        <v>0</v>
      </c>
      <c r="N717" s="25">
        <v>0</v>
      </c>
      <c r="O717" s="25">
        <v>0</v>
      </c>
    </row>
    <row r="718" spans="8:15" x14ac:dyDescent="0.25">
      <c r="H718" s="21" t="s">
        <v>35</v>
      </c>
      <c r="I718" s="24">
        <v>611419</v>
      </c>
      <c r="J718" s="20">
        <v>41143</v>
      </c>
      <c r="K718" s="25">
        <v>465</v>
      </c>
      <c r="L718" s="25">
        <v>0</v>
      </c>
      <c r="M718" s="25">
        <v>0</v>
      </c>
      <c r="N718" s="25">
        <v>0</v>
      </c>
      <c r="O718" s="25">
        <v>0</v>
      </c>
    </row>
    <row r="719" spans="8:15" x14ac:dyDescent="0.25">
      <c r="H719" s="21" t="s">
        <v>35</v>
      </c>
      <c r="I719" s="24">
        <v>611419</v>
      </c>
      <c r="J719" s="20">
        <v>41143</v>
      </c>
      <c r="K719" s="25">
        <v>466</v>
      </c>
      <c r="L719" s="25">
        <v>21</v>
      </c>
      <c r="M719" s="25">
        <v>4506</v>
      </c>
      <c r="N719" s="25">
        <v>4</v>
      </c>
      <c r="O719" s="25">
        <v>1797</v>
      </c>
    </row>
    <row r="720" spans="8:15" x14ac:dyDescent="0.25">
      <c r="H720" s="21" t="s">
        <v>35</v>
      </c>
      <c r="I720" s="24">
        <v>611419</v>
      </c>
      <c r="J720" s="20">
        <v>41143</v>
      </c>
      <c r="K720" s="25">
        <v>467</v>
      </c>
      <c r="L720" s="25">
        <v>0</v>
      </c>
      <c r="M720" s="25">
        <v>0</v>
      </c>
      <c r="N720" s="25">
        <v>0</v>
      </c>
      <c r="O720" s="25">
        <v>0</v>
      </c>
    </row>
    <row r="721" spans="8:15" x14ac:dyDescent="0.25">
      <c r="H721" s="21" t="s">
        <v>35</v>
      </c>
      <c r="I721" s="24">
        <v>611419</v>
      </c>
      <c r="J721" s="20">
        <v>41143</v>
      </c>
      <c r="K721" s="25">
        <v>477</v>
      </c>
      <c r="L721" s="25">
        <v>13</v>
      </c>
      <c r="M721" s="25">
        <v>2743</v>
      </c>
      <c r="N721" s="25">
        <v>6</v>
      </c>
      <c r="O721" s="25">
        <v>1012</v>
      </c>
    </row>
    <row r="722" spans="8:15" x14ac:dyDescent="0.25">
      <c r="H722" s="21" t="s">
        <v>35</v>
      </c>
      <c r="I722" s="24">
        <v>611419</v>
      </c>
      <c r="J722" s="20">
        <v>41143</v>
      </c>
      <c r="K722" s="25">
        <v>478</v>
      </c>
      <c r="L722" s="25">
        <v>0</v>
      </c>
      <c r="M722" s="25">
        <v>0</v>
      </c>
      <c r="N722" s="25">
        <v>0</v>
      </c>
      <c r="O722" s="25">
        <v>0</v>
      </c>
    </row>
    <row r="723" spans="8:15" x14ac:dyDescent="0.25">
      <c r="H723" s="21" t="s">
        <v>35</v>
      </c>
      <c r="I723" s="24">
        <v>611419</v>
      </c>
      <c r="J723" s="20">
        <v>41143</v>
      </c>
      <c r="K723" s="25">
        <v>480</v>
      </c>
      <c r="L723" s="25">
        <v>6</v>
      </c>
      <c r="M723" s="25">
        <v>980</v>
      </c>
      <c r="N723" s="25">
        <v>5</v>
      </c>
      <c r="O723" s="25">
        <v>501</v>
      </c>
    </row>
    <row r="724" spans="8:15" x14ac:dyDescent="0.25">
      <c r="H724" s="21" t="s">
        <v>35</v>
      </c>
      <c r="I724" s="24">
        <v>611419</v>
      </c>
      <c r="J724" s="20">
        <v>41143</v>
      </c>
      <c r="K724" s="25">
        <v>481</v>
      </c>
      <c r="L724" s="25">
        <v>0</v>
      </c>
      <c r="M724" s="25">
        <v>0</v>
      </c>
      <c r="N724" s="25">
        <v>0</v>
      </c>
      <c r="O724" s="25">
        <v>0</v>
      </c>
    </row>
    <row r="725" spans="8:15" x14ac:dyDescent="0.25">
      <c r="H725" s="21" t="s">
        <v>35</v>
      </c>
      <c r="I725" s="24">
        <v>611419</v>
      </c>
      <c r="J725" s="20">
        <v>41143</v>
      </c>
      <c r="K725" s="25">
        <v>482</v>
      </c>
      <c r="L725" s="25">
        <v>14</v>
      </c>
      <c r="M725" s="25">
        <v>2563</v>
      </c>
      <c r="N725" s="25">
        <v>7</v>
      </c>
      <c r="O725" s="25">
        <v>1053</v>
      </c>
    </row>
    <row r="726" spans="8:15" x14ac:dyDescent="0.25">
      <c r="H726" s="21" t="s">
        <v>35</v>
      </c>
      <c r="I726" s="24">
        <v>611419</v>
      </c>
      <c r="J726" s="20">
        <v>41143</v>
      </c>
      <c r="K726" s="25">
        <v>790</v>
      </c>
      <c r="L726" s="25">
        <v>0</v>
      </c>
      <c r="M726" s="25">
        <v>0</v>
      </c>
      <c r="N726" s="25">
        <v>0</v>
      </c>
      <c r="O726" s="25">
        <v>0</v>
      </c>
    </row>
    <row r="727" spans="8:15" x14ac:dyDescent="0.25">
      <c r="H727" s="21" t="s">
        <v>35</v>
      </c>
      <c r="I727" s="24">
        <v>611419</v>
      </c>
      <c r="J727" s="20">
        <v>41144</v>
      </c>
      <c r="K727" s="25">
        <v>85</v>
      </c>
      <c r="L727" s="25">
        <v>0</v>
      </c>
      <c r="M727" s="25">
        <v>0</v>
      </c>
      <c r="N727" s="25">
        <v>0</v>
      </c>
      <c r="O727" s="25">
        <v>0</v>
      </c>
    </row>
    <row r="728" spans="8:15" x14ac:dyDescent="0.25">
      <c r="H728" s="21" t="s">
        <v>35</v>
      </c>
      <c r="I728" s="24">
        <v>611419</v>
      </c>
      <c r="J728" s="20">
        <v>41144</v>
      </c>
      <c r="K728" s="25">
        <v>465</v>
      </c>
      <c r="L728" s="25">
        <v>0</v>
      </c>
      <c r="M728" s="25">
        <v>0</v>
      </c>
      <c r="N728" s="25">
        <v>0</v>
      </c>
      <c r="O728" s="25">
        <v>0</v>
      </c>
    </row>
    <row r="729" spans="8:15" x14ac:dyDescent="0.25">
      <c r="H729" s="21" t="s">
        <v>35</v>
      </c>
      <c r="I729" s="24">
        <v>611419</v>
      </c>
      <c r="J729" s="20">
        <v>41144</v>
      </c>
      <c r="K729" s="25">
        <v>466</v>
      </c>
      <c r="L729" s="25">
        <v>20</v>
      </c>
      <c r="M729" s="25">
        <v>6035</v>
      </c>
      <c r="N729" s="25">
        <v>4</v>
      </c>
      <c r="O729" s="25">
        <v>610</v>
      </c>
    </row>
    <row r="730" spans="8:15" x14ac:dyDescent="0.25">
      <c r="H730" s="21" t="s">
        <v>35</v>
      </c>
      <c r="I730" s="24">
        <v>611419</v>
      </c>
      <c r="J730" s="20">
        <v>41144</v>
      </c>
      <c r="K730" s="25">
        <v>467</v>
      </c>
      <c r="L730" s="25">
        <v>0</v>
      </c>
      <c r="M730" s="25">
        <v>0</v>
      </c>
      <c r="N730" s="25">
        <v>0</v>
      </c>
      <c r="O730" s="25">
        <v>0</v>
      </c>
    </row>
    <row r="731" spans="8:15" x14ac:dyDescent="0.25">
      <c r="H731" s="21" t="s">
        <v>35</v>
      </c>
      <c r="I731" s="24">
        <v>611419</v>
      </c>
      <c r="J731" s="20">
        <v>41144</v>
      </c>
      <c r="K731" s="25">
        <v>477</v>
      </c>
      <c r="L731" s="25">
        <v>6</v>
      </c>
      <c r="M731" s="25">
        <v>1541</v>
      </c>
      <c r="N731" s="25">
        <v>4</v>
      </c>
      <c r="O731" s="25">
        <v>331</v>
      </c>
    </row>
    <row r="732" spans="8:15" x14ac:dyDescent="0.25">
      <c r="H732" s="21" t="s">
        <v>35</v>
      </c>
      <c r="I732" s="24">
        <v>611419</v>
      </c>
      <c r="J732" s="20">
        <v>41144</v>
      </c>
      <c r="K732" s="25">
        <v>478</v>
      </c>
      <c r="L732" s="25">
        <v>1</v>
      </c>
      <c r="M732" s="25">
        <v>191</v>
      </c>
      <c r="N732" s="25">
        <v>0</v>
      </c>
      <c r="O732" s="25">
        <v>158</v>
      </c>
    </row>
    <row r="733" spans="8:15" x14ac:dyDescent="0.25">
      <c r="H733" s="21" t="s">
        <v>35</v>
      </c>
      <c r="I733" s="24">
        <v>611419</v>
      </c>
      <c r="J733" s="20">
        <v>41144</v>
      </c>
      <c r="K733" s="25">
        <v>480</v>
      </c>
      <c r="L733" s="25">
        <v>7</v>
      </c>
      <c r="M733" s="25">
        <v>1297</v>
      </c>
      <c r="N733" s="25">
        <v>0</v>
      </c>
      <c r="O733" s="25">
        <v>69</v>
      </c>
    </row>
    <row r="734" spans="8:15" x14ac:dyDescent="0.25">
      <c r="H734" s="21" t="s">
        <v>35</v>
      </c>
      <c r="I734" s="24">
        <v>611419</v>
      </c>
      <c r="J734" s="20">
        <v>41144</v>
      </c>
      <c r="K734" s="25">
        <v>481</v>
      </c>
      <c r="L734" s="25">
        <v>0</v>
      </c>
      <c r="M734" s="25">
        <v>0</v>
      </c>
      <c r="N734" s="25">
        <v>0</v>
      </c>
      <c r="O734" s="25">
        <v>0</v>
      </c>
    </row>
    <row r="735" spans="8:15" x14ac:dyDescent="0.25">
      <c r="H735" s="21" t="s">
        <v>35</v>
      </c>
      <c r="I735" s="24">
        <v>611419</v>
      </c>
      <c r="J735" s="20">
        <v>41144</v>
      </c>
      <c r="K735" s="25">
        <v>482</v>
      </c>
      <c r="L735" s="25">
        <v>9</v>
      </c>
      <c r="M735" s="25">
        <v>2077</v>
      </c>
      <c r="N735" s="25">
        <v>3</v>
      </c>
      <c r="O735" s="25">
        <v>430</v>
      </c>
    </row>
    <row r="736" spans="8:15" x14ac:dyDescent="0.25">
      <c r="H736" s="21" t="s">
        <v>35</v>
      </c>
      <c r="I736" s="24">
        <v>611419</v>
      </c>
      <c r="J736" s="20">
        <v>41144</v>
      </c>
      <c r="K736" s="25">
        <v>790</v>
      </c>
      <c r="L736" s="25">
        <v>0</v>
      </c>
      <c r="M736" s="25">
        <v>0</v>
      </c>
      <c r="N736" s="25">
        <v>0</v>
      </c>
      <c r="O736" s="25">
        <v>0</v>
      </c>
    </row>
    <row r="737" spans="8:15" x14ac:dyDescent="0.25">
      <c r="H737" s="21" t="s">
        <v>35</v>
      </c>
      <c r="I737" s="24">
        <v>611419</v>
      </c>
      <c r="J737" s="20">
        <v>41145</v>
      </c>
      <c r="K737" s="25">
        <v>85</v>
      </c>
      <c r="L737" s="25">
        <v>0</v>
      </c>
      <c r="M737" s="25">
        <v>0</v>
      </c>
      <c r="N737" s="25">
        <v>0</v>
      </c>
      <c r="O737" s="25">
        <v>0</v>
      </c>
    </row>
    <row r="738" spans="8:15" x14ac:dyDescent="0.25">
      <c r="H738" s="21" t="s">
        <v>35</v>
      </c>
      <c r="I738" s="24">
        <v>611419</v>
      </c>
      <c r="J738" s="20">
        <v>41145</v>
      </c>
      <c r="K738" s="25">
        <v>465</v>
      </c>
      <c r="L738" s="25">
        <v>0</v>
      </c>
      <c r="M738" s="25">
        <v>0</v>
      </c>
      <c r="N738" s="25">
        <v>0</v>
      </c>
      <c r="O738" s="25">
        <v>0</v>
      </c>
    </row>
    <row r="739" spans="8:15" x14ac:dyDescent="0.25">
      <c r="H739" s="21" t="s">
        <v>35</v>
      </c>
      <c r="I739" s="24">
        <v>611419</v>
      </c>
      <c r="J739" s="20">
        <v>41145</v>
      </c>
      <c r="K739" s="25">
        <v>466</v>
      </c>
      <c r="L739" s="25">
        <v>27</v>
      </c>
      <c r="M739" s="25">
        <v>6045</v>
      </c>
      <c r="N739" s="25">
        <v>16</v>
      </c>
      <c r="O739" s="25">
        <v>2628</v>
      </c>
    </row>
    <row r="740" spans="8:15" x14ac:dyDescent="0.25">
      <c r="H740" s="21" t="s">
        <v>35</v>
      </c>
      <c r="I740" s="24">
        <v>611419</v>
      </c>
      <c r="J740" s="20">
        <v>41145</v>
      </c>
      <c r="K740" s="25">
        <v>467</v>
      </c>
      <c r="L740" s="25">
        <v>0</v>
      </c>
      <c r="M740" s="25">
        <v>0</v>
      </c>
      <c r="N740" s="25">
        <v>0</v>
      </c>
      <c r="O740" s="25">
        <v>0</v>
      </c>
    </row>
    <row r="741" spans="8:15" x14ac:dyDescent="0.25">
      <c r="H741" s="21" t="s">
        <v>35</v>
      </c>
      <c r="I741" s="24">
        <v>611419</v>
      </c>
      <c r="J741" s="20">
        <v>41145</v>
      </c>
      <c r="K741" s="25">
        <v>477</v>
      </c>
      <c r="L741" s="25">
        <v>7</v>
      </c>
      <c r="M741" s="25">
        <v>1335</v>
      </c>
      <c r="N741" s="25">
        <v>4</v>
      </c>
      <c r="O741" s="25">
        <v>56</v>
      </c>
    </row>
    <row r="742" spans="8:15" x14ac:dyDescent="0.25">
      <c r="H742" s="21" t="s">
        <v>35</v>
      </c>
      <c r="I742" s="24">
        <v>611419</v>
      </c>
      <c r="J742" s="20">
        <v>41145</v>
      </c>
      <c r="K742" s="25">
        <v>478</v>
      </c>
      <c r="L742" s="25">
        <v>0</v>
      </c>
      <c r="M742" s="25">
        <v>0</v>
      </c>
      <c r="N742" s="25">
        <v>0</v>
      </c>
      <c r="O742" s="25">
        <v>0</v>
      </c>
    </row>
    <row r="743" spans="8:15" x14ac:dyDescent="0.25">
      <c r="H743" s="21" t="s">
        <v>35</v>
      </c>
      <c r="I743" s="24">
        <v>611419</v>
      </c>
      <c r="J743" s="20">
        <v>41145</v>
      </c>
      <c r="K743" s="25">
        <v>480</v>
      </c>
      <c r="L743" s="25">
        <v>6</v>
      </c>
      <c r="M743" s="25">
        <v>1530</v>
      </c>
      <c r="N743" s="25">
        <v>0</v>
      </c>
      <c r="O743" s="25">
        <v>108</v>
      </c>
    </row>
    <row r="744" spans="8:15" x14ac:dyDescent="0.25">
      <c r="H744" s="21" t="s">
        <v>35</v>
      </c>
      <c r="I744" s="24">
        <v>611419</v>
      </c>
      <c r="J744" s="20">
        <v>41145</v>
      </c>
      <c r="K744" s="25">
        <v>481</v>
      </c>
      <c r="L744" s="25">
        <v>0</v>
      </c>
      <c r="M744" s="25">
        <v>0</v>
      </c>
      <c r="N744" s="25">
        <v>0</v>
      </c>
      <c r="O744" s="25">
        <v>0</v>
      </c>
    </row>
    <row r="745" spans="8:15" x14ac:dyDescent="0.25">
      <c r="H745" s="21" t="s">
        <v>35</v>
      </c>
      <c r="I745" s="24">
        <v>611419</v>
      </c>
      <c r="J745" s="20">
        <v>41145</v>
      </c>
      <c r="K745" s="25">
        <v>482</v>
      </c>
      <c r="L745" s="25">
        <v>10</v>
      </c>
      <c r="M745" s="25">
        <v>3068</v>
      </c>
      <c r="N745" s="25">
        <v>9</v>
      </c>
      <c r="O745" s="25">
        <v>147</v>
      </c>
    </row>
    <row r="746" spans="8:15" x14ac:dyDescent="0.25">
      <c r="H746" s="21" t="s">
        <v>35</v>
      </c>
      <c r="I746" s="24">
        <v>611419</v>
      </c>
      <c r="J746" s="20">
        <v>41145</v>
      </c>
      <c r="K746" s="25">
        <v>790</v>
      </c>
      <c r="L746" s="25">
        <v>0</v>
      </c>
      <c r="M746" s="25">
        <v>0</v>
      </c>
      <c r="N746" s="25">
        <v>0</v>
      </c>
      <c r="O746" s="25">
        <v>0</v>
      </c>
    </row>
    <row r="747" spans="8:15" x14ac:dyDescent="0.25">
      <c r="H747" s="21" t="s">
        <v>35</v>
      </c>
      <c r="I747" s="24">
        <v>611419</v>
      </c>
      <c r="J747" s="20">
        <v>41146</v>
      </c>
      <c r="K747" s="25">
        <v>85</v>
      </c>
      <c r="L747" s="25">
        <v>0</v>
      </c>
      <c r="M747" s="25">
        <v>0</v>
      </c>
      <c r="N747" s="25">
        <v>0</v>
      </c>
      <c r="O747" s="25">
        <v>0</v>
      </c>
    </row>
    <row r="748" spans="8:15" x14ac:dyDescent="0.25">
      <c r="H748" s="21" t="s">
        <v>35</v>
      </c>
      <c r="I748" s="24">
        <v>611419</v>
      </c>
      <c r="J748" s="20">
        <v>41146</v>
      </c>
      <c r="K748" s="25">
        <v>465</v>
      </c>
      <c r="L748" s="25">
        <v>0</v>
      </c>
      <c r="M748" s="25">
        <v>0</v>
      </c>
      <c r="N748" s="25">
        <v>0</v>
      </c>
      <c r="O748" s="25">
        <v>0</v>
      </c>
    </row>
    <row r="749" spans="8:15" x14ac:dyDescent="0.25">
      <c r="H749" s="21" t="s">
        <v>35</v>
      </c>
      <c r="I749" s="24">
        <v>611419</v>
      </c>
      <c r="J749" s="20">
        <v>41146</v>
      </c>
      <c r="K749" s="25">
        <v>466</v>
      </c>
      <c r="L749" s="25">
        <v>20</v>
      </c>
      <c r="M749" s="25">
        <v>3878</v>
      </c>
      <c r="N749" s="25">
        <v>24</v>
      </c>
      <c r="O749" s="25">
        <v>137</v>
      </c>
    </row>
    <row r="750" spans="8:15" x14ac:dyDescent="0.25">
      <c r="H750" s="21" t="s">
        <v>35</v>
      </c>
      <c r="I750" s="24">
        <v>611419</v>
      </c>
      <c r="J750" s="20">
        <v>41146</v>
      </c>
      <c r="K750" s="25">
        <v>467</v>
      </c>
      <c r="L750" s="25">
        <v>0</v>
      </c>
      <c r="M750" s="25">
        <v>0</v>
      </c>
      <c r="N750" s="25">
        <v>0</v>
      </c>
      <c r="O750" s="25">
        <v>0</v>
      </c>
    </row>
    <row r="751" spans="8:15" x14ac:dyDescent="0.25">
      <c r="H751" s="21" t="s">
        <v>35</v>
      </c>
      <c r="I751" s="24">
        <v>611419</v>
      </c>
      <c r="J751" s="20">
        <v>41146</v>
      </c>
      <c r="K751" s="25">
        <v>477</v>
      </c>
      <c r="L751" s="25">
        <v>15</v>
      </c>
      <c r="M751" s="25">
        <v>2867</v>
      </c>
      <c r="N751" s="25">
        <v>17</v>
      </c>
      <c r="O751" s="25">
        <v>187</v>
      </c>
    </row>
    <row r="752" spans="8:15" x14ac:dyDescent="0.25">
      <c r="H752" s="21" t="s">
        <v>35</v>
      </c>
      <c r="I752" s="24">
        <v>611419</v>
      </c>
      <c r="J752" s="20">
        <v>41146</v>
      </c>
      <c r="K752" s="25">
        <v>478</v>
      </c>
      <c r="L752" s="25">
        <v>10</v>
      </c>
      <c r="M752" s="25">
        <v>4132</v>
      </c>
      <c r="N752" s="25">
        <v>13</v>
      </c>
      <c r="O752" s="25">
        <v>75</v>
      </c>
    </row>
    <row r="753" spans="8:15" x14ac:dyDescent="0.25">
      <c r="H753" s="21" t="s">
        <v>35</v>
      </c>
      <c r="I753" s="24">
        <v>611419</v>
      </c>
      <c r="J753" s="20">
        <v>41146</v>
      </c>
      <c r="K753" s="25">
        <v>480</v>
      </c>
      <c r="L753" s="25">
        <v>7</v>
      </c>
      <c r="M753" s="25">
        <v>1291</v>
      </c>
      <c r="N753" s="25">
        <v>12</v>
      </c>
      <c r="O753" s="25">
        <v>12</v>
      </c>
    </row>
    <row r="754" spans="8:15" x14ac:dyDescent="0.25">
      <c r="H754" s="21" t="s">
        <v>35</v>
      </c>
      <c r="I754" s="24">
        <v>611419</v>
      </c>
      <c r="J754" s="20">
        <v>41146</v>
      </c>
      <c r="K754" s="25">
        <v>481</v>
      </c>
      <c r="L754" s="25">
        <v>0</v>
      </c>
      <c r="M754" s="25">
        <v>0</v>
      </c>
      <c r="N754" s="25">
        <v>0</v>
      </c>
      <c r="O754" s="25">
        <v>0</v>
      </c>
    </row>
    <row r="755" spans="8:15" x14ac:dyDescent="0.25">
      <c r="H755" s="21" t="s">
        <v>35</v>
      </c>
      <c r="I755" s="24">
        <v>611419</v>
      </c>
      <c r="J755" s="20">
        <v>41146</v>
      </c>
      <c r="K755" s="25">
        <v>482</v>
      </c>
      <c r="L755" s="25">
        <v>14</v>
      </c>
      <c r="M755" s="25">
        <v>3117</v>
      </c>
      <c r="N755" s="25">
        <v>26</v>
      </c>
      <c r="O755" s="25">
        <v>138</v>
      </c>
    </row>
    <row r="756" spans="8:15" x14ac:dyDescent="0.25">
      <c r="H756" s="21" t="s">
        <v>35</v>
      </c>
      <c r="I756" s="24">
        <v>611419</v>
      </c>
      <c r="J756" s="20">
        <v>41146</v>
      </c>
      <c r="K756" s="25">
        <v>790</v>
      </c>
      <c r="L756" s="25">
        <v>0</v>
      </c>
      <c r="M756" s="25">
        <v>0</v>
      </c>
      <c r="N756" s="25">
        <v>0</v>
      </c>
      <c r="O756" s="25">
        <v>0</v>
      </c>
    </row>
    <row r="757" spans="8:15" x14ac:dyDescent="0.25">
      <c r="H757" s="21" t="s">
        <v>35</v>
      </c>
      <c r="I757" s="24">
        <v>611419</v>
      </c>
      <c r="J757" s="20">
        <v>41148</v>
      </c>
      <c r="K757" s="25">
        <v>85</v>
      </c>
      <c r="L757" s="25">
        <v>0</v>
      </c>
      <c r="M757" s="25">
        <v>0</v>
      </c>
      <c r="N757" s="25">
        <v>0</v>
      </c>
      <c r="O757" s="25">
        <v>0</v>
      </c>
    </row>
    <row r="758" spans="8:15" x14ac:dyDescent="0.25">
      <c r="H758" s="21" t="s">
        <v>35</v>
      </c>
      <c r="I758" s="24">
        <v>611419</v>
      </c>
      <c r="J758" s="20">
        <v>41148</v>
      </c>
      <c r="K758" s="25">
        <v>465</v>
      </c>
      <c r="L758" s="25">
        <v>0</v>
      </c>
      <c r="M758" s="25">
        <v>0</v>
      </c>
      <c r="N758" s="25">
        <v>0</v>
      </c>
      <c r="O758" s="25">
        <v>0</v>
      </c>
    </row>
    <row r="759" spans="8:15" x14ac:dyDescent="0.25">
      <c r="H759" s="21" t="s">
        <v>35</v>
      </c>
      <c r="I759" s="24">
        <v>611419</v>
      </c>
      <c r="J759" s="20">
        <v>41148</v>
      </c>
      <c r="K759" s="25">
        <v>466</v>
      </c>
      <c r="L759" s="25">
        <v>28</v>
      </c>
      <c r="M759" s="25">
        <v>5250</v>
      </c>
      <c r="N759" s="25">
        <v>16</v>
      </c>
      <c r="O759" s="25">
        <v>591</v>
      </c>
    </row>
    <row r="760" spans="8:15" x14ac:dyDescent="0.25">
      <c r="H760" s="21" t="s">
        <v>35</v>
      </c>
      <c r="I760" s="24">
        <v>611419</v>
      </c>
      <c r="J760" s="20">
        <v>41148</v>
      </c>
      <c r="K760" s="25">
        <v>467</v>
      </c>
      <c r="L760" s="25">
        <v>0</v>
      </c>
      <c r="M760" s="25">
        <v>0</v>
      </c>
      <c r="N760" s="25">
        <v>0</v>
      </c>
      <c r="O760" s="25">
        <v>0</v>
      </c>
    </row>
    <row r="761" spans="8:15" x14ac:dyDescent="0.25">
      <c r="H761" s="21" t="s">
        <v>35</v>
      </c>
      <c r="I761" s="24">
        <v>611419</v>
      </c>
      <c r="J761" s="20">
        <v>41148</v>
      </c>
      <c r="K761" s="25">
        <v>477</v>
      </c>
      <c r="L761" s="25">
        <v>17</v>
      </c>
      <c r="M761" s="25">
        <v>3273</v>
      </c>
      <c r="N761" s="25">
        <v>27</v>
      </c>
      <c r="O761" s="25">
        <v>405</v>
      </c>
    </row>
    <row r="762" spans="8:15" x14ac:dyDescent="0.25">
      <c r="H762" s="21" t="s">
        <v>35</v>
      </c>
      <c r="I762" s="24">
        <v>611419</v>
      </c>
      <c r="J762" s="20">
        <v>41148</v>
      </c>
      <c r="K762" s="25">
        <v>478</v>
      </c>
      <c r="L762" s="25">
        <v>4</v>
      </c>
      <c r="M762" s="25">
        <v>583</v>
      </c>
      <c r="N762" s="25">
        <v>12</v>
      </c>
      <c r="O762" s="25">
        <v>0</v>
      </c>
    </row>
    <row r="763" spans="8:15" x14ac:dyDescent="0.25">
      <c r="H763" s="21" t="s">
        <v>35</v>
      </c>
      <c r="I763" s="24">
        <v>611419</v>
      </c>
      <c r="J763" s="20">
        <v>41148</v>
      </c>
      <c r="K763" s="25">
        <v>480</v>
      </c>
      <c r="L763" s="25">
        <v>8</v>
      </c>
      <c r="M763" s="25">
        <v>1997</v>
      </c>
      <c r="N763" s="25">
        <v>23</v>
      </c>
      <c r="O763" s="25">
        <v>71</v>
      </c>
    </row>
    <row r="764" spans="8:15" x14ac:dyDescent="0.25">
      <c r="H764" s="21" t="s">
        <v>35</v>
      </c>
      <c r="I764" s="24">
        <v>611419</v>
      </c>
      <c r="J764" s="20">
        <v>41148</v>
      </c>
      <c r="K764" s="25">
        <v>481</v>
      </c>
      <c r="L764" s="25">
        <v>0</v>
      </c>
      <c r="M764" s="25">
        <v>0</v>
      </c>
      <c r="N764" s="25">
        <v>0</v>
      </c>
      <c r="O764" s="25">
        <v>0</v>
      </c>
    </row>
    <row r="765" spans="8:15" x14ac:dyDescent="0.25">
      <c r="H765" s="21" t="s">
        <v>35</v>
      </c>
      <c r="I765" s="24">
        <v>611419</v>
      </c>
      <c r="J765" s="20">
        <v>41148</v>
      </c>
      <c r="K765" s="25">
        <v>790</v>
      </c>
      <c r="L765" s="25">
        <v>0</v>
      </c>
      <c r="M765" s="25">
        <v>0</v>
      </c>
      <c r="N765" s="25">
        <v>0</v>
      </c>
      <c r="O765" s="25">
        <v>0</v>
      </c>
    </row>
    <row r="766" spans="8:15" x14ac:dyDescent="0.25">
      <c r="H766" s="21" t="s">
        <v>35</v>
      </c>
      <c r="I766" s="24">
        <v>611419</v>
      </c>
      <c r="J766" s="20">
        <v>41149</v>
      </c>
      <c r="K766" s="25">
        <v>85</v>
      </c>
      <c r="L766" s="25">
        <v>0</v>
      </c>
      <c r="M766" s="25">
        <v>0</v>
      </c>
      <c r="N766" s="25">
        <v>0</v>
      </c>
      <c r="O766" s="25">
        <v>0</v>
      </c>
    </row>
    <row r="767" spans="8:15" x14ac:dyDescent="0.25">
      <c r="H767" s="21" t="s">
        <v>35</v>
      </c>
      <c r="I767" s="24">
        <v>611419</v>
      </c>
      <c r="J767" s="20">
        <v>41149</v>
      </c>
      <c r="K767" s="25">
        <v>465</v>
      </c>
      <c r="L767" s="25">
        <v>0</v>
      </c>
      <c r="M767" s="25">
        <v>0</v>
      </c>
      <c r="N767" s="25">
        <v>0</v>
      </c>
      <c r="O767" s="25">
        <v>0</v>
      </c>
    </row>
    <row r="768" spans="8:15" x14ac:dyDescent="0.25">
      <c r="H768" s="21" t="s">
        <v>35</v>
      </c>
      <c r="I768" s="24">
        <v>611419</v>
      </c>
      <c r="J768" s="20">
        <v>41149</v>
      </c>
      <c r="K768" s="25">
        <v>466</v>
      </c>
      <c r="L768" s="25">
        <v>21</v>
      </c>
      <c r="M768" s="25">
        <v>5764</v>
      </c>
      <c r="N768" s="25">
        <v>3</v>
      </c>
      <c r="O768" s="25">
        <v>197</v>
      </c>
    </row>
    <row r="769" spans="8:15" x14ac:dyDescent="0.25">
      <c r="H769" s="21" t="s">
        <v>35</v>
      </c>
      <c r="I769" s="24">
        <v>611419</v>
      </c>
      <c r="J769" s="20">
        <v>41149</v>
      </c>
      <c r="K769" s="25">
        <v>467</v>
      </c>
      <c r="L769" s="25">
        <v>0</v>
      </c>
      <c r="M769" s="25">
        <v>0</v>
      </c>
      <c r="N769" s="25">
        <v>0</v>
      </c>
      <c r="O769" s="25">
        <v>0</v>
      </c>
    </row>
    <row r="770" spans="8:15" x14ac:dyDescent="0.25">
      <c r="H770" s="21" t="s">
        <v>35</v>
      </c>
      <c r="I770" s="24">
        <v>611419</v>
      </c>
      <c r="J770" s="20">
        <v>41149</v>
      </c>
      <c r="K770" s="25">
        <v>477</v>
      </c>
      <c r="L770" s="25">
        <v>11</v>
      </c>
      <c r="M770" s="25">
        <v>2110</v>
      </c>
      <c r="N770" s="25">
        <v>11</v>
      </c>
      <c r="O770" s="25">
        <v>52</v>
      </c>
    </row>
    <row r="771" spans="8:15" x14ac:dyDescent="0.25">
      <c r="H771" s="21" t="s">
        <v>35</v>
      </c>
      <c r="I771" s="24">
        <v>611419</v>
      </c>
      <c r="J771" s="20">
        <v>41149</v>
      </c>
      <c r="K771" s="25">
        <v>478</v>
      </c>
      <c r="L771" s="25">
        <v>17</v>
      </c>
      <c r="M771" s="25">
        <v>3751</v>
      </c>
      <c r="N771" s="25">
        <v>4</v>
      </c>
      <c r="O771" s="25">
        <v>268</v>
      </c>
    </row>
    <row r="772" spans="8:15" x14ac:dyDescent="0.25">
      <c r="H772" s="21" t="s">
        <v>35</v>
      </c>
      <c r="I772" s="24">
        <v>611419</v>
      </c>
      <c r="J772" s="20">
        <v>41149</v>
      </c>
      <c r="K772" s="25">
        <v>480</v>
      </c>
      <c r="L772" s="25">
        <v>9</v>
      </c>
      <c r="M772" s="25">
        <v>1868</v>
      </c>
      <c r="N772" s="25">
        <v>2</v>
      </c>
      <c r="O772" s="25">
        <v>16</v>
      </c>
    </row>
    <row r="773" spans="8:15" x14ac:dyDescent="0.25">
      <c r="H773" s="21" t="s">
        <v>35</v>
      </c>
      <c r="I773" s="24">
        <v>611419</v>
      </c>
      <c r="J773" s="20">
        <v>41149</v>
      </c>
      <c r="K773" s="25">
        <v>481</v>
      </c>
      <c r="L773" s="25">
        <v>5</v>
      </c>
      <c r="M773" s="25">
        <v>1032</v>
      </c>
      <c r="N773" s="25">
        <v>2</v>
      </c>
      <c r="O773" s="25">
        <v>1216</v>
      </c>
    </row>
    <row r="774" spans="8:15" x14ac:dyDescent="0.25">
      <c r="H774" s="21" t="s">
        <v>35</v>
      </c>
      <c r="I774" s="24">
        <v>611419</v>
      </c>
      <c r="J774" s="20">
        <v>41149</v>
      </c>
      <c r="K774" s="25">
        <v>790</v>
      </c>
      <c r="L774" s="25">
        <v>0</v>
      </c>
      <c r="M774" s="25">
        <v>0</v>
      </c>
      <c r="N774" s="25">
        <v>0</v>
      </c>
      <c r="O774" s="25">
        <v>0</v>
      </c>
    </row>
    <row r="775" spans="8:15" x14ac:dyDescent="0.25">
      <c r="H775" s="21" t="s">
        <v>35</v>
      </c>
      <c r="I775" s="24">
        <v>611419</v>
      </c>
      <c r="J775" s="20">
        <v>41150</v>
      </c>
      <c r="K775" s="25">
        <v>85</v>
      </c>
      <c r="L775" s="25">
        <v>0</v>
      </c>
      <c r="M775" s="25">
        <v>0</v>
      </c>
      <c r="N775" s="25">
        <v>0</v>
      </c>
      <c r="O775" s="25">
        <v>0</v>
      </c>
    </row>
    <row r="776" spans="8:15" x14ac:dyDescent="0.25">
      <c r="H776" s="21" t="s">
        <v>35</v>
      </c>
      <c r="I776" s="24">
        <v>611419</v>
      </c>
      <c r="J776" s="20">
        <v>41150</v>
      </c>
      <c r="K776" s="25">
        <v>465</v>
      </c>
      <c r="L776" s="25">
        <v>0</v>
      </c>
      <c r="M776" s="25">
        <v>0</v>
      </c>
      <c r="N776" s="25">
        <v>0</v>
      </c>
      <c r="O776" s="25">
        <v>0</v>
      </c>
    </row>
    <row r="777" spans="8:15" x14ac:dyDescent="0.25">
      <c r="H777" s="21" t="s">
        <v>35</v>
      </c>
      <c r="I777" s="24">
        <v>611419</v>
      </c>
      <c r="J777" s="20">
        <v>41150</v>
      </c>
      <c r="K777" s="25">
        <v>466</v>
      </c>
      <c r="L777" s="25">
        <v>25</v>
      </c>
      <c r="M777" s="25">
        <v>8384</v>
      </c>
      <c r="N777" s="25">
        <v>9</v>
      </c>
      <c r="O777" s="25">
        <v>2554</v>
      </c>
    </row>
    <row r="778" spans="8:15" x14ac:dyDescent="0.25">
      <c r="H778" s="21" t="s">
        <v>35</v>
      </c>
      <c r="I778" s="24">
        <v>611419</v>
      </c>
      <c r="J778" s="20">
        <v>41150</v>
      </c>
      <c r="K778" s="25">
        <v>467</v>
      </c>
      <c r="L778" s="25">
        <v>0</v>
      </c>
      <c r="M778" s="25">
        <v>0</v>
      </c>
      <c r="N778" s="25">
        <v>0</v>
      </c>
      <c r="O778" s="25">
        <v>0</v>
      </c>
    </row>
    <row r="779" spans="8:15" x14ac:dyDescent="0.25">
      <c r="H779" s="21" t="s">
        <v>35</v>
      </c>
      <c r="I779" s="24">
        <v>611419</v>
      </c>
      <c r="J779" s="20">
        <v>41150</v>
      </c>
      <c r="K779" s="25">
        <v>477</v>
      </c>
      <c r="L779" s="25">
        <v>2</v>
      </c>
      <c r="M779" s="25">
        <v>334</v>
      </c>
      <c r="N779" s="25">
        <v>0</v>
      </c>
      <c r="O779" s="25">
        <v>165</v>
      </c>
    </row>
    <row r="780" spans="8:15" x14ac:dyDescent="0.25">
      <c r="H780" s="21" t="s">
        <v>35</v>
      </c>
      <c r="I780" s="24">
        <v>611419</v>
      </c>
      <c r="J780" s="20">
        <v>41150</v>
      </c>
      <c r="K780" s="25">
        <v>478</v>
      </c>
      <c r="L780" s="25">
        <v>3</v>
      </c>
      <c r="M780" s="25">
        <v>859</v>
      </c>
      <c r="N780" s="25">
        <v>0</v>
      </c>
      <c r="O780" s="25">
        <v>210</v>
      </c>
    </row>
    <row r="781" spans="8:15" x14ac:dyDescent="0.25">
      <c r="H781" s="21" t="s">
        <v>35</v>
      </c>
      <c r="I781" s="24">
        <v>611419</v>
      </c>
      <c r="J781" s="20">
        <v>41150</v>
      </c>
      <c r="K781" s="25">
        <v>480</v>
      </c>
      <c r="L781" s="25">
        <v>7</v>
      </c>
      <c r="M781" s="25">
        <v>1668</v>
      </c>
      <c r="N781" s="25">
        <v>7</v>
      </c>
      <c r="O781" s="25">
        <v>892</v>
      </c>
    </row>
    <row r="782" spans="8:15" x14ac:dyDescent="0.25">
      <c r="H782" s="21" t="s">
        <v>35</v>
      </c>
      <c r="I782" s="24">
        <v>611419</v>
      </c>
      <c r="J782" s="20">
        <v>41150</v>
      </c>
      <c r="K782" s="25">
        <v>481</v>
      </c>
      <c r="L782" s="25">
        <v>0</v>
      </c>
      <c r="M782" s="25">
        <v>0</v>
      </c>
      <c r="N782" s="25">
        <v>0</v>
      </c>
      <c r="O782" s="25">
        <v>0</v>
      </c>
    </row>
    <row r="783" spans="8:15" x14ac:dyDescent="0.25">
      <c r="H783" s="21" t="s">
        <v>35</v>
      </c>
      <c r="I783" s="24">
        <v>611419</v>
      </c>
      <c r="J783" s="20">
        <v>41150</v>
      </c>
      <c r="K783" s="25">
        <v>790</v>
      </c>
      <c r="L783" s="25">
        <v>0</v>
      </c>
      <c r="M783" s="25">
        <v>0</v>
      </c>
      <c r="N783" s="25">
        <v>0</v>
      </c>
      <c r="O783" s="25">
        <v>0</v>
      </c>
    </row>
    <row r="784" spans="8:15" x14ac:dyDescent="0.25">
      <c r="H784" s="21" t="s">
        <v>35</v>
      </c>
      <c r="I784" s="24">
        <v>611419</v>
      </c>
      <c r="J784" s="20">
        <v>41151</v>
      </c>
      <c r="K784" s="25">
        <v>85</v>
      </c>
      <c r="L784" s="25">
        <v>0</v>
      </c>
      <c r="M784" s="25">
        <v>0</v>
      </c>
      <c r="N784" s="25">
        <v>0</v>
      </c>
      <c r="O784" s="25">
        <v>0</v>
      </c>
    </row>
    <row r="785" spans="8:15" x14ac:dyDescent="0.25">
      <c r="H785" s="21" t="s">
        <v>35</v>
      </c>
      <c r="I785" s="24">
        <v>611419</v>
      </c>
      <c r="J785" s="20">
        <v>41151</v>
      </c>
      <c r="K785" s="25">
        <v>465</v>
      </c>
      <c r="L785" s="25">
        <v>0</v>
      </c>
      <c r="M785" s="25">
        <v>0</v>
      </c>
      <c r="N785" s="25">
        <v>0</v>
      </c>
      <c r="O785" s="25">
        <v>0</v>
      </c>
    </row>
    <row r="786" spans="8:15" x14ac:dyDescent="0.25">
      <c r="H786" s="21" t="s">
        <v>35</v>
      </c>
      <c r="I786" s="24">
        <v>611419</v>
      </c>
      <c r="J786" s="20">
        <v>41151</v>
      </c>
      <c r="K786" s="25">
        <v>466</v>
      </c>
      <c r="L786" s="25">
        <v>32</v>
      </c>
      <c r="M786" s="25">
        <v>7171</v>
      </c>
      <c r="N786" s="25">
        <v>4</v>
      </c>
      <c r="O786" s="25">
        <v>1111</v>
      </c>
    </row>
    <row r="787" spans="8:15" x14ac:dyDescent="0.25">
      <c r="H787" s="21" t="s">
        <v>35</v>
      </c>
      <c r="I787" s="24">
        <v>611419</v>
      </c>
      <c r="J787" s="20">
        <v>41151</v>
      </c>
      <c r="K787" s="25">
        <v>467</v>
      </c>
      <c r="L787" s="25">
        <v>0</v>
      </c>
      <c r="M787" s="25">
        <v>0</v>
      </c>
      <c r="N787" s="25">
        <v>0</v>
      </c>
      <c r="O787" s="25">
        <v>0</v>
      </c>
    </row>
    <row r="788" spans="8:15" x14ac:dyDescent="0.25">
      <c r="H788" s="21" t="s">
        <v>35</v>
      </c>
      <c r="I788" s="24">
        <v>611419</v>
      </c>
      <c r="J788" s="20">
        <v>41151</v>
      </c>
      <c r="K788" s="25">
        <v>477</v>
      </c>
      <c r="L788" s="25">
        <v>16</v>
      </c>
      <c r="M788" s="25">
        <v>2610</v>
      </c>
      <c r="N788" s="25">
        <v>3</v>
      </c>
      <c r="O788" s="25">
        <v>930</v>
      </c>
    </row>
    <row r="789" spans="8:15" x14ac:dyDescent="0.25">
      <c r="H789" s="21" t="s">
        <v>35</v>
      </c>
      <c r="I789" s="24">
        <v>611419</v>
      </c>
      <c r="J789" s="20">
        <v>41151</v>
      </c>
      <c r="K789" s="25">
        <v>478</v>
      </c>
      <c r="L789" s="25">
        <v>2</v>
      </c>
      <c r="M789" s="25">
        <v>256</v>
      </c>
      <c r="N789" s="25">
        <v>0</v>
      </c>
      <c r="O789" s="25">
        <v>0</v>
      </c>
    </row>
    <row r="790" spans="8:15" x14ac:dyDescent="0.25">
      <c r="H790" s="21" t="s">
        <v>35</v>
      </c>
      <c r="I790" s="24">
        <v>611419</v>
      </c>
      <c r="J790" s="20">
        <v>41151</v>
      </c>
      <c r="K790" s="25">
        <v>480</v>
      </c>
      <c r="L790" s="25">
        <v>9</v>
      </c>
      <c r="M790" s="25">
        <v>1603</v>
      </c>
      <c r="N790" s="25">
        <v>4</v>
      </c>
      <c r="O790" s="25">
        <v>1027</v>
      </c>
    </row>
    <row r="791" spans="8:15" x14ac:dyDescent="0.25">
      <c r="H791" s="21" t="s">
        <v>35</v>
      </c>
      <c r="I791" s="24">
        <v>611419</v>
      </c>
      <c r="J791" s="20">
        <v>41151</v>
      </c>
      <c r="K791" s="25">
        <v>481</v>
      </c>
      <c r="L791" s="25">
        <v>0</v>
      </c>
      <c r="M791" s="25">
        <v>0</v>
      </c>
      <c r="N791" s="25">
        <v>0</v>
      </c>
      <c r="O791" s="25">
        <v>0</v>
      </c>
    </row>
    <row r="792" spans="8:15" x14ac:dyDescent="0.25">
      <c r="H792" s="21" t="s">
        <v>35</v>
      </c>
      <c r="I792" s="24">
        <v>611419</v>
      </c>
      <c r="J792" s="20">
        <v>41151</v>
      </c>
      <c r="K792" s="25">
        <v>482</v>
      </c>
      <c r="L792" s="25">
        <v>0</v>
      </c>
      <c r="M792" s="25">
        <v>0</v>
      </c>
      <c r="N792" s="25">
        <v>0</v>
      </c>
      <c r="O792" s="25">
        <v>0</v>
      </c>
    </row>
    <row r="793" spans="8:15" x14ac:dyDescent="0.25">
      <c r="H793" s="21" t="s">
        <v>35</v>
      </c>
      <c r="I793" s="24">
        <v>611419</v>
      </c>
      <c r="J793" s="20">
        <v>41151</v>
      </c>
      <c r="K793" s="25">
        <v>790</v>
      </c>
      <c r="L793" s="25">
        <v>0</v>
      </c>
      <c r="M793" s="25">
        <v>0</v>
      </c>
      <c r="N793" s="25">
        <v>0</v>
      </c>
      <c r="O793" s="25">
        <v>0</v>
      </c>
    </row>
    <row r="794" spans="8:15" x14ac:dyDescent="0.25">
      <c r="H794" s="21" t="s">
        <v>35</v>
      </c>
      <c r="I794" s="24">
        <v>611419</v>
      </c>
      <c r="J794" s="20">
        <v>41152</v>
      </c>
      <c r="K794" s="25">
        <v>85</v>
      </c>
      <c r="L794" s="25">
        <v>0</v>
      </c>
      <c r="M794" s="25">
        <v>0</v>
      </c>
      <c r="N794" s="25">
        <v>0</v>
      </c>
      <c r="O794" s="25">
        <v>0</v>
      </c>
    </row>
    <row r="795" spans="8:15" x14ac:dyDescent="0.25">
      <c r="H795" s="21" t="s">
        <v>35</v>
      </c>
      <c r="I795" s="24">
        <v>611419</v>
      </c>
      <c r="J795" s="20">
        <v>41152</v>
      </c>
      <c r="K795" s="25">
        <v>465</v>
      </c>
      <c r="L795" s="25">
        <v>0</v>
      </c>
      <c r="M795" s="25">
        <v>0</v>
      </c>
      <c r="N795" s="25">
        <v>0</v>
      </c>
      <c r="O795" s="25">
        <v>0</v>
      </c>
    </row>
    <row r="796" spans="8:15" x14ac:dyDescent="0.25">
      <c r="H796" s="21" t="s">
        <v>35</v>
      </c>
      <c r="I796" s="24">
        <v>611419</v>
      </c>
      <c r="J796" s="20">
        <v>41152</v>
      </c>
      <c r="K796" s="25">
        <v>466</v>
      </c>
      <c r="L796" s="25">
        <v>1</v>
      </c>
      <c r="M796" s="25">
        <v>308</v>
      </c>
      <c r="N796" s="25">
        <v>0</v>
      </c>
      <c r="O796" s="25">
        <v>0</v>
      </c>
    </row>
    <row r="797" spans="8:15" x14ac:dyDescent="0.25">
      <c r="H797" s="21" t="s">
        <v>35</v>
      </c>
      <c r="I797" s="24">
        <v>611419</v>
      </c>
      <c r="J797" s="20">
        <v>41152</v>
      </c>
      <c r="K797" s="25">
        <v>467</v>
      </c>
      <c r="L797" s="25">
        <v>0</v>
      </c>
      <c r="M797" s="25">
        <v>0</v>
      </c>
      <c r="N797" s="25">
        <v>0</v>
      </c>
      <c r="O797" s="25">
        <v>0</v>
      </c>
    </row>
    <row r="798" spans="8:15" x14ac:dyDescent="0.25">
      <c r="H798" s="21" t="s">
        <v>35</v>
      </c>
      <c r="I798" s="24">
        <v>611419</v>
      </c>
      <c r="J798" s="20">
        <v>41152</v>
      </c>
      <c r="K798" s="25">
        <v>477</v>
      </c>
      <c r="L798" s="25">
        <v>11</v>
      </c>
      <c r="M798" s="25">
        <v>3000</v>
      </c>
      <c r="N798" s="25">
        <v>0</v>
      </c>
      <c r="O798" s="25">
        <v>0</v>
      </c>
    </row>
    <row r="799" spans="8:15" x14ac:dyDescent="0.25">
      <c r="H799" s="21" t="s">
        <v>35</v>
      </c>
      <c r="I799" s="24">
        <v>611419</v>
      </c>
      <c r="J799" s="20">
        <v>41152</v>
      </c>
      <c r="K799" s="25">
        <v>478</v>
      </c>
      <c r="L799" s="25">
        <v>0</v>
      </c>
      <c r="M799" s="25">
        <v>0</v>
      </c>
      <c r="N799" s="25">
        <v>0</v>
      </c>
      <c r="O799" s="25">
        <v>0</v>
      </c>
    </row>
    <row r="800" spans="8:15" x14ac:dyDescent="0.25">
      <c r="H800" s="21" t="s">
        <v>35</v>
      </c>
      <c r="I800" s="24">
        <v>611419</v>
      </c>
      <c r="J800" s="20">
        <v>41152</v>
      </c>
      <c r="K800" s="25">
        <v>480</v>
      </c>
      <c r="L800" s="25">
        <v>7</v>
      </c>
      <c r="M800" s="25">
        <v>1001</v>
      </c>
      <c r="N800" s="25">
        <v>2</v>
      </c>
      <c r="O800" s="25">
        <v>0</v>
      </c>
    </row>
    <row r="801" spans="8:15" x14ac:dyDescent="0.25">
      <c r="H801" s="21" t="s">
        <v>35</v>
      </c>
      <c r="I801" s="24">
        <v>611419</v>
      </c>
      <c r="J801" s="20">
        <v>41152</v>
      </c>
      <c r="K801" s="25">
        <v>481</v>
      </c>
      <c r="L801" s="25">
        <v>0</v>
      </c>
      <c r="M801" s="25">
        <v>0</v>
      </c>
      <c r="N801" s="25">
        <v>0</v>
      </c>
      <c r="O801" s="25">
        <v>0</v>
      </c>
    </row>
    <row r="802" spans="8:15" x14ac:dyDescent="0.25">
      <c r="H802" s="21" t="s">
        <v>35</v>
      </c>
      <c r="I802" s="24">
        <v>611419</v>
      </c>
      <c r="J802" s="20">
        <v>41152</v>
      </c>
      <c r="K802" s="25">
        <v>482</v>
      </c>
      <c r="L802" s="25">
        <v>18</v>
      </c>
      <c r="M802" s="25">
        <v>3212</v>
      </c>
      <c r="N802" s="25">
        <v>11</v>
      </c>
      <c r="O802" s="25">
        <v>0</v>
      </c>
    </row>
    <row r="803" spans="8:15" x14ac:dyDescent="0.25">
      <c r="H803" s="21" t="s">
        <v>35</v>
      </c>
      <c r="I803" s="24">
        <v>611419</v>
      </c>
      <c r="J803" s="20">
        <v>41152</v>
      </c>
      <c r="K803" s="25">
        <v>790</v>
      </c>
      <c r="L803" s="25">
        <v>0</v>
      </c>
      <c r="M803" s="25">
        <v>0</v>
      </c>
      <c r="N803" s="25">
        <v>0</v>
      </c>
      <c r="O803" s="25">
        <v>0</v>
      </c>
    </row>
    <row r="804" spans="8:15" x14ac:dyDescent="0.25">
      <c r="H804" s="22" t="s">
        <v>39</v>
      </c>
      <c r="I804" s="24">
        <v>611704</v>
      </c>
      <c r="J804" s="20">
        <v>41122</v>
      </c>
      <c r="K804" s="25">
        <v>85</v>
      </c>
      <c r="L804" s="25">
        <v>0</v>
      </c>
      <c r="M804" s="25">
        <v>0</v>
      </c>
      <c r="N804" s="25">
        <v>0</v>
      </c>
      <c r="O804" s="25">
        <v>0</v>
      </c>
    </row>
    <row r="805" spans="8:15" x14ac:dyDescent="0.25">
      <c r="H805" s="22" t="s">
        <v>39</v>
      </c>
      <c r="I805" s="24">
        <v>611704</v>
      </c>
      <c r="J805" s="20">
        <v>41122</v>
      </c>
      <c r="K805" s="25">
        <v>477</v>
      </c>
      <c r="L805" s="25">
        <v>37</v>
      </c>
      <c r="M805" s="25">
        <v>12474</v>
      </c>
      <c r="N805" s="25">
        <v>3</v>
      </c>
      <c r="O805" s="25">
        <v>0</v>
      </c>
    </row>
    <row r="806" spans="8:15" x14ac:dyDescent="0.25">
      <c r="H806" s="22" t="s">
        <v>39</v>
      </c>
      <c r="I806" s="24">
        <v>611704</v>
      </c>
      <c r="J806" s="20">
        <v>41122</v>
      </c>
      <c r="K806" s="25">
        <v>478</v>
      </c>
      <c r="L806" s="25">
        <v>5</v>
      </c>
      <c r="M806" s="25">
        <v>1202</v>
      </c>
      <c r="N806" s="25">
        <v>0</v>
      </c>
      <c r="O806" s="25">
        <v>0</v>
      </c>
    </row>
    <row r="807" spans="8:15" x14ac:dyDescent="0.25">
      <c r="H807" s="22" t="s">
        <v>39</v>
      </c>
      <c r="I807" s="24">
        <v>611704</v>
      </c>
      <c r="J807" s="20">
        <v>41122</v>
      </c>
      <c r="K807" s="25">
        <v>481</v>
      </c>
      <c r="L807" s="25">
        <v>0</v>
      </c>
      <c r="M807" s="25">
        <v>0</v>
      </c>
      <c r="N807" s="25">
        <v>0</v>
      </c>
      <c r="O807" s="25">
        <v>0</v>
      </c>
    </row>
    <row r="808" spans="8:15" x14ac:dyDescent="0.25">
      <c r="H808" s="22" t="s">
        <v>39</v>
      </c>
      <c r="I808" s="24">
        <v>611704</v>
      </c>
      <c r="J808" s="20">
        <v>41122</v>
      </c>
      <c r="K808" s="25">
        <v>790</v>
      </c>
      <c r="L808" s="25">
        <v>0</v>
      </c>
      <c r="M808" s="25">
        <v>0</v>
      </c>
      <c r="N808" s="25">
        <v>0</v>
      </c>
      <c r="O808" s="25">
        <v>0</v>
      </c>
    </row>
    <row r="809" spans="8:15" x14ac:dyDescent="0.25">
      <c r="H809" s="22" t="s">
        <v>39</v>
      </c>
      <c r="I809" s="24">
        <v>611704</v>
      </c>
      <c r="J809" s="20">
        <v>41123</v>
      </c>
      <c r="K809" s="25">
        <v>85</v>
      </c>
      <c r="L809" s="25">
        <v>0</v>
      </c>
      <c r="M809" s="25">
        <v>0</v>
      </c>
      <c r="N809" s="25">
        <v>0</v>
      </c>
      <c r="O809" s="25">
        <v>0</v>
      </c>
    </row>
    <row r="810" spans="8:15" x14ac:dyDescent="0.25">
      <c r="H810" s="22" t="s">
        <v>39</v>
      </c>
      <c r="I810" s="24">
        <v>611704</v>
      </c>
      <c r="J810" s="20">
        <v>41123</v>
      </c>
      <c r="K810" s="25">
        <v>477</v>
      </c>
      <c r="L810" s="25">
        <v>29</v>
      </c>
      <c r="M810" s="25">
        <v>9423</v>
      </c>
      <c r="N810" s="25">
        <v>6</v>
      </c>
      <c r="O810" s="25">
        <v>56</v>
      </c>
    </row>
    <row r="811" spans="8:15" x14ac:dyDescent="0.25">
      <c r="H811" s="22" t="s">
        <v>39</v>
      </c>
      <c r="I811" s="24">
        <v>611704</v>
      </c>
      <c r="J811" s="20">
        <v>41123</v>
      </c>
      <c r="K811" s="25">
        <v>478</v>
      </c>
      <c r="L811" s="25">
        <v>19</v>
      </c>
      <c r="M811" s="25">
        <v>5329</v>
      </c>
      <c r="N811" s="25">
        <v>0</v>
      </c>
      <c r="O811" s="25">
        <v>0</v>
      </c>
    </row>
    <row r="812" spans="8:15" x14ac:dyDescent="0.25">
      <c r="H812" s="22" t="s">
        <v>39</v>
      </c>
      <c r="I812" s="24">
        <v>611704</v>
      </c>
      <c r="J812" s="20">
        <v>41123</v>
      </c>
      <c r="K812" s="25">
        <v>481</v>
      </c>
      <c r="L812" s="25">
        <v>0</v>
      </c>
      <c r="M812" s="25">
        <v>0</v>
      </c>
      <c r="N812" s="25">
        <v>0</v>
      </c>
      <c r="O812" s="25">
        <v>0</v>
      </c>
    </row>
    <row r="813" spans="8:15" x14ac:dyDescent="0.25">
      <c r="H813" s="22" t="s">
        <v>39</v>
      </c>
      <c r="I813" s="24">
        <v>611704</v>
      </c>
      <c r="J813" s="20">
        <v>41123</v>
      </c>
      <c r="K813" s="25">
        <v>790</v>
      </c>
      <c r="L813" s="25">
        <v>0</v>
      </c>
      <c r="M813" s="25">
        <v>0</v>
      </c>
      <c r="N813" s="25">
        <v>0</v>
      </c>
      <c r="O813" s="25">
        <v>0</v>
      </c>
    </row>
    <row r="814" spans="8:15" x14ac:dyDescent="0.25">
      <c r="H814" s="22" t="s">
        <v>39</v>
      </c>
      <c r="I814" s="24">
        <v>611704</v>
      </c>
      <c r="J814" s="20">
        <v>41124</v>
      </c>
      <c r="K814" s="25">
        <v>85</v>
      </c>
      <c r="L814" s="25">
        <v>0</v>
      </c>
      <c r="M814" s="25">
        <v>0</v>
      </c>
      <c r="N814" s="25">
        <v>0</v>
      </c>
      <c r="O814" s="25">
        <v>0</v>
      </c>
    </row>
    <row r="815" spans="8:15" x14ac:dyDescent="0.25">
      <c r="H815" s="22" t="s">
        <v>39</v>
      </c>
      <c r="I815" s="24">
        <v>611704</v>
      </c>
      <c r="J815" s="20">
        <v>41124</v>
      </c>
      <c r="K815" s="25">
        <v>477</v>
      </c>
      <c r="L815" s="25">
        <v>31</v>
      </c>
      <c r="M815" s="25">
        <v>10813</v>
      </c>
      <c r="N815" s="25">
        <v>0</v>
      </c>
      <c r="O815" s="25">
        <v>20</v>
      </c>
    </row>
    <row r="816" spans="8:15" x14ac:dyDescent="0.25">
      <c r="H816" s="22" t="s">
        <v>39</v>
      </c>
      <c r="I816" s="24">
        <v>611704</v>
      </c>
      <c r="J816" s="20">
        <v>41124</v>
      </c>
      <c r="K816" s="25">
        <v>478</v>
      </c>
      <c r="L816" s="25">
        <v>4</v>
      </c>
      <c r="M816" s="25">
        <v>1123</v>
      </c>
      <c r="N816" s="25">
        <v>3</v>
      </c>
      <c r="O816" s="25">
        <v>0</v>
      </c>
    </row>
    <row r="817" spans="8:15" x14ac:dyDescent="0.25">
      <c r="H817" s="22" t="s">
        <v>39</v>
      </c>
      <c r="I817" s="24">
        <v>611704</v>
      </c>
      <c r="J817" s="20">
        <v>41124</v>
      </c>
      <c r="K817" s="25">
        <v>481</v>
      </c>
      <c r="L817" s="25">
        <v>0</v>
      </c>
      <c r="M817" s="25">
        <v>0</v>
      </c>
      <c r="N817" s="25">
        <v>0</v>
      </c>
      <c r="O817" s="25">
        <v>0</v>
      </c>
    </row>
    <row r="818" spans="8:15" x14ac:dyDescent="0.25">
      <c r="H818" s="22" t="s">
        <v>39</v>
      </c>
      <c r="I818" s="24">
        <v>611704</v>
      </c>
      <c r="J818" s="20">
        <v>41124</v>
      </c>
      <c r="K818" s="25">
        <v>790</v>
      </c>
      <c r="L818" s="25">
        <v>0</v>
      </c>
      <c r="M818" s="25">
        <v>0</v>
      </c>
      <c r="N818" s="25">
        <v>0</v>
      </c>
      <c r="O818" s="25">
        <v>0</v>
      </c>
    </row>
    <row r="819" spans="8:15" x14ac:dyDescent="0.25">
      <c r="H819" s="22" t="s">
        <v>39</v>
      </c>
      <c r="I819" s="24">
        <v>611704</v>
      </c>
      <c r="J819" s="20">
        <v>41125</v>
      </c>
      <c r="K819" s="25">
        <v>85</v>
      </c>
      <c r="L819" s="25">
        <v>0</v>
      </c>
      <c r="M819" s="25">
        <v>0</v>
      </c>
      <c r="N819" s="25">
        <v>0</v>
      </c>
      <c r="O819" s="25">
        <v>0</v>
      </c>
    </row>
    <row r="820" spans="8:15" x14ac:dyDescent="0.25">
      <c r="H820" s="22" t="s">
        <v>39</v>
      </c>
      <c r="I820" s="24">
        <v>611704</v>
      </c>
      <c r="J820" s="20">
        <v>41125</v>
      </c>
      <c r="K820" s="25">
        <v>477</v>
      </c>
      <c r="L820" s="25">
        <v>47</v>
      </c>
      <c r="M820" s="25">
        <v>15460</v>
      </c>
      <c r="N820" s="25">
        <v>0</v>
      </c>
      <c r="O820" s="25">
        <v>0</v>
      </c>
    </row>
    <row r="821" spans="8:15" x14ac:dyDescent="0.25">
      <c r="H821" s="22" t="s">
        <v>39</v>
      </c>
      <c r="I821" s="24">
        <v>611704</v>
      </c>
      <c r="J821" s="20">
        <v>41125</v>
      </c>
      <c r="K821" s="25">
        <v>478</v>
      </c>
      <c r="L821" s="25">
        <v>10</v>
      </c>
      <c r="M821" s="25">
        <v>2578</v>
      </c>
      <c r="N821" s="25">
        <v>0</v>
      </c>
      <c r="O821" s="25">
        <v>48</v>
      </c>
    </row>
    <row r="822" spans="8:15" x14ac:dyDescent="0.25">
      <c r="H822" s="22" t="s">
        <v>39</v>
      </c>
      <c r="I822" s="24">
        <v>611704</v>
      </c>
      <c r="J822" s="20">
        <v>41125</v>
      </c>
      <c r="K822" s="25">
        <v>481</v>
      </c>
      <c r="L822" s="25">
        <v>0</v>
      </c>
      <c r="M822" s="25">
        <v>0</v>
      </c>
      <c r="N822" s="25">
        <v>0</v>
      </c>
      <c r="O822" s="25">
        <v>0</v>
      </c>
    </row>
    <row r="823" spans="8:15" x14ac:dyDescent="0.25">
      <c r="H823" s="22" t="s">
        <v>39</v>
      </c>
      <c r="I823" s="24">
        <v>611704</v>
      </c>
      <c r="J823" s="20">
        <v>41125</v>
      </c>
      <c r="K823" s="25">
        <v>790</v>
      </c>
      <c r="L823" s="25">
        <v>0</v>
      </c>
      <c r="M823" s="25">
        <v>0</v>
      </c>
      <c r="N823" s="25">
        <v>0</v>
      </c>
      <c r="O823" s="25">
        <v>0</v>
      </c>
    </row>
    <row r="824" spans="8:15" x14ac:dyDescent="0.25">
      <c r="H824" s="22" t="s">
        <v>39</v>
      </c>
      <c r="I824" s="24">
        <v>611704</v>
      </c>
      <c r="J824" s="20">
        <v>41127</v>
      </c>
      <c r="K824" s="25">
        <v>85</v>
      </c>
      <c r="L824" s="25">
        <v>0</v>
      </c>
      <c r="M824" s="25">
        <v>0</v>
      </c>
      <c r="N824" s="25">
        <v>0</v>
      </c>
      <c r="O824" s="25">
        <v>0</v>
      </c>
    </row>
    <row r="825" spans="8:15" x14ac:dyDescent="0.25">
      <c r="H825" s="22" t="s">
        <v>39</v>
      </c>
      <c r="I825" s="24">
        <v>611704</v>
      </c>
      <c r="J825" s="20">
        <v>41127</v>
      </c>
      <c r="K825" s="25">
        <v>477</v>
      </c>
      <c r="L825" s="25">
        <v>51</v>
      </c>
      <c r="M825" s="25">
        <v>14552</v>
      </c>
      <c r="N825" s="25">
        <v>172</v>
      </c>
      <c r="O825" s="25">
        <v>5</v>
      </c>
    </row>
    <row r="826" spans="8:15" x14ac:dyDescent="0.25">
      <c r="H826" s="22" t="s">
        <v>39</v>
      </c>
      <c r="I826" s="24">
        <v>611704</v>
      </c>
      <c r="J826" s="20">
        <v>41127</v>
      </c>
      <c r="K826" s="25">
        <v>478</v>
      </c>
      <c r="L826" s="25">
        <v>9</v>
      </c>
      <c r="M826" s="25">
        <v>2494</v>
      </c>
      <c r="N826" s="25">
        <v>76</v>
      </c>
      <c r="O826" s="25">
        <v>0</v>
      </c>
    </row>
    <row r="827" spans="8:15" x14ac:dyDescent="0.25">
      <c r="H827" s="22" t="s">
        <v>39</v>
      </c>
      <c r="I827" s="24">
        <v>611704</v>
      </c>
      <c r="J827" s="20">
        <v>41127</v>
      </c>
      <c r="K827" s="25">
        <v>481</v>
      </c>
      <c r="L827" s="25">
        <v>0</v>
      </c>
      <c r="M827" s="25">
        <v>0</v>
      </c>
      <c r="N827" s="25">
        <v>0</v>
      </c>
      <c r="O827" s="25">
        <v>0</v>
      </c>
    </row>
    <row r="828" spans="8:15" x14ac:dyDescent="0.25">
      <c r="H828" s="22" t="s">
        <v>39</v>
      </c>
      <c r="I828" s="24">
        <v>611704</v>
      </c>
      <c r="J828" s="20">
        <v>41127</v>
      </c>
      <c r="K828" s="25">
        <v>790</v>
      </c>
      <c r="L828" s="25">
        <v>0</v>
      </c>
      <c r="M828" s="25">
        <v>0</v>
      </c>
      <c r="N828" s="25">
        <v>0</v>
      </c>
      <c r="O828" s="25">
        <v>0</v>
      </c>
    </row>
    <row r="829" spans="8:15" x14ac:dyDescent="0.25">
      <c r="H829" s="22" t="s">
        <v>39</v>
      </c>
      <c r="I829" s="24">
        <v>611704</v>
      </c>
      <c r="J829" s="20">
        <v>41128</v>
      </c>
      <c r="K829" s="25">
        <v>85</v>
      </c>
      <c r="L829" s="25">
        <v>0</v>
      </c>
      <c r="M829" s="25">
        <v>0</v>
      </c>
      <c r="N829" s="25">
        <v>0</v>
      </c>
      <c r="O829" s="25">
        <v>0</v>
      </c>
    </row>
    <row r="830" spans="8:15" x14ac:dyDescent="0.25">
      <c r="H830" s="22" t="s">
        <v>39</v>
      </c>
      <c r="I830" s="24">
        <v>611704</v>
      </c>
      <c r="J830" s="20">
        <v>41128</v>
      </c>
      <c r="K830" s="25">
        <v>477</v>
      </c>
      <c r="L830" s="25">
        <v>58</v>
      </c>
      <c r="M830" s="25">
        <v>15337</v>
      </c>
      <c r="N830" s="25">
        <v>20</v>
      </c>
      <c r="O830" s="25">
        <v>14</v>
      </c>
    </row>
    <row r="831" spans="8:15" x14ac:dyDescent="0.25">
      <c r="H831" s="22" t="s">
        <v>39</v>
      </c>
      <c r="I831" s="24">
        <v>611704</v>
      </c>
      <c r="J831" s="20">
        <v>41128</v>
      </c>
      <c r="K831" s="25">
        <v>478</v>
      </c>
      <c r="L831" s="25">
        <v>6</v>
      </c>
      <c r="M831" s="25">
        <v>1442</v>
      </c>
      <c r="N831" s="25">
        <v>0</v>
      </c>
      <c r="O831" s="25">
        <v>0</v>
      </c>
    </row>
    <row r="832" spans="8:15" x14ac:dyDescent="0.25">
      <c r="H832" s="22" t="s">
        <v>39</v>
      </c>
      <c r="I832" s="24">
        <v>611704</v>
      </c>
      <c r="J832" s="20">
        <v>41128</v>
      </c>
      <c r="K832" s="25">
        <v>481</v>
      </c>
      <c r="L832" s="25">
        <v>0</v>
      </c>
      <c r="M832" s="25">
        <v>0</v>
      </c>
      <c r="N832" s="25">
        <v>0</v>
      </c>
      <c r="O832" s="25">
        <v>0</v>
      </c>
    </row>
    <row r="833" spans="8:15" x14ac:dyDescent="0.25">
      <c r="H833" s="22" t="s">
        <v>39</v>
      </c>
      <c r="I833" s="24">
        <v>611704</v>
      </c>
      <c r="J833" s="20">
        <v>41128</v>
      </c>
      <c r="K833" s="25">
        <v>790</v>
      </c>
      <c r="L833" s="25">
        <v>0</v>
      </c>
      <c r="M833" s="25">
        <v>0</v>
      </c>
      <c r="N833" s="25">
        <v>0</v>
      </c>
      <c r="O833" s="25">
        <v>0</v>
      </c>
    </row>
    <row r="834" spans="8:15" x14ac:dyDescent="0.25">
      <c r="H834" s="22" t="s">
        <v>39</v>
      </c>
      <c r="I834" s="24">
        <v>611704</v>
      </c>
      <c r="J834" s="20">
        <v>41129</v>
      </c>
      <c r="K834" s="25">
        <v>85</v>
      </c>
      <c r="L834" s="25">
        <v>0</v>
      </c>
      <c r="M834" s="25">
        <v>0</v>
      </c>
      <c r="N834" s="25">
        <v>0</v>
      </c>
      <c r="O834" s="25">
        <v>0</v>
      </c>
    </row>
    <row r="835" spans="8:15" x14ac:dyDescent="0.25">
      <c r="H835" s="22" t="s">
        <v>39</v>
      </c>
      <c r="I835" s="24">
        <v>611704</v>
      </c>
      <c r="J835" s="20">
        <v>41129</v>
      </c>
      <c r="K835" s="25">
        <v>477</v>
      </c>
      <c r="L835" s="25">
        <v>51</v>
      </c>
      <c r="M835" s="25">
        <v>16196</v>
      </c>
      <c r="N835" s="25">
        <v>25</v>
      </c>
      <c r="O835" s="25">
        <v>20</v>
      </c>
    </row>
    <row r="836" spans="8:15" x14ac:dyDescent="0.25">
      <c r="H836" s="22" t="s">
        <v>39</v>
      </c>
      <c r="I836" s="24">
        <v>611704</v>
      </c>
      <c r="J836" s="20">
        <v>41129</v>
      </c>
      <c r="K836" s="25">
        <v>478</v>
      </c>
      <c r="L836" s="25">
        <v>1</v>
      </c>
      <c r="M836" s="25">
        <v>435</v>
      </c>
      <c r="N836" s="25">
        <v>0</v>
      </c>
      <c r="O836" s="25">
        <v>0</v>
      </c>
    </row>
    <row r="837" spans="8:15" x14ac:dyDescent="0.25">
      <c r="H837" s="22" t="s">
        <v>39</v>
      </c>
      <c r="I837" s="24">
        <v>611704</v>
      </c>
      <c r="J837" s="20">
        <v>41129</v>
      </c>
      <c r="K837" s="25">
        <v>481</v>
      </c>
      <c r="L837" s="25">
        <v>0</v>
      </c>
      <c r="M837" s="25">
        <v>0</v>
      </c>
      <c r="N837" s="25">
        <v>0</v>
      </c>
      <c r="O837" s="25">
        <v>0</v>
      </c>
    </row>
    <row r="838" spans="8:15" x14ac:dyDescent="0.25">
      <c r="H838" s="22" t="s">
        <v>39</v>
      </c>
      <c r="I838" s="24">
        <v>611704</v>
      </c>
      <c r="J838" s="20">
        <v>41129</v>
      </c>
      <c r="K838" s="25">
        <v>790</v>
      </c>
      <c r="L838" s="25">
        <v>0</v>
      </c>
      <c r="M838" s="25">
        <v>0</v>
      </c>
      <c r="N838" s="25">
        <v>0</v>
      </c>
      <c r="O838" s="25">
        <v>0</v>
      </c>
    </row>
    <row r="839" spans="8:15" x14ac:dyDescent="0.25">
      <c r="H839" s="22" t="s">
        <v>39</v>
      </c>
      <c r="I839" s="24">
        <v>611704</v>
      </c>
      <c r="J839" s="20">
        <v>41130</v>
      </c>
      <c r="K839" s="25">
        <v>85</v>
      </c>
      <c r="L839" s="25">
        <v>0</v>
      </c>
      <c r="M839" s="25">
        <v>0</v>
      </c>
      <c r="N839" s="25">
        <v>0</v>
      </c>
      <c r="O839" s="25">
        <v>0</v>
      </c>
    </row>
    <row r="840" spans="8:15" x14ac:dyDescent="0.25">
      <c r="H840" s="22" t="s">
        <v>39</v>
      </c>
      <c r="I840" s="24">
        <v>611704</v>
      </c>
      <c r="J840" s="20">
        <v>41130</v>
      </c>
      <c r="K840" s="25">
        <v>477</v>
      </c>
      <c r="L840" s="25">
        <v>52</v>
      </c>
      <c r="M840" s="25">
        <v>14626</v>
      </c>
      <c r="N840" s="25">
        <v>3</v>
      </c>
      <c r="O840" s="25">
        <v>51</v>
      </c>
    </row>
    <row r="841" spans="8:15" x14ac:dyDescent="0.25">
      <c r="H841" s="22" t="s">
        <v>39</v>
      </c>
      <c r="I841" s="24">
        <v>611704</v>
      </c>
      <c r="J841" s="20">
        <v>41130</v>
      </c>
      <c r="K841" s="25">
        <v>478</v>
      </c>
      <c r="L841" s="25">
        <v>7</v>
      </c>
      <c r="M841" s="25">
        <v>1561</v>
      </c>
      <c r="N841" s="25">
        <v>0</v>
      </c>
      <c r="O841" s="25">
        <v>0</v>
      </c>
    </row>
    <row r="842" spans="8:15" x14ac:dyDescent="0.25">
      <c r="H842" s="22" t="s">
        <v>39</v>
      </c>
      <c r="I842" s="24">
        <v>611704</v>
      </c>
      <c r="J842" s="20">
        <v>41130</v>
      </c>
      <c r="K842" s="25">
        <v>481</v>
      </c>
      <c r="L842" s="25">
        <v>0</v>
      </c>
      <c r="M842" s="25">
        <v>0</v>
      </c>
      <c r="N842" s="25">
        <v>0</v>
      </c>
      <c r="O842" s="25">
        <v>0</v>
      </c>
    </row>
    <row r="843" spans="8:15" x14ac:dyDescent="0.25">
      <c r="H843" s="22" t="s">
        <v>39</v>
      </c>
      <c r="I843" s="24">
        <v>611704</v>
      </c>
      <c r="J843" s="20">
        <v>41130</v>
      </c>
      <c r="K843" s="25">
        <v>790</v>
      </c>
      <c r="L843" s="25">
        <v>0</v>
      </c>
      <c r="M843" s="25">
        <v>0</v>
      </c>
      <c r="N843" s="25">
        <v>0</v>
      </c>
      <c r="O843" s="25">
        <v>0</v>
      </c>
    </row>
    <row r="844" spans="8:15" x14ac:dyDescent="0.25">
      <c r="H844" s="22" t="s">
        <v>39</v>
      </c>
      <c r="I844" s="24">
        <v>611704</v>
      </c>
      <c r="J844" s="20">
        <v>41131</v>
      </c>
      <c r="K844" s="25">
        <v>85</v>
      </c>
      <c r="L844" s="25">
        <v>0</v>
      </c>
      <c r="M844" s="25">
        <v>0</v>
      </c>
      <c r="N844" s="25">
        <v>0</v>
      </c>
      <c r="O844" s="25">
        <v>0</v>
      </c>
    </row>
    <row r="845" spans="8:15" x14ac:dyDescent="0.25">
      <c r="H845" s="22" t="s">
        <v>39</v>
      </c>
      <c r="I845" s="24">
        <v>611704</v>
      </c>
      <c r="J845" s="20">
        <v>41131</v>
      </c>
      <c r="K845" s="25">
        <v>477</v>
      </c>
      <c r="L845" s="25">
        <v>41</v>
      </c>
      <c r="M845" s="25">
        <v>13878</v>
      </c>
      <c r="N845" s="25">
        <v>18</v>
      </c>
      <c r="O845" s="25">
        <v>0</v>
      </c>
    </row>
    <row r="846" spans="8:15" x14ac:dyDescent="0.25">
      <c r="H846" s="22" t="s">
        <v>39</v>
      </c>
      <c r="I846" s="24">
        <v>611704</v>
      </c>
      <c r="J846" s="20">
        <v>41131</v>
      </c>
      <c r="K846" s="25">
        <v>478</v>
      </c>
      <c r="L846" s="25">
        <v>1</v>
      </c>
      <c r="M846" s="25">
        <v>248</v>
      </c>
      <c r="N846" s="25">
        <v>0</v>
      </c>
      <c r="O846" s="25">
        <v>0</v>
      </c>
    </row>
    <row r="847" spans="8:15" x14ac:dyDescent="0.25">
      <c r="H847" s="22" t="s">
        <v>39</v>
      </c>
      <c r="I847" s="24">
        <v>611704</v>
      </c>
      <c r="J847" s="20">
        <v>41131</v>
      </c>
      <c r="K847" s="25">
        <v>481</v>
      </c>
      <c r="L847" s="25">
        <v>0</v>
      </c>
      <c r="M847" s="25">
        <v>0</v>
      </c>
      <c r="N847" s="25">
        <v>0</v>
      </c>
      <c r="O847" s="25">
        <v>0</v>
      </c>
    </row>
    <row r="848" spans="8:15" x14ac:dyDescent="0.25">
      <c r="H848" s="22" t="s">
        <v>39</v>
      </c>
      <c r="I848" s="24">
        <v>611704</v>
      </c>
      <c r="J848" s="20">
        <v>41131</v>
      </c>
      <c r="K848" s="25">
        <v>790</v>
      </c>
      <c r="L848" s="25">
        <v>0</v>
      </c>
      <c r="M848" s="25">
        <v>0</v>
      </c>
      <c r="N848" s="25">
        <v>0</v>
      </c>
      <c r="O848" s="25">
        <v>0</v>
      </c>
    </row>
    <row r="849" spans="8:15" x14ac:dyDescent="0.25">
      <c r="H849" s="22" t="s">
        <v>39</v>
      </c>
      <c r="I849" s="24">
        <v>611704</v>
      </c>
      <c r="J849" s="20">
        <v>41133</v>
      </c>
      <c r="K849" s="25">
        <v>85</v>
      </c>
      <c r="L849" s="25">
        <v>0</v>
      </c>
      <c r="M849" s="25">
        <v>0</v>
      </c>
      <c r="N849" s="25">
        <v>0</v>
      </c>
      <c r="O849" s="25">
        <v>0</v>
      </c>
    </row>
    <row r="850" spans="8:15" x14ac:dyDescent="0.25">
      <c r="H850" s="22" t="s">
        <v>39</v>
      </c>
      <c r="I850" s="24">
        <v>611704</v>
      </c>
      <c r="J850" s="20">
        <v>41133</v>
      </c>
      <c r="K850" s="25">
        <v>477</v>
      </c>
      <c r="L850" s="25">
        <v>19</v>
      </c>
      <c r="M850" s="25">
        <v>7052</v>
      </c>
      <c r="N850" s="25">
        <v>0</v>
      </c>
      <c r="O850" s="25">
        <v>0</v>
      </c>
    </row>
    <row r="851" spans="8:15" x14ac:dyDescent="0.25">
      <c r="H851" s="22" t="s">
        <v>39</v>
      </c>
      <c r="I851" s="24">
        <v>611704</v>
      </c>
      <c r="J851" s="20">
        <v>41133</v>
      </c>
      <c r="K851" s="25">
        <v>478</v>
      </c>
      <c r="L851" s="25">
        <v>10</v>
      </c>
      <c r="M851" s="25">
        <v>2365</v>
      </c>
      <c r="N851" s="25">
        <v>0</v>
      </c>
      <c r="O851" s="25">
        <v>10</v>
      </c>
    </row>
    <row r="852" spans="8:15" x14ac:dyDescent="0.25">
      <c r="H852" s="22" t="s">
        <v>39</v>
      </c>
      <c r="I852" s="24">
        <v>611704</v>
      </c>
      <c r="J852" s="20">
        <v>41133</v>
      </c>
      <c r="K852" s="25">
        <v>481</v>
      </c>
      <c r="L852" s="25">
        <v>0</v>
      </c>
      <c r="M852" s="25">
        <v>0</v>
      </c>
      <c r="N852" s="25">
        <v>0</v>
      </c>
      <c r="O852" s="25">
        <v>0</v>
      </c>
    </row>
    <row r="853" spans="8:15" x14ac:dyDescent="0.25">
      <c r="H853" s="22" t="s">
        <v>39</v>
      </c>
      <c r="I853" s="24">
        <v>611704</v>
      </c>
      <c r="J853" s="20">
        <v>41133</v>
      </c>
      <c r="K853" s="25">
        <v>790</v>
      </c>
      <c r="L853" s="25">
        <v>0</v>
      </c>
      <c r="M853" s="25">
        <v>0</v>
      </c>
      <c r="N853" s="25">
        <v>0</v>
      </c>
      <c r="O853" s="25">
        <v>0</v>
      </c>
    </row>
    <row r="854" spans="8:15" x14ac:dyDescent="0.25">
      <c r="H854" s="22" t="s">
        <v>39</v>
      </c>
      <c r="I854" s="24">
        <v>611704</v>
      </c>
      <c r="J854" s="20">
        <v>41134</v>
      </c>
      <c r="K854" s="25">
        <v>85</v>
      </c>
      <c r="L854" s="25">
        <v>0</v>
      </c>
      <c r="M854" s="25">
        <v>0</v>
      </c>
      <c r="N854" s="25">
        <v>0</v>
      </c>
      <c r="O854" s="25">
        <v>0</v>
      </c>
    </row>
    <row r="855" spans="8:15" x14ac:dyDescent="0.25">
      <c r="H855" s="22" t="s">
        <v>39</v>
      </c>
      <c r="I855" s="24">
        <v>611704</v>
      </c>
      <c r="J855" s="20">
        <v>41134</v>
      </c>
      <c r="K855" s="25">
        <v>477</v>
      </c>
      <c r="L855" s="25">
        <v>41</v>
      </c>
      <c r="M855" s="25">
        <v>14088</v>
      </c>
      <c r="N855" s="25">
        <v>3</v>
      </c>
      <c r="O855" s="25">
        <v>0</v>
      </c>
    </row>
    <row r="856" spans="8:15" x14ac:dyDescent="0.25">
      <c r="H856" s="22" t="s">
        <v>39</v>
      </c>
      <c r="I856" s="24">
        <v>611704</v>
      </c>
      <c r="J856" s="20">
        <v>41134</v>
      </c>
      <c r="K856" s="25">
        <v>478</v>
      </c>
      <c r="L856" s="25">
        <v>11</v>
      </c>
      <c r="M856" s="25">
        <v>2743</v>
      </c>
      <c r="N856" s="25">
        <v>0</v>
      </c>
      <c r="O856" s="25">
        <v>9</v>
      </c>
    </row>
    <row r="857" spans="8:15" x14ac:dyDescent="0.25">
      <c r="H857" s="22" t="s">
        <v>39</v>
      </c>
      <c r="I857" s="24">
        <v>611704</v>
      </c>
      <c r="J857" s="20">
        <v>41134</v>
      </c>
      <c r="K857" s="25">
        <v>481</v>
      </c>
      <c r="L857" s="25">
        <v>0</v>
      </c>
      <c r="M857" s="25">
        <v>0</v>
      </c>
      <c r="N857" s="25">
        <v>0</v>
      </c>
      <c r="O857" s="25">
        <v>0</v>
      </c>
    </row>
    <row r="858" spans="8:15" x14ac:dyDescent="0.25">
      <c r="H858" s="22" t="s">
        <v>39</v>
      </c>
      <c r="I858" s="24">
        <v>611704</v>
      </c>
      <c r="J858" s="20">
        <v>41134</v>
      </c>
      <c r="K858" s="25">
        <v>790</v>
      </c>
      <c r="L858" s="25">
        <v>0</v>
      </c>
      <c r="M858" s="25">
        <v>0</v>
      </c>
      <c r="N858" s="25">
        <v>0</v>
      </c>
      <c r="O858" s="25">
        <v>0</v>
      </c>
    </row>
    <row r="859" spans="8:15" x14ac:dyDescent="0.25">
      <c r="H859" s="22" t="s">
        <v>39</v>
      </c>
      <c r="I859" s="24">
        <v>611704</v>
      </c>
      <c r="J859" s="20">
        <v>41135</v>
      </c>
      <c r="K859" s="25">
        <v>85</v>
      </c>
      <c r="L859" s="25">
        <v>0</v>
      </c>
      <c r="M859" s="25">
        <v>0</v>
      </c>
      <c r="N859" s="25">
        <v>0</v>
      </c>
      <c r="O859" s="25">
        <v>0</v>
      </c>
    </row>
    <row r="860" spans="8:15" x14ac:dyDescent="0.25">
      <c r="H860" s="22" t="s">
        <v>39</v>
      </c>
      <c r="I860" s="24">
        <v>611704</v>
      </c>
      <c r="J860" s="20">
        <v>41135</v>
      </c>
      <c r="K860" s="25">
        <v>466</v>
      </c>
      <c r="L860" s="25">
        <v>1</v>
      </c>
      <c r="M860" s="25">
        <v>283</v>
      </c>
      <c r="N860" s="25">
        <v>0</v>
      </c>
      <c r="O860" s="25">
        <v>0</v>
      </c>
    </row>
    <row r="861" spans="8:15" x14ac:dyDescent="0.25">
      <c r="H861" s="22" t="s">
        <v>39</v>
      </c>
      <c r="I861" s="24">
        <v>611704</v>
      </c>
      <c r="J861" s="20">
        <v>41135</v>
      </c>
      <c r="K861" s="25">
        <v>467</v>
      </c>
      <c r="L861" s="25">
        <v>0</v>
      </c>
      <c r="M861" s="25">
        <v>0</v>
      </c>
      <c r="N861" s="25">
        <v>0</v>
      </c>
      <c r="O861" s="25">
        <v>0</v>
      </c>
    </row>
    <row r="862" spans="8:15" x14ac:dyDescent="0.25">
      <c r="H862" s="22" t="s">
        <v>39</v>
      </c>
      <c r="I862" s="24">
        <v>611704</v>
      </c>
      <c r="J862" s="20">
        <v>41135</v>
      </c>
      <c r="K862" s="25">
        <v>477</v>
      </c>
      <c r="L862" s="25">
        <v>46</v>
      </c>
      <c r="M862" s="25">
        <v>13693</v>
      </c>
      <c r="N862" s="25">
        <v>4</v>
      </c>
      <c r="O862" s="25">
        <v>9</v>
      </c>
    </row>
    <row r="863" spans="8:15" x14ac:dyDescent="0.25">
      <c r="H863" s="22" t="s">
        <v>39</v>
      </c>
      <c r="I863" s="24">
        <v>611704</v>
      </c>
      <c r="J863" s="20">
        <v>41135</v>
      </c>
      <c r="K863" s="25">
        <v>478</v>
      </c>
      <c r="L863" s="25">
        <v>5</v>
      </c>
      <c r="M863" s="25">
        <v>2955</v>
      </c>
      <c r="N863" s="25">
        <v>0</v>
      </c>
      <c r="O863" s="25">
        <v>0</v>
      </c>
    </row>
    <row r="864" spans="8:15" x14ac:dyDescent="0.25">
      <c r="H864" s="22" t="s">
        <v>39</v>
      </c>
      <c r="I864" s="24">
        <v>611704</v>
      </c>
      <c r="J864" s="20">
        <v>41135</v>
      </c>
      <c r="K864" s="25">
        <v>481</v>
      </c>
      <c r="L864" s="25">
        <v>0</v>
      </c>
      <c r="M864" s="25">
        <v>0</v>
      </c>
      <c r="N864" s="25">
        <v>0</v>
      </c>
      <c r="O864" s="25">
        <v>0</v>
      </c>
    </row>
    <row r="865" spans="8:15" x14ac:dyDescent="0.25">
      <c r="H865" s="22" t="s">
        <v>39</v>
      </c>
      <c r="I865" s="24">
        <v>611704</v>
      </c>
      <c r="J865" s="20">
        <v>41135</v>
      </c>
      <c r="K865" s="25">
        <v>790</v>
      </c>
      <c r="L865" s="25">
        <v>0</v>
      </c>
      <c r="M865" s="25">
        <v>0</v>
      </c>
      <c r="N865" s="25">
        <v>0</v>
      </c>
      <c r="O865" s="25">
        <v>0</v>
      </c>
    </row>
    <row r="866" spans="8:15" x14ac:dyDescent="0.25">
      <c r="H866" s="22" t="s">
        <v>39</v>
      </c>
      <c r="I866" s="24">
        <v>611704</v>
      </c>
      <c r="J866" s="20">
        <v>41136</v>
      </c>
      <c r="K866" s="25">
        <v>85</v>
      </c>
      <c r="L866" s="25">
        <v>0</v>
      </c>
      <c r="M866" s="25">
        <v>0</v>
      </c>
      <c r="N866" s="25">
        <v>0</v>
      </c>
      <c r="O866" s="25">
        <v>0</v>
      </c>
    </row>
    <row r="867" spans="8:15" x14ac:dyDescent="0.25">
      <c r="H867" s="22" t="s">
        <v>39</v>
      </c>
      <c r="I867" s="24">
        <v>611704</v>
      </c>
      <c r="J867" s="20">
        <v>41136</v>
      </c>
      <c r="K867" s="25">
        <v>466</v>
      </c>
      <c r="L867" s="25">
        <v>29</v>
      </c>
      <c r="M867" s="25">
        <v>7362</v>
      </c>
      <c r="N867" s="25">
        <v>0</v>
      </c>
      <c r="O867" s="25">
        <v>52</v>
      </c>
    </row>
    <row r="868" spans="8:15" x14ac:dyDescent="0.25">
      <c r="H868" s="22" t="s">
        <v>39</v>
      </c>
      <c r="I868" s="24">
        <v>611704</v>
      </c>
      <c r="J868" s="20">
        <v>41136</v>
      </c>
      <c r="K868" s="25">
        <v>467</v>
      </c>
      <c r="L868" s="25">
        <v>0</v>
      </c>
      <c r="M868" s="25">
        <v>0</v>
      </c>
      <c r="N868" s="25">
        <v>0</v>
      </c>
      <c r="O868" s="25">
        <v>0</v>
      </c>
    </row>
    <row r="869" spans="8:15" x14ac:dyDescent="0.25">
      <c r="H869" s="22" t="s">
        <v>39</v>
      </c>
      <c r="I869" s="24">
        <v>611704</v>
      </c>
      <c r="J869" s="20">
        <v>41136</v>
      </c>
      <c r="K869" s="25">
        <v>477</v>
      </c>
      <c r="L869" s="25">
        <v>30</v>
      </c>
      <c r="M869" s="25">
        <v>9904</v>
      </c>
      <c r="N869" s="25">
        <v>0</v>
      </c>
      <c r="O869" s="25">
        <v>0</v>
      </c>
    </row>
    <row r="870" spans="8:15" x14ac:dyDescent="0.25">
      <c r="H870" s="22" t="s">
        <v>39</v>
      </c>
      <c r="I870" s="24">
        <v>611704</v>
      </c>
      <c r="J870" s="20">
        <v>41136</v>
      </c>
      <c r="K870" s="25">
        <v>478</v>
      </c>
      <c r="L870" s="25">
        <v>9</v>
      </c>
      <c r="M870" s="25">
        <v>1598</v>
      </c>
      <c r="N870" s="25">
        <v>10</v>
      </c>
      <c r="O870" s="25">
        <v>0</v>
      </c>
    </row>
    <row r="871" spans="8:15" x14ac:dyDescent="0.25">
      <c r="H871" s="22" t="s">
        <v>39</v>
      </c>
      <c r="I871" s="24">
        <v>611704</v>
      </c>
      <c r="J871" s="20">
        <v>41136</v>
      </c>
      <c r="K871" s="25">
        <v>481</v>
      </c>
      <c r="L871" s="25">
        <v>0</v>
      </c>
      <c r="M871" s="25">
        <v>0</v>
      </c>
      <c r="N871" s="25">
        <v>0</v>
      </c>
      <c r="O871" s="25">
        <v>0</v>
      </c>
    </row>
    <row r="872" spans="8:15" x14ac:dyDescent="0.25">
      <c r="H872" s="22" t="s">
        <v>39</v>
      </c>
      <c r="I872" s="24">
        <v>611704</v>
      </c>
      <c r="J872" s="20">
        <v>41136</v>
      </c>
      <c r="K872" s="25">
        <v>790</v>
      </c>
      <c r="L872" s="25">
        <v>0</v>
      </c>
      <c r="M872" s="25">
        <v>0</v>
      </c>
      <c r="N872" s="25">
        <v>0</v>
      </c>
      <c r="O872" s="25">
        <v>0</v>
      </c>
    </row>
    <row r="873" spans="8:15" x14ac:dyDescent="0.25">
      <c r="H873" s="22" t="s">
        <v>39</v>
      </c>
      <c r="I873" s="24">
        <v>611704</v>
      </c>
      <c r="J873" s="20">
        <v>41137</v>
      </c>
      <c r="K873" s="25">
        <v>85</v>
      </c>
      <c r="L873" s="25">
        <v>0</v>
      </c>
      <c r="M873" s="25">
        <v>0</v>
      </c>
      <c r="N873" s="25">
        <v>0</v>
      </c>
      <c r="O873" s="25">
        <v>0</v>
      </c>
    </row>
    <row r="874" spans="8:15" x14ac:dyDescent="0.25">
      <c r="H874" s="22" t="s">
        <v>39</v>
      </c>
      <c r="I874" s="24">
        <v>611704</v>
      </c>
      <c r="J874" s="20">
        <v>41137</v>
      </c>
      <c r="K874" s="25">
        <v>465</v>
      </c>
      <c r="L874" s="25">
        <v>0</v>
      </c>
      <c r="M874" s="25">
        <v>0</v>
      </c>
      <c r="N874" s="25">
        <v>0</v>
      </c>
      <c r="O874" s="25">
        <v>0</v>
      </c>
    </row>
    <row r="875" spans="8:15" x14ac:dyDescent="0.25">
      <c r="H875" s="22" t="s">
        <v>39</v>
      </c>
      <c r="I875" s="24">
        <v>611704</v>
      </c>
      <c r="J875" s="20">
        <v>41137</v>
      </c>
      <c r="K875" s="25">
        <v>466</v>
      </c>
      <c r="L875" s="25">
        <v>22</v>
      </c>
      <c r="M875" s="25">
        <v>6534</v>
      </c>
      <c r="N875" s="25">
        <v>6</v>
      </c>
      <c r="O875" s="25">
        <v>9</v>
      </c>
    </row>
    <row r="876" spans="8:15" x14ac:dyDescent="0.25">
      <c r="H876" s="22" t="s">
        <v>39</v>
      </c>
      <c r="I876" s="24">
        <v>611704</v>
      </c>
      <c r="J876" s="20">
        <v>41137</v>
      </c>
      <c r="K876" s="25">
        <v>467</v>
      </c>
      <c r="L876" s="25">
        <v>0</v>
      </c>
      <c r="M876" s="25">
        <v>0</v>
      </c>
      <c r="N876" s="25">
        <v>0</v>
      </c>
      <c r="O876" s="25">
        <v>0</v>
      </c>
    </row>
    <row r="877" spans="8:15" x14ac:dyDescent="0.25">
      <c r="H877" s="22" t="s">
        <v>39</v>
      </c>
      <c r="I877" s="24">
        <v>611704</v>
      </c>
      <c r="J877" s="20">
        <v>41137</v>
      </c>
      <c r="K877" s="25">
        <v>477</v>
      </c>
      <c r="L877" s="25">
        <v>8</v>
      </c>
      <c r="M877" s="25">
        <v>5215</v>
      </c>
      <c r="N877" s="25">
        <v>0</v>
      </c>
      <c r="O877" s="25">
        <v>0</v>
      </c>
    </row>
    <row r="878" spans="8:15" x14ac:dyDescent="0.25">
      <c r="H878" s="22" t="s">
        <v>39</v>
      </c>
      <c r="I878" s="24">
        <v>611704</v>
      </c>
      <c r="J878" s="20">
        <v>41137</v>
      </c>
      <c r="K878" s="25">
        <v>478</v>
      </c>
      <c r="L878" s="25">
        <v>0</v>
      </c>
      <c r="M878" s="25">
        <v>0</v>
      </c>
      <c r="N878" s="25">
        <v>0</v>
      </c>
      <c r="O878" s="25">
        <v>0</v>
      </c>
    </row>
    <row r="879" spans="8:15" x14ac:dyDescent="0.25">
      <c r="H879" s="22" t="s">
        <v>39</v>
      </c>
      <c r="I879" s="24">
        <v>611704</v>
      </c>
      <c r="J879" s="20">
        <v>41137</v>
      </c>
      <c r="K879" s="25">
        <v>480</v>
      </c>
      <c r="L879" s="25">
        <v>8</v>
      </c>
      <c r="M879" s="25">
        <v>3317</v>
      </c>
      <c r="N879" s="25">
        <v>0</v>
      </c>
      <c r="O879" s="25">
        <v>0</v>
      </c>
    </row>
    <row r="880" spans="8:15" x14ac:dyDescent="0.25">
      <c r="H880" s="22" t="s">
        <v>39</v>
      </c>
      <c r="I880" s="24">
        <v>611704</v>
      </c>
      <c r="J880" s="20">
        <v>41137</v>
      </c>
      <c r="K880" s="25">
        <v>481</v>
      </c>
      <c r="L880" s="25">
        <v>0</v>
      </c>
      <c r="M880" s="25">
        <v>0</v>
      </c>
      <c r="N880" s="25">
        <v>0</v>
      </c>
      <c r="O880" s="25">
        <v>0</v>
      </c>
    </row>
    <row r="881" spans="8:15" x14ac:dyDescent="0.25">
      <c r="H881" s="22" t="s">
        <v>39</v>
      </c>
      <c r="I881" s="24">
        <v>611704</v>
      </c>
      <c r="J881" s="20">
        <v>41137</v>
      </c>
      <c r="K881" s="25">
        <v>482</v>
      </c>
      <c r="L881" s="25">
        <v>11</v>
      </c>
      <c r="M881" s="25">
        <v>3869</v>
      </c>
      <c r="N881" s="25">
        <v>0</v>
      </c>
      <c r="O881" s="25">
        <v>0</v>
      </c>
    </row>
    <row r="882" spans="8:15" x14ac:dyDescent="0.25">
      <c r="H882" s="22" t="s">
        <v>39</v>
      </c>
      <c r="I882" s="24">
        <v>611704</v>
      </c>
      <c r="J882" s="20">
        <v>41137</v>
      </c>
      <c r="K882" s="25">
        <v>790</v>
      </c>
      <c r="L882" s="25">
        <v>0</v>
      </c>
      <c r="M882" s="25">
        <v>0</v>
      </c>
      <c r="N882" s="25">
        <v>0</v>
      </c>
      <c r="O882" s="25">
        <v>0</v>
      </c>
    </row>
    <row r="883" spans="8:15" x14ac:dyDescent="0.25">
      <c r="H883" s="22" t="s">
        <v>39</v>
      </c>
      <c r="I883" s="24">
        <v>611704</v>
      </c>
      <c r="J883" s="20">
        <v>41138</v>
      </c>
      <c r="K883" s="25">
        <v>85</v>
      </c>
      <c r="L883" s="25">
        <v>0</v>
      </c>
      <c r="M883" s="25">
        <v>0</v>
      </c>
      <c r="N883" s="25">
        <v>0</v>
      </c>
      <c r="O883" s="25">
        <v>0</v>
      </c>
    </row>
    <row r="884" spans="8:15" x14ac:dyDescent="0.25">
      <c r="H884" s="22" t="s">
        <v>39</v>
      </c>
      <c r="I884" s="24">
        <v>611704</v>
      </c>
      <c r="J884" s="20">
        <v>41138</v>
      </c>
      <c r="K884" s="25">
        <v>465</v>
      </c>
      <c r="L884" s="25">
        <v>0</v>
      </c>
      <c r="M884" s="25">
        <v>0</v>
      </c>
      <c r="N884" s="25">
        <v>0</v>
      </c>
      <c r="O884" s="25">
        <v>0</v>
      </c>
    </row>
    <row r="885" spans="8:15" x14ac:dyDescent="0.25">
      <c r="H885" s="22" t="s">
        <v>39</v>
      </c>
      <c r="I885" s="24">
        <v>611704</v>
      </c>
      <c r="J885" s="20">
        <v>41138</v>
      </c>
      <c r="K885" s="25">
        <v>466</v>
      </c>
      <c r="L885" s="25">
        <v>27</v>
      </c>
      <c r="M885" s="25">
        <v>10437</v>
      </c>
      <c r="N885" s="25">
        <v>9</v>
      </c>
      <c r="O885" s="25">
        <v>0</v>
      </c>
    </row>
    <row r="886" spans="8:15" x14ac:dyDescent="0.25">
      <c r="H886" s="22" t="s">
        <v>39</v>
      </c>
      <c r="I886" s="24">
        <v>611704</v>
      </c>
      <c r="J886" s="20">
        <v>41138</v>
      </c>
      <c r="K886" s="25">
        <v>467</v>
      </c>
      <c r="L886" s="25">
        <v>0</v>
      </c>
      <c r="M886" s="25">
        <v>0</v>
      </c>
      <c r="N886" s="25">
        <v>0</v>
      </c>
      <c r="O886" s="25">
        <v>0</v>
      </c>
    </row>
    <row r="887" spans="8:15" x14ac:dyDescent="0.25">
      <c r="H887" s="22" t="s">
        <v>39</v>
      </c>
      <c r="I887" s="24">
        <v>611704</v>
      </c>
      <c r="J887" s="20">
        <v>41138</v>
      </c>
      <c r="K887" s="25">
        <v>477</v>
      </c>
      <c r="L887" s="25">
        <v>6</v>
      </c>
      <c r="M887" s="25">
        <v>2736</v>
      </c>
      <c r="N887" s="25">
        <v>0</v>
      </c>
      <c r="O887" s="25">
        <v>0</v>
      </c>
    </row>
    <row r="888" spans="8:15" x14ac:dyDescent="0.25">
      <c r="H888" s="22" t="s">
        <v>39</v>
      </c>
      <c r="I888" s="24">
        <v>611704</v>
      </c>
      <c r="J888" s="20">
        <v>41138</v>
      </c>
      <c r="K888" s="25">
        <v>478</v>
      </c>
      <c r="L888" s="25">
        <v>0</v>
      </c>
      <c r="M888" s="25">
        <v>0</v>
      </c>
      <c r="N888" s="25">
        <v>0</v>
      </c>
      <c r="O888" s="25">
        <v>0</v>
      </c>
    </row>
    <row r="889" spans="8:15" x14ac:dyDescent="0.25">
      <c r="H889" s="22" t="s">
        <v>39</v>
      </c>
      <c r="I889" s="24">
        <v>611704</v>
      </c>
      <c r="J889" s="20">
        <v>41138</v>
      </c>
      <c r="K889" s="25">
        <v>480</v>
      </c>
      <c r="L889" s="25">
        <v>3</v>
      </c>
      <c r="M889" s="25">
        <v>1036</v>
      </c>
      <c r="N889" s="25">
        <v>0</v>
      </c>
      <c r="O889" s="25">
        <v>0</v>
      </c>
    </row>
    <row r="890" spans="8:15" x14ac:dyDescent="0.25">
      <c r="H890" s="22" t="s">
        <v>39</v>
      </c>
      <c r="I890" s="24">
        <v>611704</v>
      </c>
      <c r="J890" s="20">
        <v>41138</v>
      </c>
      <c r="K890" s="25">
        <v>481</v>
      </c>
      <c r="L890" s="25">
        <v>0</v>
      </c>
      <c r="M890" s="25">
        <v>0</v>
      </c>
      <c r="N890" s="25">
        <v>0</v>
      </c>
      <c r="O890" s="25">
        <v>0</v>
      </c>
    </row>
    <row r="891" spans="8:15" x14ac:dyDescent="0.25">
      <c r="H891" s="22" t="s">
        <v>39</v>
      </c>
      <c r="I891" s="24">
        <v>611704</v>
      </c>
      <c r="J891" s="20">
        <v>41138</v>
      </c>
      <c r="K891" s="25">
        <v>482</v>
      </c>
      <c r="L891" s="25">
        <v>15</v>
      </c>
      <c r="M891" s="25">
        <v>3391</v>
      </c>
      <c r="N891" s="25">
        <v>8</v>
      </c>
      <c r="O891" s="25">
        <v>9</v>
      </c>
    </row>
    <row r="892" spans="8:15" x14ac:dyDescent="0.25">
      <c r="H892" s="22" t="s">
        <v>39</v>
      </c>
      <c r="I892" s="24">
        <v>611704</v>
      </c>
      <c r="J892" s="20">
        <v>41138</v>
      </c>
      <c r="K892" s="25">
        <v>790</v>
      </c>
      <c r="L892" s="25">
        <v>0</v>
      </c>
      <c r="M892" s="25">
        <v>0</v>
      </c>
      <c r="N892" s="25">
        <v>0</v>
      </c>
      <c r="O892" s="25">
        <v>0</v>
      </c>
    </row>
    <row r="893" spans="8:15" x14ac:dyDescent="0.25">
      <c r="H893" s="22" t="s">
        <v>39</v>
      </c>
      <c r="I893" s="24">
        <v>611704</v>
      </c>
      <c r="J893" s="20">
        <v>41139</v>
      </c>
      <c r="K893" s="25">
        <v>465</v>
      </c>
      <c r="L893" s="25">
        <v>0</v>
      </c>
      <c r="M893" s="25">
        <v>0</v>
      </c>
      <c r="N893" s="25">
        <v>0</v>
      </c>
      <c r="O893" s="25">
        <v>0</v>
      </c>
    </row>
    <row r="894" spans="8:15" x14ac:dyDescent="0.25">
      <c r="H894" s="22" t="s">
        <v>39</v>
      </c>
      <c r="I894" s="24">
        <v>611704</v>
      </c>
      <c r="J894" s="20">
        <v>41139</v>
      </c>
      <c r="K894" s="25">
        <v>467</v>
      </c>
      <c r="L894" s="25">
        <v>2</v>
      </c>
      <c r="M894" s="25">
        <v>331</v>
      </c>
      <c r="N894" s="25">
        <v>0</v>
      </c>
      <c r="O894" s="25">
        <v>0</v>
      </c>
    </row>
    <row r="895" spans="8:15" x14ac:dyDescent="0.25">
      <c r="H895" s="22" t="s">
        <v>39</v>
      </c>
      <c r="I895" s="24">
        <v>611704</v>
      </c>
      <c r="J895" s="20">
        <v>41139</v>
      </c>
      <c r="K895" s="25">
        <v>478</v>
      </c>
      <c r="L895" s="25">
        <v>44</v>
      </c>
      <c r="M895" s="25">
        <v>12554</v>
      </c>
      <c r="N895" s="25">
        <v>0</v>
      </c>
      <c r="O895" s="25">
        <v>0</v>
      </c>
    </row>
    <row r="896" spans="8:15" x14ac:dyDescent="0.25">
      <c r="H896" s="22" t="s">
        <v>39</v>
      </c>
      <c r="I896" s="24">
        <v>611704</v>
      </c>
      <c r="J896" s="20">
        <v>41139</v>
      </c>
      <c r="K896" s="25">
        <v>480</v>
      </c>
      <c r="L896" s="25">
        <v>4</v>
      </c>
      <c r="M896" s="25">
        <v>864</v>
      </c>
      <c r="N896" s="25">
        <v>0</v>
      </c>
      <c r="O896" s="25">
        <v>23</v>
      </c>
    </row>
    <row r="897" spans="8:15" x14ac:dyDescent="0.25">
      <c r="H897" s="22" t="s">
        <v>39</v>
      </c>
      <c r="I897" s="24">
        <v>611704</v>
      </c>
      <c r="J897" s="20">
        <v>41139</v>
      </c>
      <c r="K897" s="25">
        <v>481</v>
      </c>
      <c r="L897" s="25">
        <v>0</v>
      </c>
      <c r="M897" s="25">
        <v>0</v>
      </c>
      <c r="N897" s="25">
        <v>0</v>
      </c>
      <c r="O897" s="25">
        <v>0</v>
      </c>
    </row>
    <row r="898" spans="8:15" x14ac:dyDescent="0.25">
      <c r="H898" s="22" t="s">
        <v>39</v>
      </c>
      <c r="I898" s="24">
        <v>611704</v>
      </c>
      <c r="J898" s="20">
        <v>41139</v>
      </c>
      <c r="K898" s="25">
        <v>482</v>
      </c>
      <c r="L898" s="25">
        <v>15</v>
      </c>
      <c r="M898" s="25">
        <v>6003</v>
      </c>
      <c r="N898" s="25">
        <v>4</v>
      </c>
      <c r="O898" s="25">
        <v>85</v>
      </c>
    </row>
    <row r="899" spans="8:15" x14ac:dyDescent="0.25">
      <c r="H899" s="22" t="s">
        <v>39</v>
      </c>
      <c r="I899" s="24">
        <v>611704</v>
      </c>
      <c r="J899" s="20">
        <v>41139</v>
      </c>
      <c r="K899" s="25">
        <v>790</v>
      </c>
      <c r="L899" s="25">
        <v>0</v>
      </c>
      <c r="M899" s="25">
        <v>0</v>
      </c>
      <c r="N899" s="25">
        <v>0</v>
      </c>
      <c r="O899" s="25">
        <v>0</v>
      </c>
    </row>
    <row r="900" spans="8:15" x14ac:dyDescent="0.25">
      <c r="H900" s="22" t="s">
        <v>39</v>
      </c>
      <c r="I900" s="24">
        <v>611704</v>
      </c>
      <c r="J900" s="20">
        <v>41141</v>
      </c>
      <c r="K900" s="25">
        <v>85</v>
      </c>
      <c r="L900" s="25">
        <v>0</v>
      </c>
      <c r="M900" s="25">
        <v>0</v>
      </c>
      <c r="N900" s="25">
        <v>0</v>
      </c>
      <c r="O900" s="25">
        <v>0</v>
      </c>
    </row>
    <row r="901" spans="8:15" x14ac:dyDescent="0.25">
      <c r="H901" s="22" t="s">
        <v>39</v>
      </c>
      <c r="I901" s="24">
        <v>611704</v>
      </c>
      <c r="J901" s="20">
        <v>41141</v>
      </c>
      <c r="K901" s="25">
        <v>465</v>
      </c>
      <c r="L901" s="25">
        <v>0</v>
      </c>
      <c r="M901" s="25">
        <v>0</v>
      </c>
      <c r="N901" s="25">
        <v>0</v>
      </c>
      <c r="O901" s="25">
        <v>0</v>
      </c>
    </row>
    <row r="902" spans="8:15" x14ac:dyDescent="0.25">
      <c r="H902" s="22" t="s">
        <v>39</v>
      </c>
      <c r="I902" s="24">
        <v>611704</v>
      </c>
      <c r="J902" s="20">
        <v>41141</v>
      </c>
      <c r="K902" s="25">
        <v>466</v>
      </c>
      <c r="L902" s="25">
        <v>17</v>
      </c>
      <c r="M902" s="25">
        <v>5497</v>
      </c>
      <c r="N902" s="25">
        <v>0</v>
      </c>
      <c r="O902" s="25">
        <v>5</v>
      </c>
    </row>
    <row r="903" spans="8:15" x14ac:dyDescent="0.25">
      <c r="H903" s="22" t="s">
        <v>39</v>
      </c>
      <c r="I903" s="24">
        <v>611704</v>
      </c>
      <c r="J903" s="20">
        <v>41141</v>
      </c>
      <c r="K903" s="25">
        <v>467</v>
      </c>
      <c r="L903" s="25">
        <v>0</v>
      </c>
      <c r="M903" s="25">
        <v>0</v>
      </c>
      <c r="N903" s="25">
        <v>0</v>
      </c>
      <c r="O903" s="25">
        <v>0</v>
      </c>
    </row>
    <row r="904" spans="8:15" x14ac:dyDescent="0.25">
      <c r="H904" s="22" t="s">
        <v>39</v>
      </c>
      <c r="I904" s="24">
        <v>611704</v>
      </c>
      <c r="J904" s="20">
        <v>41141</v>
      </c>
      <c r="K904" s="25">
        <v>477</v>
      </c>
      <c r="L904" s="25">
        <v>11</v>
      </c>
      <c r="M904" s="25">
        <v>5298</v>
      </c>
      <c r="N904" s="25">
        <v>0</v>
      </c>
      <c r="O904" s="25">
        <v>0</v>
      </c>
    </row>
    <row r="905" spans="8:15" x14ac:dyDescent="0.25">
      <c r="H905" s="22" t="s">
        <v>39</v>
      </c>
      <c r="I905" s="24">
        <v>611704</v>
      </c>
      <c r="J905" s="20">
        <v>41141</v>
      </c>
      <c r="K905" s="25">
        <v>478</v>
      </c>
      <c r="L905" s="25">
        <v>0</v>
      </c>
      <c r="M905" s="25">
        <v>0</v>
      </c>
      <c r="N905" s="25">
        <v>0</v>
      </c>
      <c r="O905" s="25">
        <v>0</v>
      </c>
    </row>
    <row r="906" spans="8:15" x14ac:dyDescent="0.25">
      <c r="H906" s="22" t="s">
        <v>39</v>
      </c>
      <c r="I906" s="24">
        <v>611704</v>
      </c>
      <c r="J906" s="20">
        <v>41141</v>
      </c>
      <c r="K906" s="25">
        <v>480</v>
      </c>
      <c r="L906" s="25">
        <v>5</v>
      </c>
      <c r="M906" s="25">
        <v>2237</v>
      </c>
      <c r="N906" s="25">
        <v>0</v>
      </c>
      <c r="O906" s="25">
        <v>0</v>
      </c>
    </row>
    <row r="907" spans="8:15" x14ac:dyDescent="0.25">
      <c r="H907" s="22" t="s">
        <v>39</v>
      </c>
      <c r="I907" s="24">
        <v>611704</v>
      </c>
      <c r="J907" s="20">
        <v>41141</v>
      </c>
      <c r="K907" s="25">
        <v>481</v>
      </c>
      <c r="L907" s="25">
        <v>0</v>
      </c>
      <c r="M907" s="25">
        <v>0</v>
      </c>
      <c r="N907" s="25">
        <v>0</v>
      </c>
      <c r="O907" s="25">
        <v>0</v>
      </c>
    </row>
    <row r="908" spans="8:15" x14ac:dyDescent="0.25">
      <c r="H908" s="22" t="s">
        <v>39</v>
      </c>
      <c r="I908" s="24">
        <v>611704</v>
      </c>
      <c r="J908" s="20">
        <v>41141</v>
      </c>
      <c r="K908" s="25">
        <v>482</v>
      </c>
      <c r="L908" s="25">
        <v>14</v>
      </c>
      <c r="M908" s="25">
        <v>4328</v>
      </c>
      <c r="N908" s="25">
        <v>0</v>
      </c>
      <c r="O908" s="25">
        <v>0</v>
      </c>
    </row>
    <row r="909" spans="8:15" x14ac:dyDescent="0.25">
      <c r="H909" s="22" t="s">
        <v>39</v>
      </c>
      <c r="I909" s="24">
        <v>611704</v>
      </c>
      <c r="J909" s="20">
        <v>41141</v>
      </c>
      <c r="K909" s="25">
        <v>790</v>
      </c>
      <c r="L909" s="25">
        <v>0</v>
      </c>
      <c r="M909" s="25">
        <v>0</v>
      </c>
      <c r="N909" s="25">
        <v>0</v>
      </c>
      <c r="O909" s="25">
        <v>0</v>
      </c>
    </row>
    <row r="910" spans="8:15" x14ac:dyDescent="0.25">
      <c r="H910" s="22" t="s">
        <v>39</v>
      </c>
      <c r="I910" s="24">
        <v>611704</v>
      </c>
      <c r="J910" s="20">
        <v>41142</v>
      </c>
      <c r="K910" s="25">
        <v>85</v>
      </c>
      <c r="L910" s="25">
        <v>0</v>
      </c>
      <c r="M910" s="25">
        <v>0</v>
      </c>
      <c r="N910" s="25">
        <v>0</v>
      </c>
      <c r="O910" s="25">
        <v>0</v>
      </c>
    </row>
    <row r="911" spans="8:15" x14ac:dyDescent="0.25">
      <c r="H911" s="22" t="s">
        <v>39</v>
      </c>
      <c r="I911" s="24">
        <v>611704</v>
      </c>
      <c r="J911" s="20">
        <v>41142</v>
      </c>
      <c r="K911" s="25">
        <v>465</v>
      </c>
      <c r="L911" s="25">
        <v>0</v>
      </c>
      <c r="M911" s="25">
        <v>0</v>
      </c>
      <c r="N911" s="25">
        <v>0</v>
      </c>
      <c r="O911" s="25">
        <v>0</v>
      </c>
    </row>
    <row r="912" spans="8:15" x14ac:dyDescent="0.25">
      <c r="H912" s="22" t="s">
        <v>39</v>
      </c>
      <c r="I912" s="24">
        <v>611704</v>
      </c>
      <c r="J912" s="20">
        <v>41142</v>
      </c>
      <c r="K912" s="25">
        <v>466</v>
      </c>
      <c r="L912" s="25">
        <v>20</v>
      </c>
      <c r="M912" s="25">
        <v>7610</v>
      </c>
      <c r="N912" s="25">
        <v>3</v>
      </c>
      <c r="O912" s="25">
        <v>10</v>
      </c>
    </row>
    <row r="913" spans="8:15" x14ac:dyDescent="0.25">
      <c r="H913" s="22" t="s">
        <v>39</v>
      </c>
      <c r="I913" s="24">
        <v>611704</v>
      </c>
      <c r="J913" s="20">
        <v>41142</v>
      </c>
      <c r="K913" s="25">
        <v>467</v>
      </c>
      <c r="L913" s="25">
        <v>0</v>
      </c>
      <c r="M913" s="25">
        <v>0</v>
      </c>
      <c r="N913" s="25">
        <v>0</v>
      </c>
      <c r="O913" s="25">
        <v>0</v>
      </c>
    </row>
    <row r="914" spans="8:15" x14ac:dyDescent="0.25">
      <c r="H914" s="22" t="s">
        <v>39</v>
      </c>
      <c r="I914" s="24">
        <v>611704</v>
      </c>
      <c r="J914" s="20">
        <v>41142</v>
      </c>
      <c r="K914" s="25">
        <v>477</v>
      </c>
      <c r="L914" s="25">
        <v>10</v>
      </c>
      <c r="M914" s="25">
        <v>4237</v>
      </c>
      <c r="N914" s="25">
        <v>0</v>
      </c>
      <c r="O914" s="25">
        <v>0</v>
      </c>
    </row>
    <row r="915" spans="8:15" x14ac:dyDescent="0.25">
      <c r="H915" s="22" t="s">
        <v>39</v>
      </c>
      <c r="I915" s="24">
        <v>611704</v>
      </c>
      <c r="J915" s="20">
        <v>41142</v>
      </c>
      <c r="K915" s="25">
        <v>478</v>
      </c>
      <c r="L915" s="25">
        <v>2</v>
      </c>
      <c r="M915" s="25">
        <v>996</v>
      </c>
      <c r="N915" s="25">
        <v>0</v>
      </c>
      <c r="O915" s="25">
        <v>0</v>
      </c>
    </row>
    <row r="916" spans="8:15" x14ac:dyDescent="0.25">
      <c r="H916" s="22" t="s">
        <v>39</v>
      </c>
      <c r="I916" s="24">
        <v>611704</v>
      </c>
      <c r="J916" s="20">
        <v>41142</v>
      </c>
      <c r="K916" s="25">
        <v>480</v>
      </c>
      <c r="L916" s="25">
        <v>5</v>
      </c>
      <c r="M916" s="25">
        <v>1190</v>
      </c>
      <c r="N916" s="25">
        <v>4</v>
      </c>
      <c r="O916" s="25">
        <v>0</v>
      </c>
    </row>
    <row r="917" spans="8:15" x14ac:dyDescent="0.25">
      <c r="H917" s="22" t="s">
        <v>39</v>
      </c>
      <c r="I917" s="24">
        <v>611704</v>
      </c>
      <c r="J917" s="20">
        <v>41142</v>
      </c>
      <c r="K917" s="25">
        <v>481</v>
      </c>
      <c r="L917" s="25">
        <v>0</v>
      </c>
      <c r="M917" s="25">
        <v>0</v>
      </c>
      <c r="N917" s="25">
        <v>0</v>
      </c>
      <c r="O917" s="25">
        <v>0</v>
      </c>
    </row>
    <row r="918" spans="8:15" x14ac:dyDescent="0.25">
      <c r="H918" s="22" t="s">
        <v>39</v>
      </c>
      <c r="I918" s="24">
        <v>611704</v>
      </c>
      <c r="J918" s="20">
        <v>41142</v>
      </c>
      <c r="K918" s="25">
        <v>482</v>
      </c>
      <c r="L918" s="25">
        <v>12</v>
      </c>
      <c r="M918" s="25">
        <v>4377</v>
      </c>
      <c r="N918" s="25">
        <v>5</v>
      </c>
      <c r="O918" s="25">
        <v>0</v>
      </c>
    </row>
    <row r="919" spans="8:15" x14ac:dyDescent="0.25">
      <c r="H919" s="22" t="s">
        <v>39</v>
      </c>
      <c r="I919" s="24">
        <v>611704</v>
      </c>
      <c r="J919" s="20">
        <v>41142</v>
      </c>
      <c r="K919" s="25">
        <v>790</v>
      </c>
      <c r="L919" s="25">
        <v>0</v>
      </c>
      <c r="M919" s="25">
        <v>0</v>
      </c>
      <c r="N919" s="25">
        <v>0</v>
      </c>
      <c r="O919" s="25">
        <v>0</v>
      </c>
    </row>
    <row r="920" spans="8:15" x14ac:dyDescent="0.25">
      <c r="H920" s="22" t="s">
        <v>39</v>
      </c>
      <c r="I920" s="24">
        <v>611704</v>
      </c>
      <c r="J920" s="20">
        <v>41143</v>
      </c>
      <c r="K920" s="25">
        <v>85</v>
      </c>
      <c r="L920" s="25">
        <v>0</v>
      </c>
      <c r="M920" s="25">
        <v>0</v>
      </c>
      <c r="N920" s="25">
        <v>0</v>
      </c>
      <c r="O920" s="25">
        <v>0</v>
      </c>
    </row>
    <row r="921" spans="8:15" x14ac:dyDescent="0.25">
      <c r="H921" s="22" t="s">
        <v>39</v>
      </c>
      <c r="I921" s="24">
        <v>611704</v>
      </c>
      <c r="J921" s="20">
        <v>41143</v>
      </c>
      <c r="K921" s="25">
        <v>465</v>
      </c>
      <c r="L921" s="25">
        <v>0</v>
      </c>
      <c r="M921" s="25">
        <v>0</v>
      </c>
      <c r="N921" s="25">
        <v>0</v>
      </c>
      <c r="O921" s="25">
        <v>0</v>
      </c>
    </row>
    <row r="922" spans="8:15" x14ac:dyDescent="0.25">
      <c r="H922" s="22" t="s">
        <v>39</v>
      </c>
      <c r="I922" s="24">
        <v>611704</v>
      </c>
      <c r="J922" s="20">
        <v>41143</v>
      </c>
      <c r="K922" s="25">
        <v>466</v>
      </c>
      <c r="L922" s="25">
        <v>23</v>
      </c>
      <c r="M922" s="25">
        <v>6964</v>
      </c>
      <c r="N922" s="25">
        <v>8</v>
      </c>
      <c r="O922" s="25">
        <v>6</v>
      </c>
    </row>
    <row r="923" spans="8:15" x14ac:dyDescent="0.25">
      <c r="H923" s="22" t="s">
        <v>39</v>
      </c>
      <c r="I923" s="24">
        <v>611704</v>
      </c>
      <c r="J923" s="20">
        <v>41143</v>
      </c>
      <c r="K923" s="25">
        <v>477</v>
      </c>
      <c r="L923" s="25">
        <v>8</v>
      </c>
      <c r="M923" s="25">
        <v>2591</v>
      </c>
      <c r="N923" s="25">
        <v>0</v>
      </c>
      <c r="O923" s="25">
        <v>0</v>
      </c>
    </row>
    <row r="924" spans="8:15" x14ac:dyDescent="0.25">
      <c r="H924" s="22" t="s">
        <v>39</v>
      </c>
      <c r="I924" s="24">
        <v>611704</v>
      </c>
      <c r="J924" s="20">
        <v>41143</v>
      </c>
      <c r="K924" s="25">
        <v>478</v>
      </c>
      <c r="L924" s="25">
        <v>0</v>
      </c>
      <c r="M924" s="25">
        <v>0</v>
      </c>
      <c r="N924" s="25">
        <v>0</v>
      </c>
      <c r="O924" s="25">
        <v>0</v>
      </c>
    </row>
    <row r="925" spans="8:15" x14ac:dyDescent="0.25">
      <c r="H925" s="22" t="s">
        <v>39</v>
      </c>
      <c r="I925" s="24">
        <v>611704</v>
      </c>
      <c r="J925" s="20">
        <v>41143</v>
      </c>
      <c r="K925" s="25">
        <v>480</v>
      </c>
      <c r="L925" s="25">
        <v>4</v>
      </c>
      <c r="M925" s="25">
        <v>1253</v>
      </c>
      <c r="N925" s="25">
        <v>0</v>
      </c>
      <c r="O925" s="25">
        <v>0</v>
      </c>
    </row>
    <row r="926" spans="8:15" x14ac:dyDescent="0.25">
      <c r="H926" s="22" t="s">
        <v>39</v>
      </c>
      <c r="I926" s="24">
        <v>611704</v>
      </c>
      <c r="J926" s="20">
        <v>41143</v>
      </c>
      <c r="K926" s="25">
        <v>481</v>
      </c>
      <c r="L926" s="25">
        <v>0</v>
      </c>
      <c r="M926" s="25">
        <v>0</v>
      </c>
      <c r="N926" s="25">
        <v>0</v>
      </c>
      <c r="O926" s="25">
        <v>0</v>
      </c>
    </row>
    <row r="927" spans="8:15" x14ac:dyDescent="0.25">
      <c r="H927" s="22" t="s">
        <v>39</v>
      </c>
      <c r="I927" s="24">
        <v>611704</v>
      </c>
      <c r="J927" s="20">
        <v>41143</v>
      </c>
      <c r="K927" s="25">
        <v>482</v>
      </c>
      <c r="L927" s="25">
        <v>18</v>
      </c>
      <c r="M927" s="25">
        <v>6121</v>
      </c>
      <c r="N927" s="25">
        <v>0</v>
      </c>
      <c r="O927" s="25">
        <v>0</v>
      </c>
    </row>
    <row r="928" spans="8:15" x14ac:dyDescent="0.25">
      <c r="H928" s="22" t="s">
        <v>39</v>
      </c>
      <c r="I928" s="24">
        <v>611704</v>
      </c>
      <c r="J928" s="20">
        <v>41143</v>
      </c>
      <c r="K928" s="25">
        <v>790</v>
      </c>
      <c r="L928" s="25">
        <v>0</v>
      </c>
      <c r="M928" s="25">
        <v>0</v>
      </c>
      <c r="N928" s="25">
        <v>0</v>
      </c>
      <c r="O928" s="25">
        <v>0</v>
      </c>
    </row>
    <row r="929" spans="8:15" x14ac:dyDescent="0.25">
      <c r="H929" s="22" t="s">
        <v>39</v>
      </c>
      <c r="I929" s="24">
        <v>611704</v>
      </c>
      <c r="J929" s="20">
        <v>41144</v>
      </c>
      <c r="K929" s="25">
        <v>85</v>
      </c>
      <c r="L929" s="25">
        <v>0</v>
      </c>
      <c r="M929" s="25">
        <v>0</v>
      </c>
      <c r="N929" s="25">
        <v>0</v>
      </c>
      <c r="O929" s="25">
        <v>0</v>
      </c>
    </row>
    <row r="930" spans="8:15" x14ac:dyDescent="0.25">
      <c r="H930" s="22" t="s">
        <v>39</v>
      </c>
      <c r="I930" s="24">
        <v>611704</v>
      </c>
      <c r="J930" s="20">
        <v>41144</v>
      </c>
      <c r="K930" s="25">
        <v>465</v>
      </c>
      <c r="L930" s="25">
        <v>0</v>
      </c>
      <c r="M930" s="25">
        <v>0</v>
      </c>
      <c r="N930" s="25">
        <v>0</v>
      </c>
      <c r="O930" s="25">
        <v>0</v>
      </c>
    </row>
    <row r="931" spans="8:15" x14ac:dyDescent="0.25">
      <c r="H931" s="22" t="s">
        <v>39</v>
      </c>
      <c r="I931" s="24">
        <v>611704</v>
      </c>
      <c r="J931" s="20">
        <v>41144</v>
      </c>
      <c r="K931" s="25">
        <v>466</v>
      </c>
      <c r="L931" s="25">
        <v>32</v>
      </c>
      <c r="M931" s="25">
        <v>10349</v>
      </c>
      <c r="N931" s="25">
        <v>0</v>
      </c>
      <c r="O931" s="25">
        <v>0</v>
      </c>
    </row>
    <row r="932" spans="8:15" x14ac:dyDescent="0.25">
      <c r="H932" s="22" t="s">
        <v>39</v>
      </c>
      <c r="I932" s="24">
        <v>611704</v>
      </c>
      <c r="J932" s="20">
        <v>41144</v>
      </c>
      <c r="K932" s="25">
        <v>467</v>
      </c>
      <c r="L932" s="25">
        <v>0</v>
      </c>
      <c r="M932" s="25">
        <v>0</v>
      </c>
      <c r="N932" s="25">
        <v>0</v>
      </c>
      <c r="O932" s="25">
        <v>0</v>
      </c>
    </row>
    <row r="933" spans="8:15" x14ac:dyDescent="0.25">
      <c r="H933" s="22" t="s">
        <v>39</v>
      </c>
      <c r="I933" s="24">
        <v>611704</v>
      </c>
      <c r="J933" s="20">
        <v>41144</v>
      </c>
      <c r="K933" s="25">
        <v>477</v>
      </c>
      <c r="L933" s="25">
        <v>14</v>
      </c>
      <c r="M933" s="25">
        <v>4383</v>
      </c>
      <c r="N933" s="25">
        <v>0</v>
      </c>
      <c r="O933" s="25">
        <v>4</v>
      </c>
    </row>
    <row r="934" spans="8:15" x14ac:dyDescent="0.25">
      <c r="H934" s="22" t="s">
        <v>39</v>
      </c>
      <c r="I934" s="24">
        <v>611704</v>
      </c>
      <c r="J934" s="20">
        <v>41144</v>
      </c>
      <c r="K934" s="25">
        <v>478</v>
      </c>
      <c r="L934" s="25">
        <v>1</v>
      </c>
      <c r="M934" s="25">
        <v>226</v>
      </c>
      <c r="N934" s="25">
        <v>0</v>
      </c>
      <c r="O934" s="25">
        <v>0</v>
      </c>
    </row>
    <row r="935" spans="8:15" x14ac:dyDescent="0.25">
      <c r="H935" s="22" t="s">
        <v>39</v>
      </c>
      <c r="I935" s="24">
        <v>611704</v>
      </c>
      <c r="J935" s="20">
        <v>41144</v>
      </c>
      <c r="K935" s="25">
        <v>480</v>
      </c>
      <c r="L935" s="25">
        <v>5</v>
      </c>
      <c r="M935" s="25">
        <v>1201</v>
      </c>
      <c r="N935" s="25">
        <v>0</v>
      </c>
      <c r="O935" s="25">
        <v>0</v>
      </c>
    </row>
    <row r="936" spans="8:15" x14ac:dyDescent="0.25">
      <c r="H936" s="22" t="s">
        <v>39</v>
      </c>
      <c r="I936" s="24">
        <v>611704</v>
      </c>
      <c r="J936" s="20">
        <v>41144</v>
      </c>
      <c r="K936" s="25">
        <v>481</v>
      </c>
      <c r="L936" s="25">
        <v>0</v>
      </c>
      <c r="M936" s="25">
        <v>0</v>
      </c>
      <c r="N936" s="25">
        <v>0</v>
      </c>
      <c r="O936" s="25">
        <v>0</v>
      </c>
    </row>
    <row r="937" spans="8:15" x14ac:dyDescent="0.25">
      <c r="H937" s="22" t="s">
        <v>39</v>
      </c>
      <c r="I937" s="24">
        <v>611704</v>
      </c>
      <c r="J937" s="20">
        <v>41144</v>
      </c>
      <c r="K937" s="25">
        <v>482</v>
      </c>
      <c r="L937" s="25">
        <v>9</v>
      </c>
      <c r="M937" s="25">
        <v>2590</v>
      </c>
      <c r="N937" s="25">
        <v>0</v>
      </c>
      <c r="O937" s="25">
        <v>0</v>
      </c>
    </row>
    <row r="938" spans="8:15" x14ac:dyDescent="0.25">
      <c r="H938" s="22" t="s">
        <v>39</v>
      </c>
      <c r="I938" s="24">
        <v>611704</v>
      </c>
      <c r="J938" s="20">
        <v>41144</v>
      </c>
      <c r="K938" s="25">
        <v>790</v>
      </c>
      <c r="L938" s="25">
        <v>0</v>
      </c>
      <c r="M938" s="25">
        <v>0</v>
      </c>
      <c r="N938" s="25">
        <v>0</v>
      </c>
      <c r="O938" s="25">
        <v>0</v>
      </c>
    </row>
    <row r="939" spans="8:15" x14ac:dyDescent="0.25">
      <c r="H939" s="22" t="s">
        <v>39</v>
      </c>
      <c r="I939" s="24">
        <v>611704</v>
      </c>
      <c r="J939" s="20">
        <v>41145</v>
      </c>
      <c r="K939" s="25">
        <v>85</v>
      </c>
      <c r="L939" s="25">
        <v>0</v>
      </c>
      <c r="M939" s="25">
        <v>0</v>
      </c>
      <c r="N939" s="25">
        <v>0</v>
      </c>
      <c r="O939" s="25">
        <v>0</v>
      </c>
    </row>
    <row r="940" spans="8:15" x14ac:dyDescent="0.25">
      <c r="H940" s="22" t="s">
        <v>39</v>
      </c>
      <c r="I940" s="24">
        <v>611704</v>
      </c>
      <c r="J940" s="20">
        <v>41145</v>
      </c>
      <c r="K940" s="25">
        <v>465</v>
      </c>
      <c r="L940" s="25">
        <v>0</v>
      </c>
      <c r="M940" s="25">
        <v>0</v>
      </c>
      <c r="N940" s="25">
        <v>0</v>
      </c>
      <c r="O940" s="25">
        <v>0</v>
      </c>
    </row>
    <row r="941" spans="8:15" x14ac:dyDescent="0.25">
      <c r="H941" s="22" t="s">
        <v>39</v>
      </c>
      <c r="I941" s="24">
        <v>611704</v>
      </c>
      <c r="J941" s="20">
        <v>41145</v>
      </c>
      <c r="K941" s="25">
        <v>466</v>
      </c>
      <c r="L941" s="25">
        <v>30</v>
      </c>
      <c r="M941" s="25">
        <v>9075</v>
      </c>
      <c r="N941" s="25">
        <v>21</v>
      </c>
      <c r="O941" s="25">
        <v>5</v>
      </c>
    </row>
    <row r="942" spans="8:15" x14ac:dyDescent="0.25">
      <c r="H942" s="22" t="s">
        <v>39</v>
      </c>
      <c r="I942" s="24">
        <v>611704</v>
      </c>
      <c r="J942" s="20">
        <v>41145</v>
      </c>
      <c r="K942" s="25">
        <v>467</v>
      </c>
      <c r="L942" s="25">
        <v>0</v>
      </c>
      <c r="M942" s="25">
        <v>0</v>
      </c>
      <c r="N942" s="25">
        <v>0</v>
      </c>
      <c r="O942" s="25">
        <v>0</v>
      </c>
    </row>
    <row r="943" spans="8:15" x14ac:dyDescent="0.25">
      <c r="H943" s="22" t="s">
        <v>39</v>
      </c>
      <c r="I943" s="24">
        <v>611704</v>
      </c>
      <c r="J943" s="20">
        <v>41145</v>
      </c>
      <c r="K943" s="25">
        <v>477</v>
      </c>
      <c r="L943" s="25">
        <v>5</v>
      </c>
      <c r="M943" s="25">
        <v>1409</v>
      </c>
      <c r="N943" s="25">
        <v>22</v>
      </c>
      <c r="O943" s="25">
        <v>0</v>
      </c>
    </row>
    <row r="944" spans="8:15" x14ac:dyDescent="0.25">
      <c r="H944" s="22" t="s">
        <v>39</v>
      </c>
      <c r="I944" s="24">
        <v>611704</v>
      </c>
      <c r="J944" s="20">
        <v>41145</v>
      </c>
      <c r="K944" s="25">
        <v>478</v>
      </c>
      <c r="L944" s="25">
        <v>0</v>
      </c>
      <c r="M944" s="25">
        <v>0</v>
      </c>
      <c r="N944" s="25">
        <v>0</v>
      </c>
      <c r="O944" s="25">
        <v>0</v>
      </c>
    </row>
    <row r="945" spans="8:15" x14ac:dyDescent="0.25">
      <c r="H945" s="22" t="s">
        <v>39</v>
      </c>
      <c r="I945" s="24">
        <v>611704</v>
      </c>
      <c r="J945" s="20">
        <v>41145</v>
      </c>
      <c r="K945" s="25">
        <v>480</v>
      </c>
      <c r="L945" s="25">
        <v>6</v>
      </c>
      <c r="M945" s="25">
        <v>1496</v>
      </c>
      <c r="N945" s="25">
        <v>0</v>
      </c>
      <c r="O945" s="25">
        <v>0</v>
      </c>
    </row>
    <row r="946" spans="8:15" x14ac:dyDescent="0.25">
      <c r="H946" s="22" t="s">
        <v>39</v>
      </c>
      <c r="I946" s="24">
        <v>611704</v>
      </c>
      <c r="J946" s="20">
        <v>41145</v>
      </c>
      <c r="K946" s="25">
        <v>481</v>
      </c>
      <c r="L946" s="25">
        <v>0</v>
      </c>
      <c r="M946" s="25">
        <v>0</v>
      </c>
      <c r="N946" s="25">
        <v>0</v>
      </c>
      <c r="O946" s="25">
        <v>0</v>
      </c>
    </row>
    <row r="947" spans="8:15" x14ac:dyDescent="0.25">
      <c r="H947" s="22" t="s">
        <v>39</v>
      </c>
      <c r="I947" s="24">
        <v>611704</v>
      </c>
      <c r="J947" s="20">
        <v>41145</v>
      </c>
      <c r="K947" s="25">
        <v>482</v>
      </c>
      <c r="L947" s="25">
        <v>17</v>
      </c>
      <c r="M947" s="25">
        <v>4644</v>
      </c>
      <c r="N947" s="25">
        <v>14</v>
      </c>
      <c r="O947" s="25">
        <v>0</v>
      </c>
    </row>
    <row r="948" spans="8:15" x14ac:dyDescent="0.25">
      <c r="H948" s="22" t="s">
        <v>39</v>
      </c>
      <c r="I948" s="24">
        <v>611704</v>
      </c>
      <c r="J948" s="20">
        <v>41145</v>
      </c>
      <c r="K948" s="25">
        <v>790</v>
      </c>
      <c r="L948" s="25">
        <v>0</v>
      </c>
      <c r="M948" s="25">
        <v>0</v>
      </c>
      <c r="N948" s="25">
        <v>0</v>
      </c>
      <c r="O948" s="25">
        <v>0</v>
      </c>
    </row>
    <row r="949" spans="8:15" x14ac:dyDescent="0.25">
      <c r="H949" s="22" t="s">
        <v>39</v>
      </c>
      <c r="I949" s="24">
        <v>611704</v>
      </c>
      <c r="J949" s="20">
        <v>41148</v>
      </c>
      <c r="K949" s="25">
        <v>85</v>
      </c>
      <c r="L949" s="25">
        <v>0</v>
      </c>
      <c r="M949" s="25">
        <v>0</v>
      </c>
      <c r="N949" s="25">
        <v>0</v>
      </c>
      <c r="O949" s="25">
        <v>0</v>
      </c>
    </row>
    <row r="950" spans="8:15" x14ac:dyDescent="0.25">
      <c r="H950" s="22" t="s">
        <v>39</v>
      </c>
      <c r="I950" s="24">
        <v>611704</v>
      </c>
      <c r="J950" s="20">
        <v>41148</v>
      </c>
      <c r="K950" s="25">
        <v>465</v>
      </c>
      <c r="L950" s="25">
        <v>0</v>
      </c>
      <c r="M950" s="25">
        <v>0</v>
      </c>
      <c r="N950" s="25">
        <v>0</v>
      </c>
      <c r="O950" s="25">
        <v>0</v>
      </c>
    </row>
    <row r="951" spans="8:15" x14ac:dyDescent="0.25">
      <c r="H951" s="22" t="s">
        <v>39</v>
      </c>
      <c r="I951" s="24">
        <v>611704</v>
      </c>
      <c r="J951" s="20">
        <v>41148</v>
      </c>
      <c r="K951" s="25">
        <v>466</v>
      </c>
      <c r="L951" s="25">
        <v>18</v>
      </c>
      <c r="M951" s="25">
        <v>5169</v>
      </c>
      <c r="N951" s="25">
        <v>3</v>
      </c>
      <c r="O951" s="25">
        <v>0</v>
      </c>
    </row>
    <row r="952" spans="8:15" x14ac:dyDescent="0.25">
      <c r="H952" s="22" t="s">
        <v>39</v>
      </c>
      <c r="I952" s="24">
        <v>611704</v>
      </c>
      <c r="J952" s="20">
        <v>41148</v>
      </c>
      <c r="K952" s="25">
        <v>467</v>
      </c>
      <c r="L952" s="25">
        <v>0</v>
      </c>
      <c r="M952" s="25">
        <v>0</v>
      </c>
      <c r="N952" s="25">
        <v>0</v>
      </c>
      <c r="O952" s="25">
        <v>0</v>
      </c>
    </row>
    <row r="953" spans="8:15" x14ac:dyDescent="0.25">
      <c r="H953" s="22" t="s">
        <v>39</v>
      </c>
      <c r="I953" s="24">
        <v>611704</v>
      </c>
      <c r="J953" s="20">
        <v>41148</v>
      </c>
      <c r="K953" s="25">
        <v>477</v>
      </c>
      <c r="L953" s="25">
        <v>0</v>
      </c>
      <c r="M953" s="25">
        <v>0</v>
      </c>
      <c r="N953" s="25">
        <v>0</v>
      </c>
      <c r="O953" s="25">
        <v>0</v>
      </c>
    </row>
    <row r="954" spans="8:15" x14ac:dyDescent="0.25">
      <c r="H954" s="22" t="s">
        <v>39</v>
      </c>
      <c r="I954" s="24">
        <v>611704</v>
      </c>
      <c r="J954" s="20">
        <v>41148</v>
      </c>
      <c r="K954" s="25">
        <v>478</v>
      </c>
      <c r="L954" s="25">
        <v>16</v>
      </c>
      <c r="M954" s="25">
        <v>5460</v>
      </c>
      <c r="N954" s="25">
        <v>11</v>
      </c>
      <c r="O954" s="25">
        <v>800</v>
      </c>
    </row>
    <row r="955" spans="8:15" x14ac:dyDescent="0.25">
      <c r="H955" s="22" t="s">
        <v>39</v>
      </c>
      <c r="I955" s="24">
        <v>611704</v>
      </c>
      <c r="J955" s="20">
        <v>41148</v>
      </c>
      <c r="K955" s="25">
        <v>480</v>
      </c>
      <c r="L955" s="25">
        <v>7</v>
      </c>
      <c r="M955" s="25">
        <v>2324</v>
      </c>
      <c r="N955" s="25">
        <v>7</v>
      </c>
      <c r="O955" s="25">
        <v>0</v>
      </c>
    </row>
    <row r="956" spans="8:15" x14ac:dyDescent="0.25">
      <c r="H956" s="22" t="s">
        <v>39</v>
      </c>
      <c r="I956" s="24">
        <v>611704</v>
      </c>
      <c r="J956" s="20">
        <v>41148</v>
      </c>
      <c r="K956" s="25">
        <v>481</v>
      </c>
      <c r="L956" s="25">
        <v>0</v>
      </c>
      <c r="M956" s="25">
        <v>0</v>
      </c>
      <c r="N956" s="25">
        <v>0</v>
      </c>
      <c r="O956" s="25">
        <v>0</v>
      </c>
    </row>
    <row r="957" spans="8:15" x14ac:dyDescent="0.25">
      <c r="H957" s="22" t="s">
        <v>39</v>
      </c>
      <c r="I957" s="24">
        <v>611704</v>
      </c>
      <c r="J957" s="20">
        <v>41148</v>
      </c>
      <c r="K957" s="25">
        <v>482</v>
      </c>
      <c r="L957" s="25">
        <v>8</v>
      </c>
      <c r="M957" s="25">
        <v>2899</v>
      </c>
      <c r="N957" s="25">
        <v>0</v>
      </c>
      <c r="O957" s="25">
        <v>0</v>
      </c>
    </row>
    <row r="958" spans="8:15" x14ac:dyDescent="0.25">
      <c r="H958" s="22" t="s">
        <v>39</v>
      </c>
      <c r="I958" s="24">
        <v>611704</v>
      </c>
      <c r="J958" s="20">
        <v>41148</v>
      </c>
      <c r="K958" s="25">
        <v>790</v>
      </c>
      <c r="L958" s="25">
        <v>0</v>
      </c>
      <c r="M958" s="25">
        <v>0</v>
      </c>
      <c r="N958" s="25">
        <v>0</v>
      </c>
      <c r="O958" s="25">
        <v>0</v>
      </c>
    </row>
    <row r="959" spans="8:15" x14ac:dyDescent="0.25">
      <c r="H959" s="22" t="s">
        <v>39</v>
      </c>
      <c r="I959" s="24">
        <v>611704</v>
      </c>
      <c r="J959" s="20">
        <v>41149</v>
      </c>
      <c r="K959" s="25">
        <v>85</v>
      </c>
      <c r="L959" s="25">
        <v>0</v>
      </c>
      <c r="M959" s="25">
        <v>0</v>
      </c>
      <c r="N959" s="25">
        <v>0</v>
      </c>
      <c r="O959" s="25">
        <v>0</v>
      </c>
    </row>
    <row r="960" spans="8:15" x14ac:dyDescent="0.25">
      <c r="H960" s="22" t="s">
        <v>39</v>
      </c>
      <c r="I960" s="24">
        <v>611704</v>
      </c>
      <c r="J960" s="20">
        <v>41149</v>
      </c>
      <c r="K960" s="25">
        <v>465</v>
      </c>
      <c r="L960" s="25">
        <v>0</v>
      </c>
      <c r="M960" s="25">
        <v>0</v>
      </c>
      <c r="N960" s="25">
        <v>0</v>
      </c>
      <c r="O960" s="25">
        <v>0</v>
      </c>
    </row>
    <row r="961" spans="8:15" x14ac:dyDescent="0.25">
      <c r="H961" s="22" t="s">
        <v>39</v>
      </c>
      <c r="I961" s="24">
        <v>611704</v>
      </c>
      <c r="J961" s="20">
        <v>41149</v>
      </c>
      <c r="K961" s="25">
        <v>466</v>
      </c>
      <c r="L961" s="25">
        <v>29</v>
      </c>
      <c r="M961" s="25">
        <v>7693</v>
      </c>
      <c r="N961" s="25">
        <v>15</v>
      </c>
      <c r="O961" s="25">
        <v>6</v>
      </c>
    </row>
    <row r="962" spans="8:15" x14ac:dyDescent="0.25">
      <c r="H962" s="22" t="s">
        <v>39</v>
      </c>
      <c r="I962" s="24">
        <v>611704</v>
      </c>
      <c r="J962" s="20">
        <v>41149</v>
      </c>
      <c r="K962" s="25">
        <v>467</v>
      </c>
      <c r="L962" s="25">
        <v>0</v>
      </c>
      <c r="M962" s="25">
        <v>0</v>
      </c>
      <c r="N962" s="25">
        <v>0</v>
      </c>
      <c r="O962" s="25">
        <v>0</v>
      </c>
    </row>
    <row r="963" spans="8:15" x14ac:dyDescent="0.25">
      <c r="H963" s="22" t="s">
        <v>39</v>
      </c>
      <c r="I963" s="24">
        <v>611704</v>
      </c>
      <c r="J963" s="20">
        <v>41149</v>
      </c>
      <c r="K963" s="25">
        <v>477</v>
      </c>
      <c r="L963" s="25">
        <v>5</v>
      </c>
      <c r="M963" s="25">
        <v>1834</v>
      </c>
      <c r="N963" s="25">
        <v>0</v>
      </c>
      <c r="O963" s="25">
        <v>0</v>
      </c>
    </row>
    <row r="964" spans="8:15" x14ac:dyDescent="0.25">
      <c r="H964" s="22" t="s">
        <v>39</v>
      </c>
      <c r="I964" s="24">
        <v>611704</v>
      </c>
      <c r="J964" s="20">
        <v>41149</v>
      </c>
      <c r="K964" s="25">
        <v>478</v>
      </c>
      <c r="L964" s="25">
        <v>17</v>
      </c>
      <c r="M964" s="25">
        <v>4045</v>
      </c>
      <c r="N964" s="25">
        <v>4</v>
      </c>
      <c r="O964" s="25">
        <v>0</v>
      </c>
    </row>
    <row r="965" spans="8:15" x14ac:dyDescent="0.25">
      <c r="H965" s="22" t="s">
        <v>39</v>
      </c>
      <c r="I965" s="24">
        <v>611704</v>
      </c>
      <c r="J965" s="20">
        <v>41149</v>
      </c>
      <c r="K965" s="25">
        <v>480</v>
      </c>
      <c r="L965" s="25">
        <v>5</v>
      </c>
      <c r="M965" s="25">
        <v>2832</v>
      </c>
      <c r="N965" s="25">
        <v>0</v>
      </c>
      <c r="O965" s="25">
        <v>0</v>
      </c>
    </row>
    <row r="966" spans="8:15" x14ac:dyDescent="0.25">
      <c r="H966" s="22" t="s">
        <v>39</v>
      </c>
      <c r="I966" s="24">
        <v>611704</v>
      </c>
      <c r="J966" s="20">
        <v>41149</v>
      </c>
      <c r="K966" s="25">
        <v>481</v>
      </c>
      <c r="L966" s="25">
        <v>2</v>
      </c>
      <c r="M966" s="25">
        <v>566</v>
      </c>
      <c r="N966" s="25">
        <v>12</v>
      </c>
      <c r="O966" s="25">
        <v>0</v>
      </c>
    </row>
    <row r="967" spans="8:15" x14ac:dyDescent="0.25">
      <c r="H967" s="22" t="s">
        <v>39</v>
      </c>
      <c r="I967" s="24">
        <v>611704</v>
      </c>
      <c r="J967" s="20">
        <v>41149</v>
      </c>
      <c r="K967" s="25">
        <v>482</v>
      </c>
      <c r="L967" s="25">
        <v>7</v>
      </c>
      <c r="M967" s="25">
        <v>2117</v>
      </c>
      <c r="N967" s="25">
        <v>0</v>
      </c>
      <c r="O967" s="25">
        <v>0</v>
      </c>
    </row>
    <row r="968" spans="8:15" x14ac:dyDescent="0.25">
      <c r="H968" s="22" t="s">
        <v>39</v>
      </c>
      <c r="I968" s="24">
        <v>611704</v>
      </c>
      <c r="J968" s="20">
        <v>41149</v>
      </c>
      <c r="K968" s="25">
        <v>790</v>
      </c>
      <c r="L968" s="25">
        <v>0</v>
      </c>
      <c r="M968" s="25">
        <v>0</v>
      </c>
      <c r="N968" s="25">
        <v>0</v>
      </c>
      <c r="O968" s="25">
        <v>0</v>
      </c>
    </row>
    <row r="969" spans="8:15" x14ac:dyDescent="0.25">
      <c r="H969" s="22" t="s">
        <v>39</v>
      </c>
      <c r="I969" s="24">
        <v>611704</v>
      </c>
      <c r="J969" s="20">
        <v>41150</v>
      </c>
      <c r="K969" s="25">
        <v>85</v>
      </c>
      <c r="L969" s="25">
        <v>0</v>
      </c>
      <c r="M969" s="25">
        <v>0</v>
      </c>
      <c r="N969" s="25">
        <v>0</v>
      </c>
      <c r="O969" s="25">
        <v>0</v>
      </c>
    </row>
    <row r="970" spans="8:15" x14ac:dyDescent="0.25">
      <c r="H970" s="22" t="s">
        <v>39</v>
      </c>
      <c r="I970" s="24">
        <v>611704</v>
      </c>
      <c r="J970" s="20">
        <v>41150</v>
      </c>
      <c r="K970" s="25">
        <v>465</v>
      </c>
      <c r="L970" s="25">
        <v>0</v>
      </c>
      <c r="M970" s="25">
        <v>0</v>
      </c>
      <c r="N970" s="25">
        <v>0</v>
      </c>
      <c r="O970" s="25">
        <v>0</v>
      </c>
    </row>
    <row r="971" spans="8:15" x14ac:dyDescent="0.25">
      <c r="H971" s="22" t="s">
        <v>39</v>
      </c>
      <c r="I971" s="24">
        <v>611704</v>
      </c>
      <c r="J971" s="20">
        <v>41150</v>
      </c>
      <c r="K971" s="25">
        <v>466</v>
      </c>
      <c r="L971" s="25">
        <v>33</v>
      </c>
      <c r="M971" s="25">
        <v>12882</v>
      </c>
      <c r="N971" s="25">
        <v>8</v>
      </c>
      <c r="O971" s="25">
        <v>0</v>
      </c>
    </row>
    <row r="972" spans="8:15" x14ac:dyDescent="0.25">
      <c r="H972" s="22" t="s">
        <v>39</v>
      </c>
      <c r="I972" s="24">
        <v>611704</v>
      </c>
      <c r="J972" s="20">
        <v>41150</v>
      </c>
      <c r="K972" s="25">
        <v>467</v>
      </c>
      <c r="L972" s="25">
        <v>0</v>
      </c>
      <c r="M972" s="25">
        <v>0</v>
      </c>
      <c r="N972" s="25">
        <v>0</v>
      </c>
      <c r="O972" s="25">
        <v>0</v>
      </c>
    </row>
    <row r="973" spans="8:15" x14ac:dyDescent="0.25">
      <c r="H973" s="22" t="s">
        <v>39</v>
      </c>
      <c r="I973" s="24">
        <v>611704</v>
      </c>
      <c r="J973" s="20">
        <v>41150</v>
      </c>
      <c r="K973" s="25">
        <v>477</v>
      </c>
      <c r="L973" s="25">
        <v>6</v>
      </c>
      <c r="M973" s="25">
        <v>2570</v>
      </c>
      <c r="N973" s="25">
        <v>0</v>
      </c>
      <c r="O973" s="25">
        <v>0</v>
      </c>
    </row>
    <row r="974" spans="8:15" x14ac:dyDescent="0.25">
      <c r="H974" s="22" t="s">
        <v>39</v>
      </c>
      <c r="I974" s="24">
        <v>611704</v>
      </c>
      <c r="J974" s="20">
        <v>41150</v>
      </c>
      <c r="K974" s="25">
        <v>478</v>
      </c>
      <c r="L974" s="25">
        <v>5</v>
      </c>
      <c r="M974" s="25">
        <v>2076</v>
      </c>
      <c r="N974" s="25">
        <v>84</v>
      </c>
      <c r="O974" s="25">
        <v>0</v>
      </c>
    </row>
    <row r="975" spans="8:15" x14ac:dyDescent="0.25">
      <c r="H975" s="22" t="s">
        <v>39</v>
      </c>
      <c r="I975" s="24">
        <v>611704</v>
      </c>
      <c r="J975" s="20">
        <v>41150</v>
      </c>
      <c r="K975" s="25">
        <v>480</v>
      </c>
      <c r="L975" s="25">
        <v>5</v>
      </c>
      <c r="M975" s="25">
        <v>1605</v>
      </c>
      <c r="N975" s="25">
        <v>0</v>
      </c>
      <c r="O975" s="25">
        <v>0</v>
      </c>
    </row>
    <row r="976" spans="8:15" x14ac:dyDescent="0.25">
      <c r="H976" s="22" t="s">
        <v>39</v>
      </c>
      <c r="I976" s="24">
        <v>611704</v>
      </c>
      <c r="J976" s="20">
        <v>41150</v>
      </c>
      <c r="K976" s="25">
        <v>481</v>
      </c>
      <c r="L976" s="25">
        <v>0</v>
      </c>
      <c r="M976" s="25">
        <v>0</v>
      </c>
      <c r="N976" s="25">
        <v>0</v>
      </c>
      <c r="O976" s="25">
        <v>0</v>
      </c>
    </row>
    <row r="977" spans="8:15" x14ac:dyDescent="0.25">
      <c r="H977" s="22" t="s">
        <v>39</v>
      </c>
      <c r="I977" s="24">
        <v>611704</v>
      </c>
      <c r="J977" s="20">
        <v>41150</v>
      </c>
      <c r="K977" s="25">
        <v>790</v>
      </c>
      <c r="L977" s="25">
        <v>0</v>
      </c>
      <c r="M977" s="25">
        <v>0</v>
      </c>
      <c r="N977" s="25">
        <v>0</v>
      </c>
      <c r="O977" s="25">
        <v>0</v>
      </c>
    </row>
    <row r="978" spans="8:15" x14ac:dyDescent="0.25">
      <c r="H978" s="22" t="s">
        <v>39</v>
      </c>
      <c r="I978" s="24">
        <v>611704</v>
      </c>
      <c r="J978" s="20">
        <v>41151</v>
      </c>
      <c r="K978" s="25">
        <v>85</v>
      </c>
      <c r="L978" s="25">
        <v>0</v>
      </c>
      <c r="M978" s="25">
        <v>0</v>
      </c>
      <c r="N978" s="25">
        <v>0</v>
      </c>
      <c r="O978" s="25">
        <v>0</v>
      </c>
    </row>
    <row r="979" spans="8:15" x14ac:dyDescent="0.25">
      <c r="H979" s="22" t="s">
        <v>39</v>
      </c>
      <c r="I979" s="24">
        <v>611704</v>
      </c>
      <c r="J979" s="20">
        <v>41151</v>
      </c>
      <c r="K979" s="25">
        <v>465</v>
      </c>
      <c r="L979" s="25">
        <v>0</v>
      </c>
      <c r="M979" s="25">
        <v>0</v>
      </c>
      <c r="N979" s="25">
        <v>0</v>
      </c>
      <c r="O979" s="25">
        <v>0</v>
      </c>
    </row>
    <row r="980" spans="8:15" x14ac:dyDescent="0.25">
      <c r="H980" s="22" t="s">
        <v>39</v>
      </c>
      <c r="I980" s="24">
        <v>611704</v>
      </c>
      <c r="J980" s="20">
        <v>41151</v>
      </c>
      <c r="K980" s="25">
        <v>466</v>
      </c>
      <c r="L980" s="25">
        <v>17</v>
      </c>
      <c r="M980" s="25">
        <v>4748</v>
      </c>
      <c r="N980" s="25">
        <v>2</v>
      </c>
      <c r="O980" s="25">
        <v>0</v>
      </c>
    </row>
    <row r="981" spans="8:15" x14ac:dyDescent="0.25">
      <c r="H981" s="22" t="s">
        <v>39</v>
      </c>
      <c r="I981" s="24">
        <v>611704</v>
      </c>
      <c r="J981" s="20">
        <v>41151</v>
      </c>
      <c r="K981" s="25">
        <v>467</v>
      </c>
      <c r="L981" s="25">
        <v>0</v>
      </c>
      <c r="M981" s="25">
        <v>0</v>
      </c>
      <c r="N981" s="25">
        <v>0</v>
      </c>
      <c r="O981" s="25">
        <v>0</v>
      </c>
    </row>
    <row r="982" spans="8:15" x14ac:dyDescent="0.25">
      <c r="H982" s="22" t="s">
        <v>39</v>
      </c>
      <c r="I982" s="24">
        <v>611704</v>
      </c>
      <c r="J982" s="20">
        <v>41151</v>
      </c>
      <c r="K982" s="25">
        <v>477</v>
      </c>
      <c r="L982" s="25">
        <v>11</v>
      </c>
      <c r="M982" s="25">
        <v>2693</v>
      </c>
      <c r="N982" s="25">
        <v>0</v>
      </c>
      <c r="O982" s="25">
        <v>0</v>
      </c>
    </row>
    <row r="983" spans="8:15" x14ac:dyDescent="0.25">
      <c r="H983" s="22" t="s">
        <v>39</v>
      </c>
      <c r="I983" s="24">
        <v>611704</v>
      </c>
      <c r="J983" s="20">
        <v>41151</v>
      </c>
      <c r="K983" s="25">
        <v>478</v>
      </c>
      <c r="L983" s="25">
        <v>1</v>
      </c>
      <c r="M983" s="25">
        <v>56</v>
      </c>
      <c r="N983" s="25">
        <v>0</v>
      </c>
      <c r="O983" s="25">
        <v>0</v>
      </c>
    </row>
    <row r="984" spans="8:15" x14ac:dyDescent="0.25">
      <c r="H984" s="22" t="s">
        <v>39</v>
      </c>
      <c r="I984" s="24">
        <v>611704</v>
      </c>
      <c r="J984" s="20">
        <v>41151</v>
      </c>
      <c r="K984" s="25">
        <v>480</v>
      </c>
      <c r="L984" s="25">
        <v>5</v>
      </c>
      <c r="M984" s="25">
        <v>1504</v>
      </c>
      <c r="N984" s="25">
        <v>9</v>
      </c>
      <c r="O984" s="25">
        <v>42</v>
      </c>
    </row>
    <row r="985" spans="8:15" x14ac:dyDescent="0.25">
      <c r="H985" s="22" t="s">
        <v>39</v>
      </c>
      <c r="I985" s="24">
        <v>611704</v>
      </c>
      <c r="J985" s="20">
        <v>41151</v>
      </c>
      <c r="K985" s="25">
        <v>481</v>
      </c>
      <c r="L985" s="25">
        <v>0</v>
      </c>
      <c r="M985" s="25">
        <v>0</v>
      </c>
      <c r="N985" s="25">
        <v>0</v>
      </c>
      <c r="O985" s="25">
        <v>0</v>
      </c>
    </row>
    <row r="986" spans="8:15" x14ac:dyDescent="0.25">
      <c r="H986" s="22" t="s">
        <v>39</v>
      </c>
      <c r="I986" s="24">
        <v>611704</v>
      </c>
      <c r="J986" s="20">
        <v>41151</v>
      </c>
      <c r="K986" s="25">
        <v>482</v>
      </c>
      <c r="L986" s="25">
        <v>28</v>
      </c>
      <c r="M986" s="25">
        <v>10292</v>
      </c>
      <c r="N986" s="25">
        <v>4</v>
      </c>
      <c r="O986" s="25">
        <v>0</v>
      </c>
    </row>
    <row r="987" spans="8:15" x14ac:dyDescent="0.25">
      <c r="H987" s="22" t="s">
        <v>39</v>
      </c>
      <c r="I987" s="24">
        <v>611704</v>
      </c>
      <c r="J987" s="20">
        <v>41151</v>
      </c>
      <c r="K987" s="25">
        <v>790</v>
      </c>
      <c r="L987" s="25">
        <v>0</v>
      </c>
      <c r="M987" s="25">
        <v>0</v>
      </c>
      <c r="N987" s="25">
        <v>0</v>
      </c>
      <c r="O987" s="25">
        <v>0</v>
      </c>
    </row>
    <row r="988" spans="8:15" x14ac:dyDescent="0.25">
      <c r="H988" s="22" t="s">
        <v>39</v>
      </c>
      <c r="I988" s="24">
        <v>611704</v>
      </c>
      <c r="J988" s="20">
        <v>41152</v>
      </c>
      <c r="K988" s="25">
        <v>85</v>
      </c>
      <c r="L988" s="25">
        <v>0</v>
      </c>
      <c r="M988" s="25">
        <v>0</v>
      </c>
      <c r="N988" s="25">
        <v>0</v>
      </c>
      <c r="O988" s="25">
        <v>0</v>
      </c>
    </row>
    <row r="989" spans="8:15" x14ac:dyDescent="0.25">
      <c r="H989" s="22" t="s">
        <v>39</v>
      </c>
      <c r="I989" s="24">
        <v>611704</v>
      </c>
      <c r="J989" s="20">
        <v>41152</v>
      </c>
      <c r="K989" s="25">
        <v>465</v>
      </c>
      <c r="L989" s="25">
        <v>0</v>
      </c>
      <c r="M989" s="25">
        <v>0</v>
      </c>
      <c r="N989" s="25">
        <v>0</v>
      </c>
      <c r="O989" s="25">
        <v>0</v>
      </c>
    </row>
    <row r="990" spans="8:15" x14ac:dyDescent="0.25">
      <c r="H990" s="22" t="s">
        <v>39</v>
      </c>
      <c r="I990" s="24">
        <v>611704</v>
      </c>
      <c r="J990" s="20">
        <v>41152</v>
      </c>
      <c r="K990" s="25">
        <v>466</v>
      </c>
      <c r="L990" s="25">
        <v>0</v>
      </c>
      <c r="M990" s="25">
        <v>0</v>
      </c>
      <c r="N990" s="25">
        <v>0</v>
      </c>
      <c r="O990" s="25">
        <v>0</v>
      </c>
    </row>
    <row r="991" spans="8:15" x14ac:dyDescent="0.25">
      <c r="H991" s="22" t="s">
        <v>39</v>
      </c>
      <c r="I991" s="24">
        <v>611704</v>
      </c>
      <c r="J991" s="20">
        <v>41152</v>
      </c>
      <c r="K991" s="25">
        <v>467</v>
      </c>
      <c r="L991" s="25">
        <v>0</v>
      </c>
      <c r="M991" s="25">
        <v>0</v>
      </c>
      <c r="N991" s="25">
        <v>0</v>
      </c>
      <c r="O991" s="25">
        <v>0</v>
      </c>
    </row>
    <row r="992" spans="8:15" x14ac:dyDescent="0.25">
      <c r="H992" s="22" t="s">
        <v>39</v>
      </c>
      <c r="I992" s="24">
        <v>611704</v>
      </c>
      <c r="J992" s="20">
        <v>41152</v>
      </c>
      <c r="K992" s="25">
        <v>477</v>
      </c>
      <c r="L992" s="25">
        <v>8</v>
      </c>
      <c r="M992" s="25">
        <v>2974</v>
      </c>
      <c r="N992" s="25">
        <v>0</v>
      </c>
      <c r="O992" s="25">
        <v>0</v>
      </c>
    </row>
    <row r="993" spans="8:15" x14ac:dyDescent="0.25">
      <c r="H993" s="22" t="s">
        <v>39</v>
      </c>
      <c r="I993" s="24">
        <v>611704</v>
      </c>
      <c r="J993" s="20">
        <v>41152</v>
      </c>
      <c r="K993" s="25">
        <v>478</v>
      </c>
      <c r="L993" s="25">
        <v>3</v>
      </c>
      <c r="M993" s="25">
        <v>1107</v>
      </c>
      <c r="N993" s="25">
        <v>0</v>
      </c>
      <c r="O993" s="25">
        <v>40</v>
      </c>
    </row>
    <row r="994" spans="8:15" x14ac:dyDescent="0.25">
      <c r="H994" s="22" t="s">
        <v>39</v>
      </c>
      <c r="I994" s="24">
        <v>611704</v>
      </c>
      <c r="J994" s="20">
        <v>41152</v>
      </c>
      <c r="K994" s="25">
        <v>480</v>
      </c>
      <c r="L994" s="25">
        <v>7</v>
      </c>
      <c r="M994" s="25">
        <v>2083</v>
      </c>
      <c r="N994" s="25">
        <v>0</v>
      </c>
      <c r="O994" s="25">
        <v>0</v>
      </c>
    </row>
    <row r="995" spans="8:15" x14ac:dyDescent="0.25">
      <c r="H995" s="22" t="s">
        <v>39</v>
      </c>
      <c r="I995" s="24">
        <v>611704</v>
      </c>
      <c r="J995" s="20">
        <v>41152</v>
      </c>
      <c r="K995" s="25">
        <v>481</v>
      </c>
      <c r="L995" s="25">
        <v>0</v>
      </c>
      <c r="M995" s="25">
        <v>0</v>
      </c>
      <c r="N995" s="25">
        <v>0</v>
      </c>
      <c r="O995" s="25">
        <v>0</v>
      </c>
    </row>
    <row r="996" spans="8:15" x14ac:dyDescent="0.25">
      <c r="H996" s="22" t="s">
        <v>39</v>
      </c>
      <c r="I996" s="24">
        <v>611704</v>
      </c>
      <c r="J996" s="20">
        <v>41152</v>
      </c>
      <c r="K996" s="25">
        <v>482</v>
      </c>
      <c r="L996" s="25">
        <v>15</v>
      </c>
      <c r="M996" s="25">
        <v>4026</v>
      </c>
      <c r="N996" s="25">
        <v>2</v>
      </c>
      <c r="O996" s="25">
        <v>0</v>
      </c>
    </row>
    <row r="997" spans="8:15" x14ac:dyDescent="0.25">
      <c r="H997" s="22" t="s">
        <v>39</v>
      </c>
      <c r="I997" s="24">
        <v>611704</v>
      </c>
      <c r="J997" s="20">
        <v>41152</v>
      </c>
      <c r="K997" s="25">
        <v>790</v>
      </c>
      <c r="L997" s="25">
        <v>0</v>
      </c>
      <c r="M997" s="25">
        <v>0</v>
      </c>
      <c r="N997" s="25">
        <v>0</v>
      </c>
      <c r="O997" s="25">
        <v>0</v>
      </c>
    </row>
    <row r="998" spans="8:15" x14ac:dyDescent="0.25">
      <c r="H998" s="21" t="s">
        <v>34</v>
      </c>
      <c r="I998" s="24">
        <v>613447</v>
      </c>
      <c r="J998" s="20">
        <v>41122</v>
      </c>
      <c r="K998" s="25">
        <v>85</v>
      </c>
      <c r="L998" s="25">
        <v>0</v>
      </c>
      <c r="M998" s="25">
        <v>0</v>
      </c>
      <c r="N998" s="25">
        <v>0</v>
      </c>
      <c r="O998" s="25">
        <v>0</v>
      </c>
    </row>
    <row r="999" spans="8:15" x14ac:dyDescent="0.25">
      <c r="H999" s="21" t="s">
        <v>34</v>
      </c>
      <c r="I999" s="24">
        <v>613447</v>
      </c>
      <c r="J999" s="20">
        <v>41122</v>
      </c>
      <c r="K999" s="25">
        <v>477</v>
      </c>
      <c r="L999" s="25">
        <v>49</v>
      </c>
      <c r="M999" s="25">
        <v>16090</v>
      </c>
      <c r="N999" s="25">
        <v>14</v>
      </c>
      <c r="O999" s="25">
        <v>520</v>
      </c>
    </row>
    <row r="1000" spans="8:15" x14ac:dyDescent="0.25">
      <c r="H1000" s="21" t="s">
        <v>34</v>
      </c>
      <c r="I1000" s="24">
        <v>613447</v>
      </c>
      <c r="J1000" s="20">
        <v>41122</v>
      </c>
      <c r="K1000" s="25">
        <v>478</v>
      </c>
      <c r="L1000" s="25">
        <v>8</v>
      </c>
      <c r="M1000" s="25">
        <v>3290</v>
      </c>
      <c r="N1000" s="25">
        <v>0</v>
      </c>
      <c r="O1000" s="25">
        <v>60</v>
      </c>
    </row>
    <row r="1001" spans="8:15" x14ac:dyDescent="0.25">
      <c r="H1001" s="21" t="s">
        <v>34</v>
      </c>
      <c r="I1001" s="24">
        <v>613447</v>
      </c>
      <c r="J1001" s="20">
        <v>41122</v>
      </c>
      <c r="K1001" s="25">
        <v>481</v>
      </c>
      <c r="L1001" s="25">
        <v>0</v>
      </c>
      <c r="M1001" s="25">
        <v>0</v>
      </c>
      <c r="N1001" s="25">
        <v>0</v>
      </c>
      <c r="O1001" s="25">
        <v>0</v>
      </c>
    </row>
    <row r="1002" spans="8:15" x14ac:dyDescent="0.25">
      <c r="H1002" s="21" t="s">
        <v>34</v>
      </c>
      <c r="I1002" s="24">
        <v>613447</v>
      </c>
      <c r="J1002" s="20">
        <v>41122</v>
      </c>
      <c r="K1002" s="25">
        <v>790</v>
      </c>
      <c r="L1002" s="25">
        <v>0</v>
      </c>
      <c r="M1002" s="25">
        <v>0</v>
      </c>
      <c r="N1002" s="25">
        <v>0</v>
      </c>
      <c r="O1002" s="25">
        <v>0</v>
      </c>
    </row>
    <row r="1003" spans="8:15" x14ac:dyDescent="0.25">
      <c r="H1003" s="21" t="s">
        <v>34</v>
      </c>
      <c r="I1003" s="24">
        <v>613447</v>
      </c>
      <c r="J1003" s="20">
        <v>41123</v>
      </c>
      <c r="K1003" s="25">
        <v>85</v>
      </c>
      <c r="L1003" s="25">
        <v>0</v>
      </c>
      <c r="M1003" s="25">
        <v>0</v>
      </c>
      <c r="N1003" s="25">
        <v>0</v>
      </c>
      <c r="O1003" s="25">
        <v>0</v>
      </c>
    </row>
    <row r="1004" spans="8:15" x14ac:dyDescent="0.25">
      <c r="H1004" s="21" t="s">
        <v>34</v>
      </c>
      <c r="I1004" s="24">
        <v>613447</v>
      </c>
      <c r="J1004" s="20">
        <v>41123</v>
      </c>
      <c r="K1004" s="25">
        <v>477</v>
      </c>
      <c r="L1004" s="25">
        <v>40</v>
      </c>
      <c r="M1004" s="25">
        <v>16812</v>
      </c>
      <c r="N1004" s="25">
        <v>2</v>
      </c>
      <c r="O1004" s="25">
        <v>390</v>
      </c>
    </row>
    <row r="1005" spans="8:15" x14ac:dyDescent="0.25">
      <c r="H1005" s="21" t="s">
        <v>34</v>
      </c>
      <c r="I1005" s="24">
        <v>613447</v>
      </c>
      <c r="J1005" s="20">
        <v>41123</v>
      </c>
      <c r="K1005" s="25">
        <v>478</v>
      </c>
      <c r="L1005" s="25">
        <v>7</v>
      </c>
      <c r="M1005" s="25">
        <v>2442</v>
      </c>
      <c r="N1005" s="25">
        <v>0</v>
      </c>
      <c r="O1005" s="25">
        <v>38</v>
      </c>
    </row>
    <row r="1006" spans="8:15" x14ac:dyDescent="0.25">
      <c r="H1006" s="21" t="s">
        <v>34</v>
      </c>
      <c r="I1006" s="24">
        <v>613447</v>
      </c>
      <c r="J1006" s="20">
        <v>41123</v>
      </c>
      <c r="K1006" s="25">
        <v>481</v>
      </c>
      <c r="L1006" s="25">
        <v>0</v>
      </c>
      <c r="M1006" s="25">
        <v>0</v>
      </c>
      <c r="N1006" s="25">
        <v>0</v>
      </c>
      <c r="O1006" s="25">
        <v>0</v>
      </c>
    </row>
    <row r="1007" spans="8:15" x14ac:dyDescent="0.25">
      <c r="H1007" s="21" t="s">
        <v>34</v>
      </c>
      <c r="I1007" s="24">
        <v>613447</v>
      </c>
      <c r="J1007" s="20">
        <v>41123</v>
      </c>
      <c r="K1007" s="25">
        <v>790</v>
      </c>
      <c r="L1007" s="25">
        <v>0</v>
      </c>
      <c r="M1007" s="25">
        <v>0</v>
      </c>
      <c r="N1007" s="25">
        <v>0</v>
      </c>
      <c r="O1007" s="25">
        <v>0</v>
      </c>
    </row>
    <row r="1008" spans="8:15" x14ac:dyDescent="0.25">
      <c r="H1008" s="21" t="s">
        <v>34</v>
      </c>
      <c r="I1008" s="24">
        <v>613447</v>
      </c>
      <c r="J1008" s="20">
        <v>41124</v>
      </c>
      <c r="K1008" s="25">
        <v>85</v>
      </c>
      <c r="L1008" s="25">
        <v>0</v>
      </c>
      <c r="M1008" s="25">
        <v>0</v>
      </c>
      <c r="N1008" s="25">
        <v>0</v>
      </c>
      <c r="O1008" s="25">
        <v>0</v>
      </c>
    </row>
    <row r="1009" spans="8:15" x14ac:dyDescent="0.25">
      <c r="H1009" s="21" t="s">
        <v>34</v>
      </c>
      <c r="I1009" s="24">
        <v>613447</v>
      </c>
      <c r="J1009" s="20">
        <v>41124</v>
      </c>
      <c r="K1009" s="25">
        <v>477</v>
      </c>
      <c r="L1009" s="25">
        <v>20</v>
      </c>
      <c r="M1009" s="25">
        <v>8092</v>
      </c>
      <c r="N1009" s="25">
        <v>3</v>
      </c>
      <c r="O1009" s="25">
        <v>151</v>
      </c>
    </row>
    <row r="1010" spans="8:15" x14ac:dyDescent="0.25">
      <c r="H1010" s="21" t="s">
        <v>34</v>
      </c>
      <c r="I1010" s="24">
        <v>613447</v>
      </c>
      <c r="J1010" s="20">
        <v>41124</v>
      </c>
      <c r="K1010" s="25">
        <v>478</v>
      </c>
      <c r="L1010" s="25">
        <v>8</v>
      </c>
      <c r="M1010" s="25">
        <v>1755</v>
      </c>
      <c r="N1010" s="25">
        <v>0</v>
      </c>
      <c r="O1010" s="25">
        <v>81</v>
      </c>
    </row>
    <row r="1011" spans="8:15" x14ac:dyDescent="0.25">
      <c r="H1011" s="21" t="s">
        <v>34</v>
      </c>
      <c r="I1011" s="24">
        <v>613447</v>
      </c>
      <c r="J1011" s="20">
        <v>41124</v>
      </c>
      <c r="K1011" s="25">
        <v>481</v>
      </c>
      <c r="L1011" s="25">
        <v>30</v>
      </c>
      <c r="M1011" s="25">
        <v>9647</v>
      </c>
      <c r="N1011" s="25">
        <v>2</v>
      </c>
      <c r="O1011" s="25">
        <v>84</v>
      </c>
    </row>
    <row r="1012" spans="8:15" x14ac:dyDescent="0.25">
      <c r="H1012" s="21" t="s">
        <v>34</v>
      </c>
      <c r="I1012" s="24">
        <v>613447</v>
      </c>
      <c r="J1012" s="20">
        <v>41124</v>
      </c>
      <c r="K1012" s="25">
        <v>790</v>
      </c>
      <c r="L1012" s="25">
        <v>0</v>
      </c>
      <c r="M1012" s="25">
        <v>0</v>
      </c>
      <c r="N1012" s="25">
        <v>0</v>
      </c>
      <c r="O1012" s="25">
        <v>0</v>
      </c>
    </row>
    <row r="1013" spans="8:15" x14ac:dyDescent="0.25">
      <c r="H1013" s="21" t="s">
        <v>34</v>
      </c>
      <c r="I1013" s="24">
        <v>613447</v>
      </c>
      <c r="J1013" s="20">
        <v>41126</v>
      </c>
      <c r="K1013" s="25">
        <v>85</v>
      </c>
      <c r="L1013" s="25">
        <v>0</v>
      </c>
      <c r="M1013" s="25">
        <v>0</v>
      </c>
      <c r="N1013" s="25">
        <v>0</v>
      </c>
      <c r="O1013" s="25">
        <v>0</v>
      </c>
    </row>
    <row r="1014" spans="8:15" x14ac:dyDescent="0.25">
      <c r="H1014" s="21" t="s">
        <v>34</v>
      </c>
      <c r="I1014" s="24">
        <v>613447</v>
      </c>
      <c r="J1014" s="20">
        <v>41126</v>
      </c>
      <c r="K1014" s="25">
        <v>477</v>
      </c>
      <c r="L1014" s="25">
        <v>46</v>
      </c>
      <c r="M1014" s="25">
        <v>16275</v>
      </c>
      <c r="N1014" s="25">
        <v>3</v>
      </c>
      <c r="O1014" s="25">
        <v>0</v>
      </c>
    </row>
    <row r="1015" spans="8:15" x14ac:dyDescent="0.25">
      <c r="H1015" s="21" t="s">
        <v>34</v>
      </c>
      <c r="I1015" s="24">
        <v>613447</v>
      </c>
      <c r="J1015" s="20">
        <v>41126</v>
      </c>
      <c r="K1015" s="25">
        <v>478</v>
      </c>
      <c r="L1015" s="25">
        <v>0</v>
      </c>
      <c r="M1015" s="25">
        <v>0</v>
      </c>
      <c r="N1015" s="25">
        <v>0</v>
      </c>
      <c r="O1015" s="25">
        <v>0</v>
      </c>
    </row>
    <row r="1016" spans="8:15" x14ac:dyDescent="0.25">
      <c r="H1016" s="21" t="s">
        <v>34</v>
      </c>
      <c r="I1016" s="24">
        <v>613447</v>
      </c>
      <c r="J1016" s="20">
        <v>41126</v>
      </c>
      <c r="K1016" s="25">
        <v>480</v>
      </c>
      <c r="L1016" s="25">
        <v>40</v>
      </c>
      <c r="M1016" s="25">
        <v>11535</v>
      </c>
      <c r="N1016" s="25">
        <v>5</v>
      </c>
      <c r="O1016" s="25">
        <v>0</v>
      </c>
    </row>
    <row r="1017" spans="8:15" x14ac:dyDescent="0.25">
      <c r="H1017" s="21" t="s">
        <v>34</v>
      </c>
      <c r="I1017" s="24">
        <v>613447</v>
      </c>
      <c r="J1017" s="20">
        <v>41126</v>
      </c>
      <c r="K1017" s="25">
        <v>481</v>
      </c>
      <c r="L1017" s="25">
        <v>0</v>
      </c>
      <c r="M1017" s="25">
        <v>0</v>
      </c>
      <c r="N1017" s="25">
        <v>0</v>
      </c>
      <c r="O1017" s="25">
        <v>0</v>
      </c>
    </row>
    <row r="1018" spans="8:15" x14ac:dyDescent="0.25">
      <c r="H1018" s="21" t="s">
        <v>34</v>
      </c>
      <c r="I1018" s="24">
        <v>613447</v>
      </c>
      <c r="J1018" s="20">
        <v>41126</v>
      </c>
      <c r="K1018" s="25">
        <v>482</v>
      </c>
      <c r="L1018" s="25">
        <v>0</v>
      </c>
      <c r="M1018" s="25">
        <v>0</v>
      </c>
      <c r="N1018" s="25">
        <v>0</v>
      </c>
      <c r="O1018" s="25">
        <v>0</v>
      </c>
    </row>
    <row r="1019" spans="8:15" x14ac:dyDescent="0.25">
      <c r="H1019" s="21" t="s">
        <v>34</v>
      </c>
      <c r="I1019" s="24">
        <v>613447</v>
      </c>
      <c r="J1019" s="20">
        <v>41126</v>
      </c>
      <c r="K1019" s="25">
        <v>790</v>
      </c>
      <c r="L1019" s="25">
        <v>0</v>
      </c>
      <c r="M1019" s="25">
        <v>0</v>
      </c>
      <c r="N1019" s="25">
        <v>0</v>
      </c>
      <c r="O1019" s="25">
        <v>0</v>
      </c>
    </row>
    <row r="1020" spans="8:15" x14ac:dyDescent="0.25">
      <c r="H1020" s="21" t="s">
        <v>34</v>
      </c>
      <c r="I1020" s="24">
        <v>613447</v>
      </c>
      <c r="J1020" s="20">
        <v>41127</v>
      </c>
      <c r="K1020" s="25">
        <v>85</v>
      </c>
      <c r="L1020" s="25">
        <v>0</v>
      </c>
      <c r="M1020" s="25">
        <v>0</v>
      </c>
      <c r="N1020" s="25">
        <v>0</v>
      </c>
      <c r="O1020" s="25">
        <v>0</v>
      </c>
    </row>
    <row r="1021" spans="8:15" x14ac:dyDescent="0.25">
      <c r="H1021" s="21" t="s">
        <v>34</v>
      </c>
      <c r="I1021" s="24">
        <v>613447</v>
      </c>
      <c r="J1021" s="20">
        <v>41127</v>
      </c>
      <c r="K1021" s="25">
        <v>477</v>
      </c>
      <c r="L1021" s="25">
        <v>32</v>
      </c>
      <c r="M1021" s="25">
        <v>11128</v>
      </c>
      <c r="N1021" s="25">
        <v>0</v>
      </c>
      <c r="O1021" s="25">
        <v>436</v>
      </c>
    </row>
    <row r="1022" spans="8:15" x14ac:dyDescent="0.25">
      <c r="H1022" s="21" t="s">
        <v>34</v>
      </c>
      <c r="I1022" s="24">
        <v>613447</v>
      </c>
      <c r="J1022" s="20">
        <v>41127</v>
      </c>
      <c r="K1022" s="25">
        <v>478</v>
      </c>
      <c r="L1022" s="25">
        <v>11</v>
      </c>
      <c r="M1022" s="25">
        <v>3095</v>
      </c>
      <c r="N1022" s="25">
        <v>0</v>
      </c>
      <c r="O1022" s="25">
        <v>212</v>
      </c>
    </row>
    <row r="1023" spans="8:15" x14ac:dyDescent="0.25">
      <c r="H1023" s="21" t="s">
        <v>34</v>
      </c>
      <c r="I1023" s="24">
        <v>613447</v>
      </c>
      <c r="J1023" s="20">
        <v>41127</v>
      </c>
      <c r="K1023" s="25">
        <v>481</v>
      </c>
      <c r="L1023" s="25">
        <v>20</v>
      </c>
      <c r="M1023" s="25">
        <v>4649</v>
      </c>
      <c r="N1023" s="25">
        <v>0</v>
      </c>
      <c r="O1023" s="25">
        <v>238</v>
      </c>
    </row>
    <row r="1024" spans="8:15" x14ac:dyDescent="0.25">
      <c r="H1024" s="21" t="s">
        <v>34</v>
      </c>
      <c r="I1024" s="24">
        <v>613447</v>
      </c>
      <c r="J1024" s="20">
        <v>41127</v>
      </c>
      <c r="K1024" s="25">
        <v>790</v>
      </c>
      <c r="L1024" s="25">
        <v>0</v>
      </c>
      <c r="M1024" s="25">
        <v>0</v>
      </c>
      <c r="N1024" s="25">
        <v>0</v>
      </c>
      <c r="O1024" s="25">
        <v>0</v>
      </c>
    </row>
    <row r="1025" spans="8:15" x14ac:dyDescent="0.25">
      <c r="H1025" s="21" t="s">
        <v>34</v>
      </c>
      <c r="I1025" s="24">
        <v>613447</v>
      </c>
      <c r="J1025" s="20">
        <v>41128</v>
      </c>
      <c r="K1025" s="25">
        <v>85</v>
      </c>
      <c r="L1025" s="25">
        <v>0</v>
      </c>
      <c r="M1025" s="25">
        <v>0</v>
      </c>
      <c r="N1025" s="25">
        <v>0</v>
      </c>
      <c r="O1025" s="25">
        <v>0</v>
      </c>
    </row>
    <row r="1026" spans="8:15" x14ac:dyDescent="0.25">
      <c r="H1026" s="21" t="s">
        <v>34</v>
      </c>
      <c r="I1026" s="24">
        <v>613447</v>
      </c>
      <c r="J1026" s="20">
        <v>41128</v>
      </c>
      <c r="K1026" s="25">
        <v>477</v>
      </c>
      <c r="L1026" s="25">
        <v>39</v>
      </c>
      <c r="M1026" s="25">
        <v>13103</v>
      </c>
      <c r="N1026" s="25">
        <v>20</v>
      </c>
      <c r="O1026" s="25">
        <v>50</v>
      </c>
    </row>
    <row r="1027" spans="8:15" x14ac:dyDescent="0.25">
      <c r="H1027" s="21" t="s">
        <v>34</v>
      </c>
      <c r="I1027" s="24">
        <v>613447</v>
      </c>
      <c r="J1027" s="20">
        <v>41128</v>
      </c>
      <c r="K1027" s="25">
        <v>478</v>
      </c>
      <c r="L1027" s="25">
        <v>9</v>
      </c>
      <c r="M1027" s="25">
        <v>4134</v>
      </c>
      <c r="N1027" s="25">
        <v>2</v>
      </c>
      <c r="O1027" s="25">
        <v>58</v>
      </c>
    </row>
    <row r="1028" spans="8:15" x14ac:dyDescent="0.25">
      <c r="H1028" s="21" t="s">
        <v>34</v>
      </c>
      <c r="I1028" s="24">
        <v>613447</v>
      </c>
      <c r="J1028" s="20">
        <v>41128</v>
      </c>
      <c r="K1028" s="25">
        <v>481</v>
      </c>
      <c r="L1028" s="25">
        <v>9</v>
      </c>
      <c r="M1028" s="25">
        <v>2386</v>
      </c>
      <c r="N1028" s="25">
        <v>0</v>
      </c>
      <c r="O1028" s="25">
        <v>61</v>
      </c>
    </row>
    <row r="1029" spans="8:15" x14ac:dyDescent="0.25">
      <c r="H1029" s="21" t="s">
        <v>34</v>
      </c>
      <c r="I1029" s="24">
        <v>613447</v>
      </c>
      <c r="J1029" s="20">
        <v>41128</v>
      </c>
      <c r="K1029" s="25">
        <v>790</v>
      </c>
      <c r="L1029" s="25">
        <v>0</v>
      </c>
      <c r="M1029" s="25">
        <v>0</v>
      </c>
      <c r="N1029" s="25">
        <v>0</v>
      </c>
      <c r="O1029" s="25">
        <v>0</v>
      </c>
    </row>
    <row r="1030" spans="8:15" x14ac:dyDescent="0.25">
      <c r="H1030" s="21" t="s">
        <v>34</v>
      </c>
      <c r="I1030" s="24">
        <v>613447</v>
      </c>
      <c r="J1030" s="20">
        <v>41129</v>
      </c>
      <c r="K1030" s="25">
        <v>85</v>
      </c>
      <c r="L1030" s="25">
        <v>0</v>
      </c>
      <c r="M1030" s="25">
        <v>0</v>
      </c>
      <c r="N1030" s="25">
        <v>0</v>
      </c>
      <c r="O1030" s="25">
        <v>0</v>
      </c>
    </row>
    <row r="1031" spans="8:15" x14ac:dyDescent="0.25">
      <c r="H1031" s="21" t="s">
        <v>34</v>
      </c>
      <c r="I1031" s="24">
        <v>613447</v>
      </c>
      <c r="J1031" s="20">
        <v>41129</v>
      </c>
      <c r="K1031" s="25">
        <v>477</v>
      </c>
      <c r="L1031" s="25">
        <v>33</v>
      </c>
      <c r="M1031" s="25">
        <v>11695</v>
      </c>
      <c r="N1031" s="25">
        <v>0</v>
      </c>
      <c r="O1031" s="25">
        <v>520</v>
      </c>
    </row>
    <row r="1032" spans="8:15" x14ac:dyDescent="0.25">
      <c r="H1032" s="21" t="s">
        <v>34</v>
      </c>
      <c r="I1032" s="24">
        <v>613447</v>
      </c>
      <c r="J1032" s="20">
        <v>41129</v>
      </c>
      <c r="K1032" s="25">
        <v>478</v>
      </c>
      <c r="L1032" s="25">
        <v>9</v>
      </c>
      <c r="M1032" s="25">
        <v>2331</v>
      </c>
      <c r="N1032" s="25">
        <v>30</v>
      </c>
      <c r="O1032" s="25">
        <v>65</v>
      </c>
    </row>
    <row r="1033" spans="8:15" x14ac:dyDescent="0.25">
      <c r="H1033" s="21" t="s">
        <v>34</v>
      </c>
      <c r="I1033" s="24">
        <v>613447</v>
      </c>
      <c r="J1033" s="20">
        <v>41129</v>
      </c>
      <c r="K1033" s="25">
        <v>481</v>
      </c>
      <c r="L1033" s="25">
        <v>12</v>
      </c>
      <c r="M1033" s="25">
        <v>4306</v>
      </c>
      <c r="N1033" s="25">
        <v>2</v>
      </c>
      <c r="O1033" s="25">
        <v>260</v>
      </c>
    </row>
    <row r="1034" spans="8:15" x14ac:dyDescent="0.25">
      <c r="H1034" s="21" t="s">
        <v>34</v>
      </c>
      <c r="I1034" s="24">
        <v>613447</v>
      </c>
      <c r="J1034" s="20">
        <v>41129</v>
      </c>
      <c r="K1034" s="25">
        <v>790</v>
      </c>
      <c r="L1034" s="25">
        <v>0</v>
      </c>
      <c r="M1034" s="25">
        <v>0</v>
      </c>
      <c r="N1034" s="25">
        <v>0</v>
      </c>
      <c r="O1034" s="25">
        <v>0</v>
      </c>
    </row>
    <row r="1035" spans="8:15" x14ac:dyDescent="0.25">
      <c r="H1035" s="21" t="s">
        <v>34</v>
      </c>
      <c r="I1035" s="24">
        <v>613447</v>
      </c>
      <c r="J1035" s="20">
        <v>41130</v>
      </c>
      <c r="K1035" s="25">
        <v>85</v>
      </c>
      <c r="L1035" s="25">
        <v>0</v>
      </c>
      <c r="M1035" s="25">
        <v>0</v>
      </c>
      <c r="N1035" s="25">
        <v>0</v>
      </c>
      <c r="O1035" s="25">
        <v>0</v>
      </c>
    </row>
    <row r="1036" spans="8:15" x14ac:dyDescent="0.25">
      <c r="H1036" s="21" t="s">
        <v>34</v>
      </c>
      <c r="I1036" s="24">
        <v>613447</v>
      </c>
      <c r="J1036" s="20">
        <v>41130</v>
      </c>
      <c r="K1036" s="25">
        <v>477</v>
      </c>
      <c r="L1036" s="25">
        <v>46</v>
      </c>
      <c r="M1036" s="25">
        <v>14463</v>
      </c>
      <c r="N1036" s="25">
        <v>2</v>
      </c>
      <c r="O1036" s="25">
        <v>623</v>
      </c>
    </row>
    <row r="1037" spans="8:15" x14ac:dyDescent="0.25">
      <c r="H1037" s="21" t="s">
        <v>34</v>
      </c>
      <c r="I1037" s="24">
        <v>613447</v>
      </c>
      <c r="J1037" s="20">
        <v>41130</v>
      </c>
      <c r="K1037" s="25">
        <v>478</v>
      </c>
      <c r="L1037" s="25">
        <v>9</v>
      </c>
      <c r="M1037" s="25">
        <v>2936</v>
      </c>
      <c r="N1037" s="25">
        <v>0</v>
      </c>
      <c r="O1037" s="25">
        <v>26</v>
      </c>
    </row>
    <row r="1038" spans="8:15" x14ac:dyDescent="0.25">
      <c r="H1038" s="21" t="s">
        <v>34</v>
      </c>
      <c r="I1038" s="24">
        <v>613447</v>
      </c>
      <c r="J1038" s="20">
        <v>41130</v>
      </c>
      <c r="K1038" s="25">
        <v>481</v>
      </c>
      <c r="L1038" s="25">
        <v>2</v>
      </c>
      <c r="M1038" s="25">
        <v>920</v>
      </c>
      <c r="N1038" s="25">
        <v>0</v>
      </c>
      <c r="O1038" s="25">
        <v>0</v>
      </c>
    </row>
    <row r="1039" spans="8:15" x14ac:dyDescent="0.25">
      <c r="H1039" s="21" t="s">
        <v>34</v>
      </c>
      <c r="I1039" s="24">
        <v>613447</v>
      </c>
      <c r="J1039" s="20">
        <v>41130</v>
      </c>
      <c r="K1039" s="25">
        <v>790</v>
      </c>
      <c r="L1039" s="25">
        <v>0</v>
      </c>
      <c r="M1039" s="25">
        <v>0</v>
      </c>
      <c r="N1039" s="25">
        <v>0</v>
      </c>
      <c r="O1039" s="25">
        <v>0</v>
      </c>
    </row>
    <row r="1040" spans="8:15" x14ac:dyDescent="0.25">
      <c r="H1040" s="21" t="s">
        <v>34</v>
      </c>
      <c r="I1040" s="24">
        <v>613447</v>
      </c>
      <c r="J1040" s="20">
        <v>41131</v>
      </c>
      <c r="K1040" s="25">
        <v>85</v>
      </c>
      <c r="L1040" s="25">
        <v>0</v>
      </c>
      <c r="M1040" s="25">
        <v>0</v>
      </c>
      <c r="N1040" s="25">
        <v>0</v>
      </c>
      <c r="O1040" s="25">
        <v>0</v>
      </c>
    </row>
    <row r="1041" spans="8:15" x14ac:dyDescent="0.25">
      <c r="H1041" s="21" t="s">
        <v>34</v>
      </c>
      <c r="I1041" s="24">
        <v>613447</v>
      </c>
      <c r="J1041" s="20">
        <v>41131</v>
      </c>
      <c r="K1041" s="25">
        <v>477</v>
      </c>
      <c r="L1041" s="25">
        <v>52</v>
      </c>
      <c r="M1041" s="25">
        <v>16137</v>
      </c>
      <c r="N1041" s="25">
        <v>8</v>
      </c>
      <c r="O1041" s="25">
        <v>1377</v>
      </c>
    </row>
    <row r="1042" spans="8:15" x14ac:dyDescent="0.25">
      <c r="H1042" s="21" t="s">
        <v>34</v>
      </c>
      <c r="I1042" s="24">
        <v>613447</v>
      </c>
      <c r="J1042" s="20">
        <v>41131</v>
      </c>
      <c r="K1042" s="25">
        <v>478</v>
      </c>
      <c r="L1042" s="25">
        <v>7</v>
      </c>
      <c r="M1042" s="25">
        <v>2297</v>
      </c>
      <c r="N1042" s="25">
        <v>11</v>
      </c>
      <c r="O1042" s="25">
        <v>198</v>
      </c>
    </row>
    <row r="1043" spans="8:15" x14ac:dyDescent="0.25">
      <c r="H1043" s="21" t="s">
        <v>34</v>
      </c>
      <c r="I1043" s="24">
        <v>613447</v>
      </c>
      <c r="J1043" s="20">
        <v>41131</v>
      </c>
      <c r="K1043" s="25">
        <v>481</v>
      </c>
      <c r="L1043" s="25">
        <v>0</v>
      </c>
      <c r="M1043" s="25">
        <v>0</v>
      </c>
      <c r="N1043" s="25">
        <v>0</v>
      </c>
      <c r="O1043" s="25">
        <v>0</v>
      </c>
    </row>
    <row r="1044" spans="8:15" x14ac:dyDescent="0.25">
      <c r="H1044" s="21" t="s">
        <v>34</v>
      </c>
      <c r="I1044" s="24">
        <v>613447</v>
      </c>
      <c r="J1044" s="20">
        <v>41131</v>
      </c>
      <c r="K1044" s="25">
        <v>790</v>
      </c>
      <c r="L1044" s="25">
        <v>0</v>
      </c>
      <c r="M1044" s="25">
        <v>0</v>
      </c>
      <c r="N1044" s="25">
        <v>0</v>
      </c>
      <c r="O1044" s="25">
        <v>0</v>
      </c>
    </row>
    <row r="1045" spans="8:15" x14ac:dyDescent="0.25">
      <c r="H1045" s="21" t="s">
        <v>34</v>
      </c>
      <c r="I1045" s="24">
        <v>613447</v>
      </c>
      <c r="J1045" s="20">
        <v>41132</v>
      </c>
      <c r="K1045" s="25">
        <v>85</v>
      </c>
      <c r="L1045" s="25">
        <v>0</v>
      </c>
      <c r="M1045" s="25">
        <v>0</v>
      </c>
      <c r="N1045" s="25">
        <v>0</v>
      </c>
      <c r="O1045" s="25">
        <v>0</v>
      </c>
    </row>
    <row r="1046" spans="8:15" x14ac:dyDescent="0.25">
      <c r="H1046" s="21" t="s">
        <v>34</v>
      </c>
      <c r="I1046" s="24">
        <v>613447</v>
      </c>
      <c r="J1046" s="20">
        <v>41132</v>
      </c>
      <c r="K1046" s="25">
        <v>477</v>
      </c>
      <c r="L1046" s="25">
        <v>61</v>
      </c>
      <c r="M1046" s="25">
        <v>17879</v>
      </c>
      <c r="N1046" s="25">
        <v>11</v>
      </c>
      <c r="O1046" s="25">
        <v>103</v>
      </c>
    </row>
    <row r="1047" spans="8:15" x14ac:dyDescent="0.25">
      <c r="H1047" s="21" t="s">
        <v>34</v>
      </c>
      <c r="I1047" s="24">
        <v>613447</v>
      </c>
      <c r="J1047" s="20">
        <v>41132</v>
      </c>
      <c r="K1047" s="25">
        <v>478</v>
      </c>
      <c r="L1047" s="25">
        <v>23</v>
      </c>
      <c r="M1047" s="25">
        <v>7120</v>
      </c>
      <c r="N1047" s="25">
        <v>3</v>
      </c>
      <c r="O1047" s="25">
        <v>22</v>
      </c>
    </row>
    <row r="1048" spans="8:15" x14ac:dyDescent="0.25">
      <c r="H1048" s="21" t="s">
        <v>34</v>
      </c>
      <c r="I1048" s="24">
        <v>613447</v>
      </c>
      <c r="J1048" s="20">
        <v>41132</v>
      </c>
      <c r="K1048" s="25">
        <v>481</v>
      </c>
      <c r="L1048" s="25">
        <v>0</v>
      </c>
      <c r="M1048" s="25">
        <v>0</v>
      </c>
      <c r="N1048" s="25">
        <v>0</v>
      </c>
      <c r="O1048" s="25">
        <v>0</v>
      </c>
    </row>
    <row r="1049" spans="8:15" x14ac:dyDescent="0.25">
      <c r="H1049" s="21" t="s">
        <v>34</v>
      </c>
      <c r="I1049" s="24">
        <v>613447</v>
      </c>
      <c r="J1049" s="20">
        <v>41132</v>
      </c>
      <c r="K1049" s="25">
        <v>790</v>
      </c>
      <c r="L1049" s="25">
        <v>0</v>
      </c>
      <c r="M1049" s="25">
        <v>0</v>
      </c>
      <c r="N1049" s="25">
        <v>0</v>
      </c>
      <c r="O1049" s="25">
        <v>0</v>
      </c>
    </row>
    <row r="1050" spans="8:15" x14ac:dyDescent="0.25">
      <c r="H1050" s="21" t="s">
        <v>34</v>
      </c>
      <c r="I1050" s="24">
        <v>613447</v>
      </c>
      <c r="J1050" s="20">
        <v>41134</v>
      </c>
      <c r="K1050" s="25">
        <v>85</v>
      </c>
      <c r="L1050" s="25">
        <v>0</v>
      </c>
      <c r="M1050" s="25">
        <v>0</v>
      </c>
      <c r="N1050" s="25">
        <v>0</v>
      </c>
      <c r="O1050" s="25">
        <v>0</v>
      </c>
    </row>
    <row r="1051" spans="8:15" x14ac:dyDescent="0.25">
      <c r="H1051" s="21" t="s">
        <v>34</v>
      </c>
      <c r="I1051" s="24">
        <v>613447</v>
      </c>
      <c r="J1051" s="20">
        <v>41134</v>
      </c>
      <c r="K1051" s="25">
        <v>477</v>
      </c>
      <c r="L1051" s="25">
        <v>48</v>
      </c>
      <c r="M1051" s="25">
        <v>13956</v>
      </c>
      <c r="N1051" s="25">
        <v>3</v>
      </c>
      <c r="O1051" s="25">
        <v>838</v>
      </c>
    </row>
    <row r="1052" spans="8:15" x14ac:dyDescent="0.25">
      <c r="H1052" s="21" t="s">
        <v>34</v>
      </c>
      <c r="I1052" s="24">
        <v>613447</v>
      </c>
      <c r="J1052" s="20">
        <v>41134</v>
      </c>
      <c r="K1052" s="25">
        <v>478</v>
      </c>
      <c r="L1052" s="25">
        <v>15</v>
      </c>
      <c r="M1052" s="25">
        <v>4255</v>
      </c>
      <c r="N1052" s="25">
        <v>0</v>
      </c>
      <c r="O1052" s="25">
        <v>32</v>
      </c>
    </row>
    <row r="1053" spans="8:15" x14ac:dyDescent="0.25">
      <c r="H1053" s="21" t="s">
        <v>34</v>
      </c>
      <c r="I1053" s="24">
        <v>613447</v>
      </c>
      <c r="J1053" s="20">
        <v>41134</v>
      </c>
      <c r="K1053" s="25">
        <v>481</v>
      </c>
      <c r="L1053" s="25">
        <v>0</v>
      </c>
      <c r="M1053" s="25">
        <v>0</v>
      </c>
      <c r="N1053" s="25">
        <v>0</v>
      </c>
      <c r="O1053" s="25">
        <v>0</v>
      </c>
    </row>
    <row r="1054" spans="8:15" x14ac:dyDescent="0.25">
      <c r="H1054" s="21" t="s">
        <v>34</v>
      </c>
      <c r="I1054" s="24">
        <v>613447</v>
      </c>
      <c r="J1054" s="20">
        <v>41134</v>
      </c>
      <c r="K1054" s="25">
        <v>790</v>
      </c>
      <c r="L1054" s="25">
        <v>0</v>
      </c>
      <c r="M1054" s="25">
        <v>0</v>
      </c>
      <c r="N1054" s="25">
        <v>0</v>
      </c>
      <c r="O1054" s="25">
        <v>0</v>
      </c>
    </row>
    <row r="1055" spans="8:15" x14ac:dyDescent="0.25">
      <c r="H1055" s="21" t="s">
        <v>34</v>
      </c>
      <c r="I1055" s="24">
        <v>613447</v>
      </c>
      <c r="J1055" s="20">
        <v>41135</v>
      </c>
      <c r="K1055" s="25">
        <v>85</v>
      </c>
      <c r="L1055" s="25">
        <v>0</v>
      </c>
      <c r="M1055" s="25">
        <v>0</v>
      </c>
      <c r="N1055" s="25">
        <v>0</v>
      </c>
      <c r="O1055" s="25">
        <v>0</v>
      </c>
    </row>
    <row r="1056" spans="8:15" x14ac:dyDescent="0.25">
      <c r="H1056" s="21" t="s">
        <v>34</v>
      </c>
      <c r="I1056" s="24">
        <v>613447</v>
      </c>
      <c r="J1056" s="20">
        <v>41135</v>
      </c>
      <c r="K1056" s="25">
        <v>466</v>
      </c>
      <c r="L1056" s="25">
        <v>1</v>
      </c>
      <c r="M1056" s="25">
        <v>251</v>
      </c>
      <c r="N1056" s="25">
        <v>0</v>
      </c>
      <c r="O1056" s="25">
        <v>0</v>
      </c>
    </row>
    <row r="1057" spans="8:15" x14ac:dyDescent="0.25">
      <c r="H1057" s="21" t="s">
        <v>34</v>
      </c>
      <c r="I1057" s="24">
        <v>613447</v>
      </c>
      <c r="J1057" s="20">
        <v>41135</v>
      </c>
      <c r="K1057" s="25">
        <v>467</v>
      </c>
      <c r="L1057" s="25">
        <v>0</v>
      </c>
      <c r="M1057" s="25">
        <v>0</v>
      </c>
      <c r="N1057" s="25">
        <v>0</v>
      </c>
      <c r="O1057" s="25">
        <v>0</v>
      </c>
    </row>
    <row r="1058" spans="8:15" x14ac:dyDescent="0.25">
      <c r="H1058" s="21" t="s">
        <v>34</v>
      </c>
      <c r="I1058" s="24">
        <v>613447</v>
      </c>
      <c r="J1058" s="20">
        <v>41135</v>
      </c>
      <c r="K1058" s="25">
        <v>477</v>
      </c>
      <c r="L1058" s="25">
        <v>26</v>
      </c>
      <c r="M1058" s="25">
        <v>5326</v>
      </c>
      <c r="N1058" s="25">
        <v>1</v>
      </c>
      <c r="O1058" s="25">
        <v>82</v>
      </c>
    </row>
    <row r="1059" spans="8:15" x14ac:dyDescent="0.25">
      <c r="H1059" s="21" t="s">
        <v>34</v>
      </c>
      <c r="I1059" s="24">
        <v>613447</v>
      </c>
      <c r="J1059" s="20">
        <v>41135</v>
      </c>
      <c r="K1059" s="25">
        <v>478</v>
      </c>
      <c r="L1059" s="25">
        <v>38</v>
      </c>
      <c r="M1059" s="25">
        <v>12243</v>
      </c>
      <c r="N1059" s="25">
        <v>7</v>
      </c>
      <c r="O1059" s="25">
        <v>360</v>
      </c>
    </row>
    <row r="1060" spans="8:15" x14ac:dyDescent="0.25">
      <c r="H1060" s="21" t="s">
        <v>34</v>
      </c>
      <c r="I1060" s="24">
        <v>613447</v>
      </c>
      <c r="J1060" s="20">
        <v>41135</v>
      </c>
      <c r="K1060" s="25">
        <v>481</v>
      </c>
      <c r="L1060" s="25">
        <v>0</v>
      </c>
      <c r="M1060" s="25">
        <v>0</v>
      </c>
      <c r="N1060" s="25">
        <v>0</v>
      </c>
      <c r="O1060" s="25">
        <v>0</v>
      </c>
    </row>
    <row r="1061" spans="8:15" x14ac:dyDescent="0.25">
      <c r="H1061" s="21" t="s">
        <v>34</v>
      </c>
      <c r="I1061" s="24">
        <v>613447</v>
      </c>
      <c r="J1061" s="20">
        <v>41135</v>
      </c>
      <c r="K1061" s="25">
        <v>790</v>
      </c>
      <c r="L1061" s="25">
        <v>0</v>
      </c>
      <c r="M1061" s="25">
        <v>0</v>
      </c>
      <c r="N1061" s="25">
        <v>0</v>
      </c>
      <c r="O1061" s="25">
        <v>0</v>
      </c>
    </row>
    <row r="1062" spans="8:15" x14ac:dyDescent="0.25">
      <c r="H1062" s="21" t="s">
        <v>34</v>
      </c>
      <c r="I1062" s="24">
        <v>613447</v>
      </c>
      <c r="J1062" s="20">
        <v>41136</v>
      </c>
      <c r="K1062" s="25">
        <v>85</v>
      </c>
      <c r="L1062" s="25">
        <v>0</v>
      </c>
      <c r="M1062" s="25">
        <v>0</v>
      </c>
      <c r="N1062" s="25">
        <v>0</v>
      </c>
      <c r="O1062" s="25">
        <v>0</v>
      </c>
    </row>
    <row r="1063" spans="8:15" x14ac:dyDescent="0.25">
      <c r="H1063" s="21" t="s">
        <v>34</v>
      </c>
      <c r="I1063" s="24">
        <v>613447</v>
      </c>
      <c r="J1063" s="20">
        <v>41136</v>
      </c>
      <c r="K1063" s="25">
        <v>465</v>
      </c>
      <c r="L1063" s="25">
        <v>0</v>
      </c>
      <c r="M1063" s="25">
        <v>0</v>
      </c>
      <c r="N1063" s="25">
        <v>0</v>
      </c>
      <c r="O1063" s="25">
        <v>0</v>
      </c>
    </row>
    <row r="1064" spans="8:15" x14ac:dyDescent="0.25">
      <c r="H1064" s="21" t="s">
        <v>34</v>
      </c>
      <c r="I1064" s="24">
        <v>613447</v>
      </c>
      <c r="J1064" s="20">
        <v>41136</v>
      </c>
      <c r="K1064" s="25">
        <v>466</v>
      </c>
      <c r="L1064" s="25">
        <v>1</v>
      </c>
      <c r="M1064" s="25">
        <v>170</v>
      </c>
      <c r="N1064" s="25">
        <v>3</v>
      </c>
      <c r="O1064" s="25">
        <v>0</v>
      </c>
    </row>
    <row r="1065" spans="8:15" x14ac:dyDescent="0.25">
      <c r="H1065" s="21" t="s">
        <v>34</v>
      </c>
      <c r="I1065" s="24">
        <v>613447</v>
      </c>
      <c r="J1065" s="20">
        <v>41136</v>
      </c>
      <c r="K1065" s="25">
        <v>467</v>
      </c>
      <c r="L1065" s="25">
        <v>0</v>
      </c>
      <c r="M1065" s="25">
        <v>0</v>
      </c>
      <c r="N1065" s="25">
        <v>0</v>
      </c>
      <c r="O1065" s="25">
        <v>0</v>
      </c>
    </row>
    <row r="1066" spans="8:15" x14ac:dyDescent="0.25">
      <c r="H1066" s="21" t="s">
        <v>34</v>
      </c>
      <c r="I1066" s="24">
        <v>613447</v>
      </c>
      <c r="J1066" s="20">
        <v>41136</v>
      </c>
      <c r="K1066" s="25">
        <v>477</v>
      </c>
      <c r="L1066" s="25">
        <v>1</v>
      </c>
      <c r="M1066" s="25">
        <v>234</v>
      </c>
      <c r="N1066" s="25">
        <v>4</v>
      </c>
      <c r="O1066" s="25">
        <v>0</v>
      </c>
    </row>
    <row r="1067" spans="8:15" x14ac:dyDescent="0.25">
      <c r="H1067" s="21" t="s">
        <v>34</v>
      </c>
      <c r="I1067" s="24">
        <v>613447</v>
      </c>
      <c r="J1067" s="20">
        <v>41136</v>
      </c>
      <c r="K1067" s="25">
        <v>478</v>
      </c>
      <c r="L1067" s="25">
        <v>9</v>
      </c>
      <c r="M1067" s="25">
        <v>1937</v>
      </c>
      <c r="N1067" s="25">
        <v>0</v>
      </c>
      <c r="O1067" s="25">
        <v>61</v>
      </c>
    </row>
    <row r="1068" spans="8:15" x14ac:dyDescent="0.25">
      <c r="H1068" s="21" t="s">
        <v>34</v>
      </c>
      <c r="I1068" s="24">
        <v>613447</v>
      </c>
      <c r="J1068" s="20">
        <v>41136</v>
      </c>
      <c r="K1068" s="25">
        <v>480</v>
      </c>
      <c r="L1068" s="25">
        <v>13</v>
      </c>
      <c r="M1068" s="25">
        <v>3823</v>
      </c>
      <c r="N1068" s="25">
        <v>0</v>
      </c>
      <c r="O1068" s="25">
        <v>64</v>
      </c>
    </row>
    <row r="1069" spans="8:15" x14ac:dyDescent="0.25">
      <c r="H1069" s="21" t="s">
        <v>34</v>
      </c>
      <c r="I1069" s="24">
        <v>613447</v>
      </c>
      <c r="J1069" s="20">
        <v>41136</v>
      </c>
      <c r="K1069" s="25">
        <v>481</v>
      </c>
      <c r="L1069" s="25">
        <v>3</v>
      </c>
      <c r="M1069" s="25">
        <v>749</v>
      </c>
      <c r="N1069" s="25">
        <v>0</v>
      </c>
      <c r="O1069" s="25">
        <v>32</v>
      </c>
    </row>
    <row r="1070" spans="8:15" x14ac:dyDescent="0.25">
      <c r="H1070" s="21" t="s">
        <v>34</v>
      </c>
      <c r="I1070" s="24">
        <v>613447</v>
      </c>
      <c r="J1070" s="20">
        <v>41136</v>
      </c>
      <c r="K1070" s="25">
        <v>482</v>
      </c>
      <c r="L1070" s="25">
        <v>32</v>
      </c>
      <c r="M1070" s="25">
        <v>12320</v>
      </c>
      <c r="N1070" s="25">
        <v>0</v>
      </c>
      <c r="O1070" s="25">
        <v>481</v>
      </c>
    </row>
    <row r="1071" spans="8:15" x14ac:dyDescent="0.25">
      <c r="H1071" s="21" t="s">
        <v>34</v>
      </c>
      <c r="I1071" s="24">
        <v>613447</v>
      </c>
      <c r="J1071" s="20">
        <v>41136</v>
      </c>
      <c r="K1071" s="25">
        <v>790</v>
      </c>
      <c r="L1071" s="25">
        <v>0</v>
      </c>
      <c r="M1071" s="25">
        <v>0</v>
      </c>
      <c r="N1071" s="25">
        <v>0</v>
      </c>
      <c r="O1071" s="25">
        <v>0</v>
      </c>
    </row>
    <row r="1072" spans="8:15" x14ac:dyDescent="0.25">
      <c r="H1072" s="21" t="s">
        <v>34</v>
      </c>
      <c r="I1072" s="24">
        <v>613447</v>
      </c>
      <c r="J1072" s="20">
        <v>41137</v>
      </c>
      <c r="K1072" s="25">
        <v>85</v>
      </c>
      <c r="L1072" s="25">
        <v>0</v>
      </c>
      <c r="M1072" s="25">
        <v>0</v>
      </c>
      <c r="N1072" s="25">
        <v>0</v>
      </c>
      <c r="O1072" s="25">
        <v>0</v>
      </c>
    </row>
    <row r="1073" spans="8:15" x14ac:dyDescent="0.25">
      <c r="H1073" s="21" t="s">
        <v>34</v>
      </c>
      <c r="I1073" s="24">
        <v>613447</v>
      </c>
      <c r="J1073" s="20">
        <v>41137</v>
      </c>
      <c r="K1073" s="25">
        <v>465</v>
      </c>
      <c r="L1073" s="25">
        <v>0</v>
      </c>
      <c r="M1073" s="25">
        <v>0</v>
      </c>
      <c r="N1073" s="25">
        <v>0</v>
      </c>
      <c r="O1073" s="25">
        <v>0</v>
      </c>
    </row>
    <row r="1074" spans="8:15" x14ac:dyDescent="0.25">
      <c r="H1074" s="21" t="s">
        <v>34</v>
      </c>
      <c r="I1074" s="24">
        <v>613447</v>
      </c>
      <c r="J1074" s="20">
        <v>41137</v>
      </c>
      <c r="K1074" s="25">
        <v>466</v>
      </c>
      <c r="L1074" s="25">
        <v>31</v>
      </c>
      <c r="M1074" s="25">
        <v>9708</v>
      </c>
      <c r="N1074" s="25">
        <v>1</v>
      </c>
      <c r="O1074" s="25">
        <v>338</v>
      </c>
    </row>
    <row r="1075" spans="8:15" x14ac:dyDescent="0.25">
      <c r="H1075" s="21" t="s">
        <v>34</v>
      </c>
      <c r="I1075" s="24">
        <v>613447</v>
      </c>
      <c r="J1075" s="20">
        <v>41137</v>
      </c>
      <c r="K1075" s="25">
        <v>467</v>
      </c>
      <c r="L1075" s="25">
        <v>0</v>
      </c>
      <c r="M1075" s="25">
        <v>0</v>
      </c>
      <c r="N1075" s="25">
        <v>0</v>
      </c>
      <c r="O1075" s="25">
        <v>0</v>
      </c>
    </row>
    <row r="1076" spans="8:15" x14ac:dyDescent="0.25">
      <c r="H1076" s="21" t="s">
        <v>34</v>
      </c>
      <c r="I1076" s="24">
        <v>613447</v>
      </c>
      <c r="J1076" s="20">
        <v>41137</v>
      </c>
      <c r="K1076" s="25">
        <v>477</v>
      </c>
      <c r="L1076" s="25">
        <v>12</v>
      </c>
      <c r="M1076" s="25">
        <v>4529</v>
      </c>
      <c r="N1076" s="25">
        <v>0</v>
      </c>
      <c r="O1076" s="25">
        <v>147</v>
      </c>
    </row>
    <row r="1077" spans="8:15" x14ac:dyDescent="0.25">
      <c r="H1077" s="21" t="s">
        <v>34</v>
      </c>
      <c r="I1077" s="24">
        <v>613447</v>
      </c>
      <c r="J1077" s="20">
        <v>41137</v>
      </c>
      <c r="K1077" s="25">
        <v>478</v>
      </c>
      <c r="L1077" s="25">
        <v>2</v>
      </c>
      <c r="M1077" s="25">
        <v>430</v>
      </c>
      <c r="N1077" s="25">
        <v>0</v>
      </c>
      <c r="O1077" s="25">
        <v>70</v>
      </c>
    </row>
    <row r="1078" spans="8:15" x14ac:dyDescent="0.25">
      <c r="H1078" s="21" t="s">
        <v>34</v>
      </c>
      <c r="I1078" s="24">
        <v>613447</v>
      </c>
      <c r="J1078" s="20">
        <v>41137</v>
      </c>
      <c r="K1078" s="25">
        <v>480</v>
      </c>
      <c r="L1078" s="25">
        <v>9</v>
      </c>
      <c r="M1078" s="25">
        <v>1722</v>
      </c>
      <c r="N1078" s="25">
        <v>0</v>
      </c>
      <c r="O1078" s="25">
        <v>59</v>
      </c>
    </row>
    <row r="1079" spans="8:15" x14ac:dyDescent="0.25">
      <c r="H1079" s="21" t="s">
        <v>34</v>
      </c>
      <c r="I1079" s="24">
        <v>613447</v>
      </c>
      <c r="J1079" s="20">
        <v>41137</v>
      </c>
      <c r="K1079" s="25">
        <v>481</v>
      </c>
      <c r="L1079" s="25">
        <v>0</v>
      </c>
      <c r="M1079" s="25">
        <v>0</v>
      </c>
      <c r="N1079" s="25">
        <v>0</v>
      </c>
      <c r="O1079" s="25">
        <v>0</v>
      </c>
    </row>
    <row r="1080" spans="8:15" x14ac:dyDescent="0.25">
      <c r="H1080" s="21" t="s">
        <v>34</v>
      </c>
      <c r="I1080" s="24">
        <v>613447</v>
      </c>
      <c r="J1080" s="20">
        <v>41137</v>
      </c>
      <c r="K1080" s="25">
        <v>482</v>
      </c>
      <c r="L1080" s="25">
        <v>8</v>
      </c>
      <c r="M1080" s="25">
        <v>1870</v>
      </c>
      <c r="N1080" s="25">
        <v>3</v>
      </c>
      <c r="O1080" s="25">
        <v>122</v>
      </c>
    </row>
    <row r="1081" spans="8:15" x14ac:dyDescent="0.25">
      <c r="H1081" s="21" t="s">
        <v>34</v>
      </c>
      <c r="I1081" s="24">
        <v>613447</v>
      </c>
      <c r="J1081" s="20">
        <v>41137</v>
      </c>
      <c r="K1081" s="25">
        <v>790</v>
      </c>
      <c r="L1081" s="25">
        <v>0</v>
      </c>
      <c r="M1081" s="25">
        <v>0</v>
      </c>
      <c r="N1081" s="25">
        <v>0</v>
      </c>
      <c r="O1081" s="25">
        <v>0</v>
      </c>
    </row>
    <row r="1082" spans="8:15" x14ac:dyDescent="0.25">
      <c r="H1082" s="21" t="s">
        <v>34</v>
      </c>
      <c r="I1082" s="24">
        <v>613447</v>
      </c>
      <c r="J1082" s="20">
        <v>41138</v>
      </c>
      <c r="K1082" s="25">
        <v>85</v>
      </c>
      <c r="L1082" s="25">
        <v>0</v>
      </c>
      <c r="M1082" s="25">
        <v>0</v>
      </c>
      <c r="N1082" s="25">
        <v>0</v>
      </c>
      <c r="O1082" s="25">
        <v>0</v>
      </c>
    </row>
    <row r="1083" spans="8:15" x14ac:dyDescent="0.25">
      <c r="H1083" s="21" t="s">
        <v>34</v>
      </c>
      <c r="I1083" s="24">
        <v>613447</v>
      </c>
      <c r="J1083" s="20">
        <v>41138</v>
      </c>
      <c r="K1083" s="25">
        <v>465</v>
      </c>
      <c r="L1083" s="25">
        <v>0</v>
      </c>
      <c r="M1083" s="25">
        <v>0</v>
      </c>
      <c r="N1083" s="25">
        <v>0</v>
      </c>
      <c r="O1083" s="25">
        <v>0</v>
      </c>
    </row>
    <row r="1084" spans="8:15" x14ac:dyDescent="0.25">
      <c r="H1084" s="21" t="s">
        <v>34</v>
      </c>
      <c r="I1084" s="24">
        <v>613447</v>
      </c>
      <c r="J1084" s="20">
        <v>41138</v>
      </c>
      <c r="K1084" s="25">
        <v>466</v>
      </c>
      <c r="L1084" s="25">
        <v>23</v>
      </c>
      <c r="M1084" s="25">
        <v>6872</v>
      </c>
      <c r="N1084" s="25">
        <v>0</v>
      </c>
      <c r="O1084" s="25">
        <v>505</v>
      </c>
    </row>
    <row r="1085" spans="8:15" x14ac:dyDescent="0.25">
      <c r="H1085" s="21" t="s">
        <v>34</v>
      </c>
      <c r="I1085" s="24">
        <v>613447</v>
      </c>
      <c r="J1085" s="20">
        <v>41138</v>
      </c>
      <c r="K1085" s="25">
        <v>467</v>
      </c>
      <c r="L1085" s="25">
        <v>0</v>
      </c>
      <c r="M1085" s="25">
        <v>0</v>
      </c>
      <c r="N1085" s="25">
        <v>0</v>
      </c>
      <c r="O1085" s="25">
        <v>0</v>
      </c>
    </row>
    <row r="1086" spans="8:15" x14ac:dyDescent="0.25">
      <c r="H1086" s="21" t="s">
        <v>34</v>
      </c>
      <c r="I1086" s="24">
        <v>613447</v>
      </c>
      <c r="J1086" s="20">
        <v>41138</v>
      </c>
      <c r="K1086" s="25">
        <v>477</v>
      </c>
      <c r="L1086" s="25">
        <v>10</v>
      </c>
      <c r="M1086" s="25">
        <v>2572</v>
      </c>
      <c r="N1086" s="25">
        <v>15</v>
      </c>
      <c r="O1086" s="25">
        <v>141</v>
      </c>
    </row>
    <row r="1087" spans="8:15" x14ac:dyDescent="0.25">
      <c r="H1087" s="21" t="s">
        <v>34</v>
      </c>
      <c r="I1087" s="24">
        <v>613447</v>
      </c>
      <c r="J1087" s="20">
        <v>41138</v>
      </c>
      <c r="K1087" s="25">
        <v>478</v>
      </c>
      <c r="L1087" s="25">
        <v>4</v>
      </c>
      <c r="M1087" s="25">
        <v>1139</v>
      </c>
      <c r="N1087" s="25">
        <v>0</v>
      </c>
      <c r="O1087" s="25">
        <v>108</v>
      </c>
    </row>
    <row r="1088" spans="8:15" x14ac:dyDescent="0.25">
      <c r="H1088" s="21" t="s">
        <v>34</v>
      </c>
      <c r="I1088" s="24">
        <v>613447</v>
      </c>
      <c r="J1088" s="20">
        <v>41138</v>
      </c>
      <c r="K1088" s="25">
        <v>480</v>
      </c>
      <c r="L1088" s="25">
        <v>8</v>
      </c>
      <c r="M1088" s="25">
        <v>2271</v>
      </c>
      <c r="N1088" s="25">
        <v>0</v>
      </c>
      <c r="O1088" s="25">
        <v>40</v>
      </c>
    </row>
    <row r="1089" spans="8:15" x14ac:dyDescent="0.25">
      <c r="H1089" s="21" t="s">
        <v>34</v>
      </c>
      <c r="I1089" s="24">
        <v>613447</v>
      </c>
      <c r="J1089" s="20">
        <v>41138</v>
      </c>
      <c r="K1089" s="25">
        <v>481</v>
      </c>
      <c r="L1089" s="25">
        <v>0</v>
      </c>
      <c r="M1089" s="25">
        <v>0</v>
      </c>
      <c r="N1089" s="25">
        <v>0</v>
      </c>
      <c r="O1089" s="25">
        <v>0</v>
      </c>
    </row>
    <row r="1090" spans="8:15" x14ac:dyDescent="0.25">
      <c r="H1090" s="21" t="s">
        <v>34</v>
      </c>
      <c r="I1090" s="24">
        <v>613447</v>
      </c>
      <c r="J1090" s="20">
        <v>41138</v>
      </c>
      <c r="K1090" s="25">
        <v>482</v>
      </c>
      <c r="L1090" s="25">
        <v>9</v>
      </c>
      <c r="M1090" s="25">
        <v>3869</v>
      </c>
      <c r="N1090" s="25">
        <v>2</v>
      </c>
      <c r="O1090" s="25">
        <v>193</v>
      </c>
    </row>
    <row r="1091" spans="8:15" x14ac:dyDescent="0.25">
      <c r="H1091" s="21" t="s">
        <v>34</v>
      </c>
      <c r="I1091" s="24">
        <v>613447</v>
      </c>
      <c r="J1091" s="20">
        <v>41138</v>
      </c>
      <c r="K1091" s="25">
        <v>790</v>
      </c>
      <c r="L1091" s="25">
        <v>0</v>
      </c>
      <c r="M1091" s="25">
        <v>0</v>
      </c>
      <c r="N1091" s="25">
        <v>0</v>
      </c>
      <c r="O1091" s="25">
        <v>0</v>
      </c>
    </row>
    <row r="1092" spans="8:15" x14ac:dyDescent="0.25">
      <c r="H1092" s="21" t="s">
        <v>34</v>
      </c>
      <c r="I1092" s="24">
        <v>613447</v>
      </c>
      <c r="J1092" s="20">
        <v>41140</v>
      </c>
      <c r="K1092" s="25">
        <v>85</v>
      </c>
      <c r="L1092" s="25">
        <v>0</v>
      </c>
      <c r="M1092" s="25">
        <v>0</v>
      </c>
      <c r="N1092" s="25">
        <v>0</v>
      </c>
      <c r="O1092" s="25">
        <v>0</v>
      </c>
    </row>
    <row r="1093" spans="8:15" x14ac:dyDescent="0.25">
      <c r="H1093" s="21" t="s">
        <v>34</v>
      </c>
      <c r="I1093" s="24">
        <v>613447</v>
      </c>
      <c r="J1093" s="20">
        <v>41140</v>
      </c>
      <c r="K1093" s="25">
        <v>465</v>
      </c>
      <c r="L1093" s="25">
        <v>0</v>
      </c>
      <c r="M1093" s="25">
        <v>0</v>
      </c>
      <c r="N1093" s="25">
        <v>0</v>
      </c>
      <c r="O1093" s="25">
        <v>0</v>
      </c>
    </row>
    <row r="1094" spans="8:15" x14ac:dyDescent="0.25">
      <c r="H1094" s="21" t="s">
        <v>34</v>
      </c>
      <c r="I1094" s="24">
        <v>613447</v>
      </c>
      <c r="J1094" s="20">
        <v>41140</v>
      </c>
      <c r="K1094" s="25">
        <v>466</v>
      </c>
      <c r="L1094" s="25">
        <v>10</v>
      </c>
      <c r="M1094" s="25">
        <v>4078</v>
      </c>
      <c r="N1094" s="25">
        <v>0</v>
      </c>
      <c r="O1094" s="25">
        <v>0</v>
      </c>
    </row>
    <row r="1095" spans="8:15" x14ac:dyDescent="0.25">
      <c r="H1095" s="21" t="s">
        <v>34</v>
      </c>
      <c r="I1095" s="24">
        <v>613447</v>
      </c>
      <c r="J1095" s="20">
        <v>41140</v>
      </c>
      <c r="K1095" s="25">
        <v>467</v>
      </c>
      <c r="L1095" s="25">
        <v>0</v>
      </c>
      <c r="M1095" s="25">
        <v>0</v>
      </c>
      <c r="N1095" s="25">
        <v>0</v>
      </c>
      <c r="O1095" s="25">
        <v>0</v>
      </c>
    </row>
    <row r="1096" spans="8:15" x14ac:dyDescent="0.25">
      <c r="H1096" s="21" t="s">
        <v>34</v>
      </c>
      <c r="I1096" s="24">
        <v>613447</v>
      </c>
      <c r="J1096" s="20">
        <v>41140</v>
      </c>
      <c r="K1096" s="25">
        <v>477</v>
      </c>
      <c r="L1096" s="25">
        <v>30</v>
      </c>
      <c r="M1096" s="25">
        <v>8154</v>
      </c>
      <c r="N1096" s="25">
        <v>0</v>
      </c>
      <c r="O1096" s="25">
        <v>0</v>
      </c>
    </row>
    <row r="1097" spans="8:15" x14ac:dyDescent="0.25">
      <c r="H1097" s="21" t="s">
        <v>34</v>
      </c>
      <c r="I1097" s="24">
        <v>613447</v>
      </c>
      <c r="J1097" s="20">
        <v>41140</v>
      </c>
      <c r="K1097" s="25">
        <v>478</v>
      </c>
      <c r="L1097" s="25">
        <v>2</v>
      </c>
      <c r="M1097" s="25">
        <v>814</v>
      </c>
      <c r="N1097" s="25">
        <v>0</v>
      </c>
      <c r="O1097" s="25">
        <v>137</v>
      </c>
    </row>
    <row r="1098" spans="8:15" x14ac:dyDescent="0.25">
      <c r="H1098" s="21" t="s">
        <v>34</v>
      </c>
      <c r="I1098" s="24">
        <v>613447</v>
      </c>
      <c r="J1098" s="20">
        <v>41140</v>
      </c>
      <c r="K1098" s="25">
        <v>480</v>
      </c>
      <c r="L1098" s="25">
        <v>9</v>
      </c>
      <c r="M1098" s="25">
        <v>2153</v>
      </c>
      <c r="N1098" s="25">
        <v>3</v>
      </c>
      <c r="O1098" s="25">
        <v>22</v>
      </c>
    </row>
    <row r="1099" spans="8:15" x14ac:dyDescent="0.25">
      <c r="H1099" s="21" t="s">
        <v>34</v>
      </c>
      <c r="I1099" s="24">
        <v>613447</v>
      </c>
      <c r="J1099" s="20">
        <v>41140</v>
      </c>
      <c r="K1099" s="25">
        <v>481</v>
      </c>
      <c r="L1099" s="25">
        <v>0</v>
      </c>
      <c r="M1099" s="25">
        <v>0</v>
      </c>
      <c r="N1099" s="25">
        <v>0</v>
      </c>
      <c r="O1099" s="25">
        <v>0</v>
      </c>
    </row>
    <row r="1100" spans="8:15" x14ac:dyDescent="0.25">
      <c r="H1100" s="21" t="s">
        <v>34</v>
      </c>
      <c r="I1100" s="24">
        <v>613447</v>
      </c>
      <c r="J1100" s="20">
        <v>41140</v>
      </c>
      <c r="K1100" s="25">
        <v>482</v>
      </c>
      <c r="L1100" s="25">
        <v>12</v>
      </c>
      <c r="M1100" s="25">
        <v>3408</v>
      </c>
      <c r="N1100" s="25">
        <v>0</v>
      </c>
      <c r="O1100" s="25">
        <v>0</v>
      </c>
    </row>
    <row r="1101" spans="8:15" x14ac:dyDescent="0.25">
      <c r="H1101" s="21" t="s">
        <v>34</v>
      </c>
      <c r="I1101" s="24">
        <v>613447</v>
      </c>
      <c r="J1101" s="20">
        <v>41140</v>
      </c>
      <c r="K1101" s="25">
        <v>790</v>
      </c>
      <c r="L1101" s="25">
        <v>0</v>
      </c>
      <c r="M1101" s="25">
        <v>0</v>
      </c>
      <c r="N1101" s="25">
        <v>0</v>
      </c>
      <c r="O1101" s="25">
        <v>0</v>
      </c>
    </row>
    <row r="1102" spans="8:15" x14ac:dyDescent="0.25">
      <c r="H1102" s="21" t="s">
        <v>34</v>
      </c>
      <c r="I1102" s="24">
        <v>613447</v>
      </c>
      <c r="J1102" s="20">
        <v>41141</v>
      </c>
      <c r="K1102" s="25">
        <v>85</v>
      </c>
      <c r="L1102" s="25">
        <v>0</v>
      </c>
      <c r="M1102" s="25">
        <v>0</v>
      </c>
      <c r="N1102" s="25">
        <v>0</v>
      </c>
      <c r="O1102" s="25">
        <v>0</v>
      </c>
    </row>
    <row r="1103" spans="8:15" x14ac:dyDescent="0.25">
      <c r="H1103" s="21" t="s">
        <v>34</v>
      </c>
      <c r="I1103" s="24">
        <v>613447</v>
      </c>
      <c r="J1103" s="20">
        <v>41141</v>
      </c>
      <c r="K1103" s="25">
        <v>465</v>
      </c>
      <c r="L1103" s="25">
        <v>0</v>
      </c>
      <c r="M1103" s="25">
        <v>0</v>
      </c>
      <c r="N1103" s="25">
        <v>0</v>
      </c>
      <c r="O1103" s="25">
        <v>0</v>
      </c>
    </row>
    <row r="1104" spans="8:15" x14ac:dyDescent="0.25">
      <c r="H1104" s="21" t="s">
        <v>34</v>
      </c>
      <c r="I1104" s="24">
        <v>613447</v>
      </c>
      <c r="J1104" s="20">
        <v>41141</v>
      </c>
      <c r="K1104" s="25">
        <v>466</v>
      </c>
      <c r="L1104" s="25">
        <v>25</v>
      </c>
      <c r="M1104" s="25">
        <v>8464</v>
      </c>
      <c r="N1104" s="25">
        <v>5</v>
      </c>
      <c r="O1104" s="25">
        <v>309</v>
      </c>
    </row>
    <row r="1105" spans="8:15" x14ac:dyDescent="0.25">
      <c r="H1105" s="21" t="s">
        <v>34</v>
      </c>
      <c r="I1105" s="24">
        <v>613447</v>
      </c>
      <c r="J1105" s="20">
        <v>41141</v>
      </c>
      <c r="K1105" s="25">
        <v>467</v>
      </c>
      <c r="L1105" s="25">
        <v>0</v>
      </c>
      <c r="M1105" s="25">
        <v>0</v>
      </c>
      <c r="N1105" s="25">
        <v>0</v>
      </c>
      <c r="O1105" s="25">
        <v>0</v>
      </c>
    </row>
    <row r="1106" spans="8:15" x14ac:dyDescent="0.25">
      <c r="H1106" s="21" t="s">
        <v>34</v>
      </c>
      <c r="I1106" s="24">
        <v>613447</v>
      </c>
      <c r="J1106" s="20">
        <v>41141</v>
      </c>
      <c r="K1106" s="25">
        <v>477</v>
      </c>
      <c r="L1106" s="25">
        <v>15</v>
      </c>
      <c r="M1106" s="25">
        <v>5803</v>
      </c>
      <c r="N1106" s="25">
        <v>0</v>
      </c>
      <c r="O1106" s="25">
        <v>264</v>
      </c>
    </row>
    <row r="1107" spans="8:15" x14ac:dyDescent="0.25">
      <c r="H1107" s="21" t="s">
        <v>34</v>
      </c>
      <c r="I1107" s="24">
        <v>613447</v>
      </c>
      <c r="J1107" s="20">
        <v>41141</v>
      </c>
      <c r="K1107" s="25">
        <v>478</v>
      </c>
      <c r="L1107" s="25">
        <v>2</v>
      </c>
      <c r="M1107" s="25">
        <v>635</v>
      </c>
      <c r="N1107" s="25">
        <v>0</v>
      </c>
      <c r="O1107" s="25">
        <v>49</v>
      </c>
    </row>
    <row r="1108" spans="8:15" x14ac:dyDescent="0.25">
      <c r="H1108" s="21" t="s">
        <v>34</v>
      </c>
      <c r="I1108" s="24">
        <v>613447</v>
      </c>
      <c r="J1108" s="20">
        <v>41141</v>
      </c>
      <c r="K1108" s="25">
        <v>480</v>
      </c>
      <c r="L1108" s="25">
        <v>7</v>
      </c>
      <c r="M1108" s="25">
        <v>1607</v>
      </c>
      <c r="N1108" s="25">
        <v>0</v>
      </c>
      <c r="O1108" s="25">
        <v>115</v>
      </c>
    </row>
    <row r="1109" spans="8:15" x14ac:dyDescent="0.25">
      <c r="H1109" s="21" t="s">
        <v>34</v>
      </c>
      <c r="I1109" s="24">
        <v>613447</v>
      </c>
      <c r="J1109" s="20">
        <v>41141</v>
      </c>
      <c r="K1109" s="25">
        <v>481</v>
      </c>
      <c r="L1109" s="25">
        <v>0</v>
      </c>
      <c r="M1109" s="25">
        <v>0</v>
      </c>
      <c r="N1109" s="25">
        <v>0</v>
      </c>
      <c r="O1109" s="25">
        <v>0</v>
      </c>
    </row>
    <row r="1110" spans="8:15" x14ac:dyDescent="0.25">
      <c r="H1110" s="21" t="s">
        <v>34</v>
      </c>
      <c r="I1110" s="24">
        <v>613447</v>
      </c>
      <c r="J1110" s="20">
        <v>41141</v>
      </c>
      <c r="K1110" s="25">
        <v>482</v>
      </c>
      <c r="L1110" s="25">
        <v>5</v>
      </c>
      <c r="M1110" s="25">
        <v>1760</v>
      </c>
      <c r="N1110" s="25">
        <v>2</v>
      </c>
      <c r="O1110" s="25">
        <v>34</v>
      </c>
    </row>
    <row r="1111" spans="8:15" x14ac:dyDescent="0.25">
      <c r="H1111" s="21" t="s">
        <v>34</v>
      </c>
      <c r="I1111" s="24">
        <v>613447</v>
      </c>
      <c r="J1111" s="20">
        <v>41141</v>
      </c>
      <c r="K1111" s="25">
        <v>790</v>
      </c>
      <c r="L1111" s="25">
        <v>0</v>
      </c>
      <c r="M1111" s="25">
        <v>0</v>
      </c>
      <c r="N1111" s="25">
        <v>0</v>
      </c>
      <c r="O1111" s="25">
        <v>0</v>
      </c>
    </row>
    <row r="1112" spans="8:15" x14ac:dyDescent="0.25">
      <c r="H1112" s="21" t="s">
        <v>34</v>
      </c>
      <c r="I1112" s="24">
        <v>613447</v>
      </c>
      <c r="J1112" s="20">
        <v>41142</v>
      </c>
      <c r="K1112" s="25">
        <v>85</v>
      </c>
      <c r="L1112" s="25">
        <v>0</v>
      </c>
      <c r="M1112" s="25">
        <v>0</v>
      </c>
      <c r="N1112" s="25">
        <v>0</v>
      </c>
      <c r="O1112" s="25">
        <v>0</v>
      </c>
    </row>
    <row r="1113" spans="8:15" x14ac:dyDescent="0.25">
      <c r="H1113" s="21" t="s">
        <v>34</v>
      </c>
      <c r="I1113" s="24">
        <v>613447</v>
      </c>
      <c r="J1113" s="20">
        <v>41142</v>
      </c>
      <c r="K1113" s="25">
        <v>465</v>
      </c>
      <c r="L1113" s="25">
        <v>0</v>
      </c>
      <c r="M1113" s="25">
        <v>0</v>
      </c>
      <c r="N1113" s="25">
        <v>0</v>
      </c>
      <c r="O1113" s="25">
        <v>0</v>
      </c>
    </row>
    <row r="1114" spans="8:15" x14ac:dyDescent="0.25">
      <c r="H1114" s="21" t="s">
        <v>34</v>
      </c>
      <c r="I1114" s="24">
        <v>613447</v>
      </c>
      <c r="J1114" s="20">
        <v>41142</v>
      </c>
      <c r="K1114" s="25">
        <v>466</v>
      </c>
      <c r="L1114" s="25">
        <v>21</v>
      </c>
      <c r="M1114" s="25">
        <v>6714</v>
      </c>
      <c r="N1114" s="25">
        <v>0</v>
      </c>
      <c r="O1114" s="25">
        <v>275</v>
      </c>
    </row>
    <row r="1115" spans="8:15" x14ac:dyDescent="0.25">
      <c r="H1115" s="21" t="s">
        <v>34</v>
      </c>
      <c r="I1115" s="24">
        <v>613447</v>
      </c>
      <c r="J1115" s="20">
        <v>41142</v>
      </c>
      <c r="K1115" s="25">
        <v>467</v>
      </c>
      <c r="L1115" s="25">
        <v>0</v>
      </c>
      <c r="M1115" s="25">
        <v>0</v>
      </c>
      <c r="N1115" s="25">
        <v>0</v>
      </c>
      <c r="O1115" s="25">
        <v>0</v>
      </c>
    </row>
    <row r="1116" spans="8:15" x14ac:dyDescent="0.25">
      <c r="H1116" s="21" t="s">
        <v>34</v>
      </c>
      <c r="I1116" s="24">
        <v>613447</v>
      </c>
      <c r="J1116" s="20">
        <v>41142</v>
      </c>
      <c r="K1116" s="25">
        <v>477</v>
      </c>
      <c r="L1116" s="25">
        <v>27</v>
      </c>
      <c r="M1116" s="25">
        <v>8502</v>
      </c>
      <c r="N1116" s="25">
        <v>5</v>
      </c>
      <c r="O1116" s="25">
        <v>103</v>
      </c>
    </row>
    <row r="1117" spans="8:15" x14ac:dyDescent="0.25">
      <c r="H1117" s="21" t="s">
        <v>34</v>
      </c>
      <c r="I1117" s="24">
        <v>613447</v>
      </c>
      <c r="J1117" s="20">
        <v>41142</v>
      </c>
      <c r="K1117" s="25">
        <v>478</v>
      </c>
      <c r="L1117" s="25">
        <v>2</v>
      </c>
      <c r="M1117" s="25">
        <v>1260</v>
      </c>
      <c r="N1117" s="25">
        <v>0</v>
      </c>
      <c r="O1117" s="25">
        <v>0</v>
      </c>
    </row>
    <row r="1118" spans="8:15" x14ac:dyDescent="0.25">
      <c r="H1118" s="21" t="s">
        <v>34</v>
      </c>
      <c r="I1118" s="24">
        <v>613447</v>
      </c>
      <c r="J1118" s="20">
        <v>41142</v>
      </c>
      <c r="K1118" s="25">
        <v>480</v>
      </c>
      <c r="L1118" s="25">
        <v>6</v>
      </c>
      <c r="M1118" s="25">
        <v>1678</v>
      </c>
      <c r="N1118" s="25">
        <v>0</v>
      </c>
      <c r="O1118" s="25">
        <v>42</v>
      </c>
    </row>
    <row r="1119" spans="8:15" x14ac:dyDescent="0.25">
      <c r="H1119" s="21" t="s">
        <v>34</v>
      </c>
      <c r="I1119" s="24">
        <v>613447</v>
      </c>
      <c r="J1119" s="20">
        <v>41142</v>
      </c>
      <c r="K1119" s="25">
        <v>481</v>
      </c>
      <c r="L1119" s="25">
        <v>0</v>
      </c>
      <c r="M1119" s="25">
        <v>0</v>
      </c>
      <c r="N1119" s="25">
        <v>0</v>
      </c>
      <c r="O1119" s="25">
        <v>0</v>
      </c>
    </row>
    <row r="1120" spans="8:15" x14ac:dyDescent="0.25">
      <c r="H1120" s="21" t="s">
        <v>34</v>
      </c>
      <c r="I1120" s="24">
        <v>613447</v>
      </c>
      <c r="J1120" s="20">
        <v>41142</v>
      </c>
      <c r="K1120" s="25">
        <v>482</v>
      </c>
      <c r="L1120" s="25">
        <v>4</v>
      </c>
      <c r="M1120" s="25">
        <v>1387</v>
      </c>
      <c r="N1120" s="25">
        <v>2</v>
      </c>
      <c r="O1120" s="25">
        <v>18</v>
      </c>
    </row>
    <row r="1121" spans="8:15" x14ac:dyDescent="0.25">
      <c r="H1121" s="21" t="s">
        <v>34</v>
      </c>
      <c r="I1121" s="24">
        <v>613447</v>
      </c>
      <c r="J1121" s="20">
        <v>41142</v>
      </c>
      <c r="K1121" s="25">
        <v>790</v>
      </c>
      <c r="L1121" s="25">
        <v>0</v>
      </c>
      <c r="M1121" s="25">
        <v>0</v>
      </c>
      <c r="N1121" s="25">
        <v>0</v>
      </c>
      <c r="O1121" s="25">
        <v>0</v>
      </c>
    </row>
    <row r="1122" spans="8:15" x14ac:dyDescent="0.25">
      <c r="H1122" s="21" t="s">
        <v>34</v>
      </c>
      <c r="I1122" s="24">
        <v>613447</v>
      </c>
      <c r="J1122" s="20">
        <v>41143</v>
      </c>
      <c r="K1122" s="25">
        <v>85</v>
      </c>
      <c r="L1122" s="25">
        <v>1</v>
      </c>
      <c r="M1122" s="25">
        <v>149</v>
      </c>
      <c r="N1122" s="25">
        <v>0</v>
      </c>
      <c r="O1122" s="25">
        <v>0</v>
      </c>
    </row>
    <row r="1123" spans="8:15" x14ac:dyDescent="0.25">
      <c r="H1123" s="21" t="s">
        <v>34</v>
      </c>
      <c r="I1123" s="24">
        <v>613447</v>
      </c>
      <c r="J1123" s="20">
        <v>41143</v>
      </c>
      <c r="K1123" s="25">
        <v>465</v>
      </c>
      <c r="L1123" s="25">
        <v>0</v>
      </c>
      <c r="M1123" s="25">
        <v>0</v>
      </c>
      <c r="N1123" s="25">
        <v>0</v>
      </c>
      <c r="O1123" s="25">
        <v>0</v>
      </c>
    </row>
    <row r="1124" spans="8:15" x14ac:dyDescent="0.25">
      <c r="H1124" s="21" t="s">
        <v>34</v>
      </c>
      <c r="I1124" s="24">
        <v>613447</v>
      </c>
      <c r="J1124" s="20">
        <v>41143</v>
      </c>
      <c r="K1124" s="25">
        <v>466</v>
      </c>
      <c r="L1124" s="25">
        <v>13</v>
      </c>
      <c r="M1124" s="25">
        <v>2890</v>
      </c>
      <c r="N1124" s="25">
        <v>0</v>
      </c>
      <c r="O1124" s="25">
        <v>59</v>
      </c>
    </row>
    <row r="1125" spans="8:15" x14ac:dyDescent="0.25">
      <c r="H1125" s="21" t="s">
        <v>34</v>
      </c>
      <c r="I1125" s="24">
        <v>613447</v>
      </c>
      <c r="J1125" s="20">
        <v>41143</v>
      </c>
      <c r="K1125" s="25">
        <v>477</v>
      </c>
      <c r="L1125" s="25">
        <v>26</v>
      </c>
      <c r="M1125" s="25">
        <v>8579</v>
      </c>
      <c r="N1125" s="25">
        <v>3</v>
      </c>
      <c r="O1125" s="25">
        <v>703</v>
      </c>
    </row>
    <row r="1126" spans="8:15" x14ac:dyDescent="0.25">
      <c r="H1126" s="21" t="s">
        <v>34</v>
      </c>
      <c r="I1126" s="24">
        <v>613447</v>
      </c>
      <c r="J1126" s="20">
        <v>41143</v>
      </c>
      <c r="K1126" s="25">
        <v>478</v>
      </c>
      <c r="L1126" s="25">
        <v>4</v>
      </c>
      <c r="M1126" s="25">
        <v>1232</v>
      </c>
      <c r="N1126" s="25">
        <v>0</v>
      </c>
      <c r="O1126" s="25">
        <v>0</v>
      </c>
    </row>
    <row r="1127" spans="8:15" x14ac:dyDescent="0.25">
      <c r="H1127" s="21" t="s">
        <v>34</v>
      </c>
      <c r="I1127" s="24">
        <v>613447</v>
      </c>
      <c r="J1127" s="20">
        <v>41143</v>
      </c>
      <c r="K1127" s="25">
        <v>480</v>
      </c>
      <c r="L1127" s="25">
        <v>6</v>
      </c>
      <c r="M1127" s="25">
        <v>2683</v>
      </c>
      <c r="N1127" s="25">
        <v>0</v>
      </c>
      <c r="O1127" s="25">
        <v>53</v>
      </c>
    </row>
    <row r="1128" spans="8:15" x14ac:dyDescent="0.25">
      <c r="H1128" s="21" t="s">
        <v>34</v>
      </c>
      <c r="I1128" s="24">
        <v>613447</v>
      </c>
      <c r="J1128" s="20">
        <v>41143</v>
      </c>
      <c r="K1128" s="25">
        <v>481</v>
      </c>
      <c r="L1128" s="25">
        <v>1</v>
      </c>
      <c r="M1128" s="25">
        <v>252</v>
      </c>
      <c r="N1128" s="25">
        <v>0</v>
      </c>
      <c r="O1128" s="25">
        <v>58</v>
      </c>
    </row>
    <row r="1129" spans="8:15" x14ac:dyDescent="0.25">
      <c r="H1129" s="21" t="s">
        <v>34</v>
      </c>
      <c r="I1129" s="24">
        <v>613447</v>
      </c>
      <c r="J1129" s="20">
        <v>41143</v>
      </c>
      <c r="K1129" s="25">
        <v>482</v>
      </c>
      <c r="L1129" s="25">
        <v>8</v>
      </c>
      <c r="M1129" s="25">
        <v>1904</v>
      </c>
      <c r="N1129" s="25">
        <v>0</v>
      </c>
      <c r="O1129" s="25">
        <v>76</v>
      </c>
    </row>
    <row r="1130" spans="8:15" x14ac:dyDescent="0.25">
      <c r="H1130" s="21" t="s">
        <v>34</v>
      </c>
      <c r="I1130" s="24">
        <v>613447</v>
      </c>
      <c r="J1130" s="20">
        <v>41143</v>
      </c>
      <c r="K1130" s="25">
        <v>790</v>
      </c>
      <c r="L1130" s="25">
        <v>0</v>
      </c>
      <c r="M1130" s="25">
        <v>0</v>
      </c>
      <c r="N1130" s="25">
        <v>0</v>
      </c>
      <c r="O1130" s="25">
        <v>0</v>
      </c>
    </row>
    <row r="1131" spans="8:15" x14ac:dyDescent="0.25">
      <c r="H1131" s="21" t="s">
        <v>34</v>
      </c>
      <c r="I1131" s="24">
        <v>613447</v>
      </c>
      <c r="J1131" s="20">
        <v>41144</v>
      </c>
      <c r="K1131" s="25">
        <v>85</v>
      </c>
      <c r="L1131" s="25">
        <v>0</v>
      </c>
      <c r="M1131" s="25">
        <v>0</v>
      </c>
      <c r="N1131" s="25">
        <v>0</v>
      </c>
      <c r="O1131" s="25">
        <v>0</v>
      </c>
    </row>
    <row r="1132" spans="8:15" x14ac:dyDescent="0.25">
      <c r="H1132" s="21" t="s">
        <v>34</v>
      </c>
      <c r="I1132" s="24">
        <v>613447</v>
      </c>
      <c r="J1132" s="20">
        <v>41144</v>
      </c>
      <c r="K1132" s="25">
        <v>465</v>
      </c>
      <c r="L1132" s="25">
        <v>0</v>
      </c>
      <c r="M1132" s="25">
        <v>0</v>
      </c>
      <c r="N1132" s="25">
        <v>0</v>
      </c>
      <c r="O1132" s="25">
        <v>0</v>
      </c>
    </row>
    <row r="1133" spans="8:15" x14ac:dyDescent="0.25">
      <c r="H1133" s="21" t="s">
        <v>34</v>
      </c>
      <c r="I1133" s="24">
        <v>613447</v>
      </c>
      <c r="J1133" s="20">
        <v>41144</v>
      </c>
      <c r="K1133" s="25">
        <v>466</v>
      </c>
      <c r="L1133" s="25">
        <v>28</v>
      </c>
      <c r="M1133" s="25">
        <v>8775</v>
      </c>
      <c r="N1133" s="25">
        <v>10</v>
      </c>
      <c r="O1133" s="25">
        <v>565</v>
      </c>
    </row>
    <row r="1134" spans="8:15" x14ac:dyDescent="0.25">
      <c r="H1134" s="21" t="s">
        <v>34</v>
      </c>
      <c r="I1134" s="24">
        <v>613447</v>
      </c>
      <c r="J1134" s="20">
        <v>41144</v>
      </c>
      <c r="K1134" s="25">
        <v>477</v>
      </c>
      <c r="L1134" s="25">
        <v>14</v>
      </c>
      <c r="M1134" s="25">
        <v>3239</v>
      </c>
      <c r="N1134" s="25">
        <v>0</v>
      </c>
      <c r="O1134" s="25">
        <v>121</v>
      </c>
    </row>
    <row r="1135" spans="8:15" x14ac:dyDescent="0.25">
      <c r="H1135" s="21" t="s">
        <v>34</v>
      </c>
      <c r="I1135" s="24">
        <v>613447</v>
      </c>
      <c r="J1135" s="20">
        <v>41144</v>
      </c>
      <c r="K1135" s="25">
        <v>478</v>
      </c>
      <c r="L1135" s="25">
        <v>4</v>
      </c>
      <c r="M1135" s="25">
        <v>1276</v>
      </c>
      <c r="N1135" s="25">
        <v>0</v>
      </c>
      <c r="O1135" s="25">
        <v>24</v>
      </c>
    </row>
    <row r="1136" spans="8:15" x14ac:dyDescent="0.25">
      <c r="H1136" s="21" t="s">
        <v>34</v>
      </c>
      <c r="I1136" s="24">
        <v>613447</v>
      </c>
      <c r="J1136" s="20">
        <v>41144</v>
      </c>
      <c r="K1136" s="25">
        <v>480</v>
      </c>
      <c r="L1136" s="25">
        <v>5</v>
      </c>
      <c r="M1136" s="25">
        <v>1244</v>
      </c>
      <c r="N1136" s="25">
        <v>0</v>
      </c>
      <c r="O1136" s="25">
        <v>130</v>
      </c>
    </row>
    <row r="1137" spans="8:15" x14ac:dyDescent="0.25">
      <c r="H1137" s="21" t="s">
        <v>34</v>
      </c>
      <c r="I1137" s="24">
        <v>613447</v>
      </c>
      <c r="J1137" s="20">
        <v>41144</v>
      </c>
      <c r="K1137" s="25">
        <v>481</v>
      </c>
      <c r="L1137" s="25">
        <v>0</v>
      </c>
      <c r="M1137" s="25">
        <v>0</v>
      </c>
      <c r="N1137" s="25">
        <v>0</v>
      </c>
      <c r="O1137" s="25">
        <v>0</v>
      </c>
    </row>
    <row r="1138" spans="8:15" x14ac:dyDescent="0.25">
      <c r="H1138" s="21" t="s">
        <v>34</v>
      </c>
      <c r="I1138" s="24">
        <v>613447</v>
      </c>
      <c r="J1138" s="20">
        <v>41144</v>
      </c>
      <c r="K1138" s="25">
        <v>482</v>
      </c>
      <c r="L1138" s="25">
        <v>11</v>
      </c>
      <c r="M1138" s="25">
        <v>2736</v>
      </c>
      <c r="N1138" s="25">
        <v>0</v>
      </c>
      <c r="O1138" s="25">
        <v>94</v>
      </c>
    </row>
    <row r="1139" spans="8:15" x14ac:dyDescent="0.25">
      <c r="H1139" s="21" t="s">
        <v>34</v>
      </c>
      <c r="I1139" s="24">
        <v>613447</v>
      </c>
      <c r="J1139" s="20">
        <v>41144</v>
      </c>
      <c r="K1139" s="25">
        <v>790</v>
      </c>
      <c r="L1139" s="25">
        <v>0</v>
      </c>
      <c r="M1139" s="25">
        <v>0</v>
      </c>
      <c r="N1139" s="25">
        <v>0</v>
      </c>
      <c r="O1139" s="25">
        <v>0</v>
      </c>
    </row>
    <row r="1140" spans="8:15" x14ac:dyDescent="0.25">
      <c r="H1140" s="21" t="s">
        <v>34</v>
      </c>
      <c r="I1140" s="24">
        <v>613447</v>
      </c>
      <c r="J1140" s="20">
        <v>41145</v>
      </c>
      <c r="K1140" s="25">
        <v>85</v>
      </c>
      <c r="L1140" s="25">
        <v>0</v>
      </c>
      <c r="M1140" s="25">
        <v>0</v>
      </c>
      <c r="N1140" s="25">
        <v>0</v>
      </c>
      <c r="O1140" s="25">
        <v>0</v>
      </c>
    </row>
    <row r="1141" spans="8:15" x14ac:dyDescent="0.25">
      <c r="H1141" s="21" t="s">
        <v>34</v>
      </c>
      <c r="I1141" s="24">
        <v>613447</v>
      </c>
      <c r="J1141" s="20">
        <v>41145</v>
      </c>
      <c r="K1141" s="25">
        <v>465</v>
      </c>
      <c r="L1141" s="25">
        <v>0</v>
      </c>
      <c r="M1141" s="25">
        <v>0</v>
      </c>
      <c r="N1141" s="25">
        <v>0</v>
      </c>
      <c r="O1141" s="25">
        <v>0</v>
      </c>
    </row>
    <row r="1142" spans="8:15" x14ac:dyDescent="0.25">
      <c r="H1142" s="21" t="s">
        <v>34</v>
      </c>
      <c r="I1142" s="24">
        <v>613447</v>
      </c>
      <c r="J1142" s="20">
        <v>41145</v>
      </c>
      <c r="K1142" s="25">
        <v>466</v>
      </c>
      <c r="L1142" s="25">
        <v>23</v>
      </c>
      <c r="M1142" s="25">
        <v>7777</v>
      </c>
      <c r="N1142" s="25">
        <v>0</v>
      </c>
      <c r="O1142" s="25">
        <v>333</v>
      </c>
    </row>
    <row r="1143" spans="8:15" x14ac:dyDescent="0.25">
      <c r="H1143" s="21" t="s">
        <v>34</v>
      </c>
      <c r="I1143" s="24">
        <v>613447</v>
      </c>
      <c r="J1143" s="20">
        <v>41145</v>
      </c>
      <c r="K1143" s="25">
        <v>477</v>
      </c>
      <c r="L1143" s="25">
        <v>9</v>
      </c>
      <c r="M1143" s="25">
        <v>3305</v>
      </c>
      <c r="N1143" s="25">
        <v>0</v>
      </c>
      <c r="O1143" s="25">
        <v>48</v>
      </c>
    </row>
    <row r="1144" spans="8:15" x14ac:dyDescent="0.25">
      <c r="H1144" s="21" t="s">
        <v>34</v>
      </c>
      <c r="I1144" s="24">
        <v>613447</v>
      </c>
      <c r="J1144" s="20">
        <v>41145</v>
      </c>
      <c r="K1144" s="25">
        <v>478</v>
      </c>
      <c r="L1144" s="25">
        <v>1</v>
      </c>
      <c r="M1144" s="25">
        <v>219</v>
      </c>
      <c r="N1144" s="25">
        <v>0</v>
      </c>
      <c r="O1144" s="25">
        <v>0</v>
      </c>
    </row>
    <row r="1145" spans="8:15" x14ac:dyDescent="0.25">
      <c r="H1145" s="21" t="s">
        <v>34</v>
      </c>
      <c r="I1145" s="24">
        <v>613447</v>
      </c>
      <c r="J1145" s="20">
        <v>41145</v>
      </c>
      <c r="K1145" s="25">
        <v>480</v>
      </c>
      <c r="L1145" s="25">
        <v>2</v>
      </c>
      <c r="M1145" s="25">
        <v>739</v>
      </c>
      <c r="N1145" s="25">
        <v>0</v>
      </c>
      <c r="O1145" s="25">
        <v>0</v>
      </c>
    </row>
    <row r="1146" spans="8:15" x14ac:dyDescent="0.25">
      <c r="H1146" s="21" t="s">
        <v>34</v>
      </c>
      <c r="I1146" s="24">
        <v>613447</v>
      </c>
      <c r="J1146" s="20">
        <v>41145</v>
      </c>
      <c r="K1146" s="25">
        <v>481</v>
      </c>
      <c r="L1146" s="25">
        <v>0</v>
      </c>
      <c r="M1146" s="25">
        <v>0</v>
      </c>
      <c r="N1146" s="25">
        <v>0</v>
      </c>
      <c r="O1146" s="25">
        <v>0</v>
      </c>
    </row>
    <row r="1147" spans="8:15" x14ac:dyDescent="0.25">
      <c r="H1147" s="21" t="s">
        <v>34</v>
      </c>
      <c r="I1147" s="24">
        <v>613447</v>
      </c>
      <c r="J1147" s="20">
        <v>41145</v>
      </c>
      <c r="K1147" s="25">
        <v>482</v>
      </c>
      <c r="L1147" s="25">
        <v>14</v>
      </c>
      <c r="M1147" s="25">
        <v>4432</v>
      </c>
      <c r="N1147" s="25">
        <v>38</v>
      </c>
      <c r="O1147" s="25">
        <v>50</v>
      </c>
    </row>
    <row r="1148" spans="8:15" x14ac:dyDescent="0.25">
      <c r="H1148" s="21" t="s">
        <v>34</v>
      </c>
      <c r="I1148" s="24">
        <v>613447</v>
      </c>
      <c r="J1148" s="20">
        <v>41145</v>
      </c>
      <c r="K1148" s="25">
        <v>790</v>
      </c>
      <c r="L1148" s="25">
        <v>0</v>
      </c>
      <c r="M1148" s="25">
        <v>0</v>
      </c>
      <c r="N1148" s="25">
        <v>0</v>
      </c>
      <c r="O1148" s="25">
        <v>0</v>
      </c>
    </row>
    <row r="1149" spans="8:15" x14ac:dyDescent="0.25">
      <c r="H1149" s="21" t="s">
        <v>34</v>
      </c>
      <c r="I1149" s="24">
        <v>613447</v>
      </c>
      <c r="J1149" s="20">
        <v>41146</v>
      </c>
      <c r="K1149" s="25">
        <v>85</v>
      </c>
      <c r="L1149" s="25">
        <v>0</v>
      </c>
      <c r="M1149" s="25">
        <v>0</v>
      </c>
      <c r="N1149" s="25">
        <v>0</v>
      </c>
      <c r="O1149" s="25">
        <v>0</v>
      </c>
    </row>
    <row r="1150" spans="8:15" x14ac:dyDescent="0.25">
      <c r="H1150" s="21" t="s">
        <v>34</v>
      </c>
      <c r="I1150" s="24">
        <v>613447</v>
      </c>
      <c r="J1150" s="20">
        <v>41146</v>
      </c>
      <c r="K1150" s="25">
        <v>465</v>
      </c>
      <c r="L1150" s="25">
        <v>0</v>
      </c>
      <c r="M1150" s="25">
        <v>0</v>
      </c>
      <c r="N1150" s="25">
        <v>0</v>
      </c>
      <c r="O1150" s="25">
        <v>0</v>
      </c>
    </row>
    <row r="1151" spans="8:15" x14ac:dyDescent="0.25">
      <c r="H1151" s="21" t="s">
        <v>34</v>
      </c>
      <c r="I1151" s="24">
        <v>613447</v>
      </c>
      <c r="J1151" s="20">
        <v>41146</v>
      </c>
      <c r="K1151" s="25">
        <v>466</v>
      </c>
      <c r="L1151" s="25">
        <v>3</v>
      </c>
      <c r="M1151" s="25">
        <v>888</v>
      </c>
      <c r="N1151" s="25">
        <v>0</v>
      </c>
      <c r="O1151" s="25">
        <v>0</v>
      </c>
    </row>
    <row r="1152" spans="8:15" x14ac:dyDescent="0.25">
      <c r="H1152" s="21" t="s">
        <v>34</v>
      </c>
      <c r="I1152" s="24">
        <v>613447</v>
      </c>
      <c r="J1152" s="20">
        <v>41146</v>
      </c>
      <c r="K1152" s="25">
        <v>467</v>
      </c>
      <c r="L1152" s="25">
        <v>0</v>
      </c>
      <c r="M1152" s="25">
        <v>0</v>
      </c>
      <c r="N1152" s="25">
        <v>0</v>
      </c>
      <c r="O1152" s="25">
        <v>0</v>
      </c>
    </row>
    <row r="1153" spans="8:15" x14ac:dyDescent="0.25">
      <c r="H1153" s="21" t="s">
        <v>34</v>
      </c>
      <c r="I1153" s="24">
        <v>613447</v>
      </c>
      <c r="J1153" s="20">
        <v>41146</v>
      </c>
      <c r="K1153" s="25">
        <v>477</v>
      </c>
      <c r="L1153" s="25">
        <v>44</v>
      </c>
      <c r="M1153" s="25">
        <v>9636</v>
      </c>
      <c r="N1153" s="25">
        <v>0</v>
      </c>
      <c r="O1153" s="25">
        <v>0</v>
      </c>
    </row>
    <row r="1154" spans="8:15" x14ac:dyDescent="0.25">
      <c r="H1154" s="21" t="s">
        <v>34</v>
      </c>
      <c r="I1154" s="24">
        <v>613447</v>
      </c>
      <c r="J1154" s="20">
        <v>41146</v>
      </c>
      <c r="K1154" s="25">
        <v>478</v>
      </c>
      <c r="L1154" s="25">
        <v>9</v>
      </c>
      <c r="M1154" s="25">
        <v>2612</v>
      </c>
      <c r="N1154" s="25">
        <v>0</v>
      </c>
      <c r="O1154" s="25">
        <v>0</v>
      </c>
    </row>
    <row r="1155" spans="8:15" x14ac:dyDescent="0.25">
      <c r="H1155" s="21" t="s">
        <v>34</v>
      </c>
      <c r="I1155" s="24">
        <v>613447</v>
      </c>
      <c r="J1155" s="20">
        <v>41146</v>
      </c>
      <c r="K1155" s="25">
        <v>480</v>
      </c>
      <c r="L1155" s="25">
        <v>14</v>
      </c>
      <c r="M1155" s="25">
        <v>3501</v>
      </c>
      <c r="N1155" s="25">
        <v>0</v>
      </c>
      <c r="O1155" s="25">
        <v>0</v>
      </c>
    </row>
    <row r="1156" spans="8:15" x14ac:dyDescent="0.25">
      <c r="H1156" s="21" t="s">
        <v>34</v>
      </c>
      <c r="I1156" s="24">
        <v>613447</v>
      </c>
      <c r="J1156" s="20">
        <v>41146</v>
      </c>
      <c r="K1156" s="25">
        <v>481</v>
      </c>
      <c r="L1156" s="25">
        <v>0</v>
      </c>
      <c r="M1156" s="25">
        <v>0</v>
      </c>
      <c r="N1156" s="25">
        <v>0</v>
      </c>
      <c r="O1156" s="25">
        <v>0</v>
      </c>
    </row>
    <row r="1157" spans="8:15" x14ac:dyDescent="0.25">
      <c r="H1157" s="21" t="s">
        <v>34</v>
      </c>
      <c r="I1157" s="24">
        <v>613447</v>
      </c>
      <c r="J1157" s="20">
        <v>41146</v>
      </c>
      <c r="K1157" s="25">
        <v>482</v>
      </c>
      <c r="L1157" s="25">
        <v>16</v>
      </c>
      <c r="M1157" s="25">
        <v>3939</v>
      </c>
      <c r="N1157" s="25">
        <v>4</v>
      </c>
      <c r="O1157" s="25">
        <v>0</v>
      </c>
    </row>
    <row r="1158" spans="8:15" x14ac:dyDescent="0.25">
      <c r="H1158" s="21" t="s">
        <v>34</v>
      </c>
      <c r="I1158" s="24">
        <v>613447</v>
      </c>
      <c r="J1158" s="20">
        <v>41146</v>
      </c>
      <c r="K1158" s="25">
        <v>790</v>
      </c>
      <c r="L1158" s="25">
        <v>0</v>
      </c>
      <c r="M1158" s="25">
        <v>0</v>
      </c>
      <c r="N1158" s="25">
        <v>0</v>
      </c>
      <c r="O1158" s="25">
        <v>0</v>
      </c>
    </row>
    <row r="1159" spans="8:15" x14ac:dyDescent="0.25">
      <c r="H1159" s="21" t="s">
        <v>34</v>
      </c>
      <c r="I1159" s="24">
        <v>613447</v>
      </c>
      <c r="J1159" s="20">
        <v>41148</v>
      </c>
      <c r="K1159" s="25">
        <v>85</v>
      </c>
      <c r="L1159" s="25">
        <v>0</v>
      </c>
      <c r="M1159" s="25">
        <v>0</v>
      </c>
      <c r="N1159" s="25">
        <v>0</v>
      </c>
      <c r="O1159" s="25">
        <v>0</v>
      </c>
    </row>
    <row r="1160" spans="8:15" x14ac:dyDescent="0.25">
      <c r="H1160" s="21" t="s">
        <v>34</v>
      </c>
      <c r="I1160" s="24">
        <v>613447</v>
      </c>
      <c r="J1160" s="20">
        <v>41148</v>
      </c>
      <c r="K1160" s="25">
        <v>465</v>
      </c>
      <c r="L1160" s="25">
        <v>0</v>
      </c>
      <c r="M1160" s="25">
        <v>0</v>
      </c>
      <c r="N1160" s="25">
        <v>0</v>
      </c>
      <c r="O1160" s="25">
        <v>0</v>
      </c>
    </row>
    <row r="1161" spans="8:15" x14ac:dyDescent="0.25">
      <c r="H1161" s="21" t="s">
        <v>34</v>
      </c>
      <c r="I1161" s="24">
        <v>613447</v>
      </c>
      <c r="J1161" s="20">
        <v>41148</v>
      </c>
      <c r="K1161" s="25">
        <v>466</v>
      </c>
      <c r="L1161" s="25">
        <v>3</v>
      </c>
      <c r="M1161" s="25">
        <v>709</v>
      </c>
      <c r="N1161" s="25">
        <v>0</v>
      </c>
      <c r="O1161" s="25">
        <v>0</v>
      </c>
    </row>
    <row r="1162" spans="8:15" x14ac:dyDescent="0.25">
      <c r="H1162" s="21" t="s">
        <v>34</v>
      </c>
      <c r="I1162" s="24">
        <v>613447</v>
      </c>
      <c r="J1162" s="20">
        <v>41148</v>
      </c>
      <c r="K1162" s="25">
        <v>467</v>
      </c>
      <c r="L1162" s="25">
        <v>0</v>
      </c>
      <c r="M1162" s="25">
        <v>0</v>
      </c>
      <c r="N1162" s="25">
        <v>0</v>
      </c>
      <c r="O1162" s="25">
        <v>0</v>
      </c>
    </row>
    <row r="1163" spans="8:15" x14ac:dyDescent="0.25">
      <c r="H1163" s="21" t="s">
        <v>34</v>
      </c>
      <c r="I1163" s="24">
        <v>613447</v>
      </c>
      <c r="J1163" s="20">
        <v>41148</v>
      </c>
      <c r="K1163" s="25">
        <v>477</v>
      </c>
      <c r="L1163" s="25">
        <v>1</v>
      </c>
      <c r="M1163" s="25">
        <v>328</v>
      </c>
      <c r="N1163" s="25">
        <v>0</v>
      </c>
      <c r="O1163" s="25">
        <v>0</v>
      </c>
    </row>
    <row r="1164" spans="8:15" x14ac:dyDescent="0.25">
      <c r="H1164" s="21" t="s">
        <v>34</v>
      </c>
      <c r="I1164" s="24">
        <v>613447</v>
      </c>
      <c r="J1164" s="20">
        <v>41148</v>
      </c>
      <c r="K1164" s="25">
        <v>478</v>
      </c>
      <c r="L1164" s="25">
        <v>66</v>
      </c>
      <c r="M1164" s="25">
        <v>14475</v>
      </c>
      <c r="N1164" s="25">
        <v>9</v>
      </c>
      <c r="O1164" s="25">
        <v>375</v>
      </c>
    </row>
    <row r="1165" spans="8:15" x14ac:dyDescent="0.25">
      <c r="H1165" s="21" t="s">
        <v>34</v>
      </c>
      <c r="I1165" s="24">
        <v>613447</v>
      </c>
      <c r="J1165" s="20">
        <v>41148</v>
      </c>
      <c r="K1165" s="25">
        <v>480</v>
      </c>
      <c r="L1165" s="25">
        <v>0</v>
      </c>
      <c r="M1165" s="25">
        <v>0</v>
      </c>
      <c r="N1165" s="25">
        <v>0</v>
      </c>
      <c r="O1165" s="25">
        <v>0</v>
      </c>
    </row>
    <row r="1166" spans="8:15" x14ac:dyDescent="0.25">
      <c r="H1166" s="21" t="s">
        <v>34</v>
      </c>
      <c r="I1166" s="24">
        <v>613447</v>
      </c>
      <c r="J1166" s="20">
        <v>41148</v>
      </c>
      <c r="K1166" s="25">
        <v>481</v>
      </c>
      <c r="L1166" s="25">
        <v>0</v>
      </c>
      <c r="M1166" s="25">
        <v>0</v>
      </c>
      <c r="N1166" s="25">
        <v>0</v>
      </c>
      <c r="O1166" s="25">
        <v>0</v>
      </c>
    </row>
    <row r="1167" spans="8:15" x14ac:dyDescent="0.25">
      <c r="H1167" s="21" t="s">
        <v>34</v>
      </c>
      <c r="I1167" s="24">
        <v>613447</v>
      </c>
      <c r="J1167" s="20">
        <v>41148</v>
      </c>
      <c r="K1167" s="25">
        <v>482</v>
      </c>
      <c r="L1167" s="25">
        <v>16</v>
      </c>
      <c r="M1167" s="25">
        <v>3354</v>
      </c>
      <c r="N1167" s="25">
        <v>0</v>
      </c>
      <c r="O1167" s="25">
        <v>119</v>
      </c>
    </row>
    <row r="1168" spans="8:15" x14ac:dyDescent="0.25">
      <c r="H1168" s="21" t="s">
        <v>34</v>
      </c>
      <c r="I1168" s="24">
        <v>613447</v>
      </c>
      <c r="J1168" s="20">
        <v>41148</v>
      </c>
      <c r="K1168" s="25">
        <v>790</v>
      </c>
      <c r="L1168" s="25">
        <v>0</v>
      </c>
      <c r="M1168" s="25">
        <v>0</v>
      </c>
      <c r="N1168" s="25">
        <v>0</v>
      </c>
      <c r="O1168" s="25">
        <v>0</v>
      </c>
    </row>
    <row r="1169" spans="8:15" x14ac:dyDescent="0.25">
      <c r="H1169" s="21" t="s">
        <v>34</v>
      </c>
      <c r="I1169" s="24">
        <v>613447</v>
      </c>
      <c r="J1169" s="20">
        <v>41149</v>
      </c>
      <c r="K1169" s="25">
        <v>85</v>
      </c>
      <c r="L1169" s="25">
        <v>0</v>
      </c>
      <c r="M1169" s="25">
        <v>0</v>
      </c>
      <c r="N1169" s="25">
        <v>0</v>
      </c>
      <c r="O1169" s="25">
        <v>0</v>
      </c>
    </row>
    <row r="1170" spans="8:15" x14ac:dyDescent="0.25">
      <c r="H1170" s="21" t="s">
        <v>34</v>
      </c>
      <c r="I1170" s="24">
        <v>613447</v>
      </c>
      <c r="J1170" s="20">
        <v>41149</v>
      </c>
      <c r="K1170" s="25">
        <v>465</v>
      </c>
      <c r="L1170" s="25">
        <v>0</v>
      </c>
      <c r="M1170" s="25">
        <v>0</v>
      </c>
      <c r="N1170" s="25">
        <v>0</v>
      </c>
      <c r="O1170" s="25">
        <v>0</v>
      </c>
    </row>
    <row r="1171" spans="8:15" x14ac:dyDescent="0.25">
      <c r="H1171" s="21" t="s">
        <v>34</v>
      </c>
      <c r="I1171" s="24">
        <v>613447</v>
      </c>
      <c r="J1171" s="20">
        <v>41149</v>
      </c>
      <c r="K1171" s="25">
        <v>466</v>
      </c>
      <c r="L1171" s="25">
        <v>2</v>
      </c>
      <c r="M1171" s="25">
        <v>1121</v>
      </c>
      <c r="N1171" s="25">
        <v>0</v>
      </c>
      <c r="O1171" s="25">
        <v>0</v>
      </c>
    </row>
    <row r="1172" spans="8:15" x14ac:dyDescent="0.25">
      <c r="H1172" s="21" t="s">
        <v>34</v>
      </c>
      <c r="I1172" s="24">
        <v>613447</v>
      </c>
      <c r="J1172" s="20">
        <v>41149</v>
      </c>
      <c r="K1172" s="25">
        <v>467</v>
      </c>
      <c r="L1172" s="25">
        <v>0</v>
      </c>
      <c r="M1172" s="25">
        <v>0</v>
      </c>
      <c r="N1172" s="25">
        <v>0</v>
      </c>
      <c r="O1172" s="25">
        <v>0</v>
      </c>
    </row>
    <row r="1173" spans="8:15" x14ac:dyDescent="0.25">
      <c r="H1173" s="21" t="s">
        <v>34</v>
      </c>
      <c r="I1173" s="24">
        <v>613447</v>
      </c>
      <c r="J1173" s="20">
        <v>41149</v>
      </c>
      <c r="K1173" s="25">
        <v>477</v>
      </c>
      <c r="L1173" s="25">
        <v>2</v>
      </c>
      <c r="M1173" s="25">
        <v>85</v>
      </c>
      <c r="N1173" s="25">
        <v>0</v>
      </c>
      <c r="O1173" s="25">
        <v>0</v>
      </c>
    </row>
    <row r="1174" spans="8:15" x14ac:dyDescent="0.25">
      <c r="H1174" s="21" t="s">
        <v>34</v>
      </c>
      <c r="I1174" s="24">
        <v>613447</v>
      </c>
      <c r="J1174" s="20">
        <v>41149</v>
      </c>
      <c r="K1174" s="25">
        <v>478</v>
      </c>
      <c r="L1174" s="25">
        <v>46</v>
      </c>
      <c r="M1174" s="25">
        <v>12525</v>
      </c>
      <c r="N1174" s="25">
        <v>0</v>
      </c>
      <c r="O1174" s="25">
        <v>180</v>
      </c>
    </row>
    <row r="1175" spans="8:15" x14ac:dyDescent="0.25">
      <c r="H1175" s="21" t="s">
        <v>34</v>
      </c>
      <c r="I1175" s="24">
        <v>613447</v>
      </c>
      <c r="J1175" s="20">
        <v>41149</v>
      </c>
      <c r="K1175" s="25">
        <v>480</v>
      </c>
      <c r="L1175" s="25">
        <v>2</v>
      </c>
      <c r="M1175" s="25">
        <v>300</v>
      </c>
      <c r="N1175" s="25">
        <v>0</v>
      </c>
      <c r="O1175" s="25">
        <v>0</v>
      </c>
    </row>
    <row r="1176" spans="8:15" x14ac:dyDescent="0.25">
      <c r="H1176" s="21" t="s">
        <v>34</v>
      </c>
      <c r="I1176" s="24">
        <v>613447</v>
      </c>
      <c r="J1176" s="20">
        <v>41149</v>
      </c>
      <c r="K1176" s="25">
        <v>481</v>
      </c>
      <c r="L1176" s="25">
        <v>0</v>
      </c>
      <c r="M1176" s="25">
        <v>0</v>
      </c>
      <c r="N1176" s="25">
        <v>0</v>
      </c>
      <c r="O1176" s="25">
        <v>0</v>
      </c>
    </row>
    <row r="1177" spans="8:15" x14ac:dyDescent="0.25">
      <c r="H1177" s="21" t="s">
        <v>34</v>
      </c>
      <c r="I1177" s="24">
        <v>613447</v>
      </c>
      <c r="J1177" s="20">
        <v>41149</v>
      </c>
      <c r="K1177" s="25">
        <v>482</v>
      </c>
      <c r="L1177" s="25">
        <v>16</v>
      </c>
      <c r="M1177" s="25">
        <v>5682</v>
      </c>
      <c r="N1177" s="25">
        <v>0</v>
      </c>
      <c r="O1177" s="25">
        <v>118</v>
      </c>
    </row>
    <row r="1178" spans="8:15" x14ac:dyDescent="0.25">
      <c r="H1178" s="21" t="s">
        <v>34</v>
      </c>
      <c r="I1178" s="24">
        <v>613447</v>
      </c>
      <c r="J1178" s="20">
        <v>41149</v>
      </c>
      <c r="K1178" s="25">
        <v>790</v>
      </c>
      <c r="L1178" s="25">
        <v>0</v>
      </c>
      <c r="M1178" s="25">
        <v>0</v>
      </c>
      <c r="N1178" s="25">
        <v>0</v>
      </c>
      <c r="O1178" s="25">
        <v>0</v>
      </c>
    </row>
    <row r="1179" spans="8:15" x14ac:dyDescent="0.25">
      <c r="H1179" s="21" t="s">
        <v>34</v>
      </c>
      <c r="I1179" s="24">
        <v>613447</v>
      </c>
      <c r="J1179" s="20">
        <v>41150</v>
      </c>
      <c r="K1179" s="25">
        <v>85</v>
      </c>
      <c r="L1179" s="25">
        <v>0</v>
      </c>
      <c r="M1179" s="25">
        <v>0</v>
      </c>
      <c r="N1179" s="25">
        <v>0</v>
      </c>
      <c r="O1179" s="25">
        <v>0</v>
      </c>
    </row>
    <row r="1180" spans="8:15" x14ac:dyDescent="0.25">
      <c r="H1180" s="21" t="s">
        <v>34</v>
      </c>
      <c r="I1180" s="24">
        <v>613447</v>
      </c>
      <c r="J1180" s="20">
        <v>41150</v>
      </c>
      <c r="K1180" s="25">
        <v>465</v>
      </c>
      <c r="L1180" s="25">
        <v>0</v>
      </c>
      <c r="M1180" s="25">
        <v>0</v>
      </c>
      <c r="N1180" s="25">
        <v>0</v>
      </c>
      <c r="O1180" s="25">
        <v>0</v>
      </c>
    </row>
    <row r="1181" spans="8:15" x14ac:dyDescent="0.25">
      <c r="H1181" s="21" t="s">
        <v>34</v>
      </c>
      <c r="I1181" s="24">
        <v>613447</v>
      </c>
      <c r="J1181" s="20">
        <v>41150</v>
      </c>
      <c r="K1181" s="25">
        <v>466</v>
      </c>
      <c r="L1181" s="25">
        <v>1</v>
      </c>
      <c r="M1181" s="25">
        <v>318</v>
      </c>
      <c r="N1181" s="25">
        <v>0</v>
      </c>
      <c r="O1181" s="25">
        <v>44</v>
      </c>
    </row>
    <row r="1182" spans="8:15" x14ac:dyDescent="0.25">
      <c r="H1182" s="21" t="s">
        <v>34</v>
      </c>
      <c r="I1182" s="24">
        <v>613447</v>
      </c>
      <c r="J1182" s="20">
        <v>41150</v>
      </c>
      <c r="K1182" s="25">
        <v>467</v>
      </c>
      <c r="L1182" s="25">
        <v>0</v>
      </c>
      <c r="M1182" s="25">
        <v>0</v>
      </c>
      <c r="N1182" s="25">
        <v>0</v>
      </c>
      <c r="O1182" s="25">
        <v>0</v>
      </c>
    </row>
    <row r="1183" spans="8:15" x14ac:dyDescent="0.25">
      <c r="H1183" s="21" t="s">
        <v>34</v>
      </c>
      <c r="I1183" s="24">
        <v>613447</v>
      </c>
      <c r="J1183" s="20">
        <v>41150</v>
      </c>
      <c r="K1183" s="25">
        <v>477</v>
      </c>
      <c r="L1183" s="25">
        <v>3</v>
      </c>
      <c r="M1183" s="25">
        <v>641</v>
      </c>
      <c r="N1183" s="25">
        <v>2</v>
      </c>
      <c r="O1183" s="25">
        <v>44</v>
      </c>
    </row>
    <row r="1184" spans="8:15" x14ac:dyDescent="0.25">
      <c r="H1184" s="21" t="s">
        <v>34</v>
      </c>
      <c r="I1184" s="24">
        <v>613447</v>
      </c>
      <c r="J1184" s="20">
        <v>41150</v>
      </c>
      <c r="K1184" s="25">
        <v>478</v>
      </c>
      <c r="L1184" s="25">
        <v>58</v>
      </c>
      <c r="M1184" s="25">
        <v>16086</v>
      </c>
      <c r="N1184" s="25">
        <v>0</v>
      </c>
      <c r="O1184" s="25">
        <v>960</v>
      </c>
    </row>
    <row r="1185" spans="8:15" x14ac:dyDescent="0.25">
      <c r="H1185" s="21" t="s">
        <v>34</v>
      </c>
      <c r="I1185" s="24">
        <v>613447</v>
      </c>
      <c r="J1185" s="20">
        <v>41150</v>
      </c>
      <c r="K1185" s="25">
        <v>480</v>
      </c>
      <c r="L1185" s="25">
        <v>0</v>
      </c>
      <c r="M1185" s="25">
        <v>0</v>
      </c>
      <c r="N1185" s="25">
        <v>0</v>
      </c>
      <c r="O1185" s="25">
        <v>0</v>
      </c>
    </row>
    <row r="1186" spans="8:15" x14ac:dyDescent="0.25">
      <c r="H1186" s="21" t="s">
        <v>34</v>
      </c>
      <c r="I1186" s="24">
        <v>613447</v>
      </c>
      <c r="J1186" s="20">
        <v>41150</v>
      </c>
      <c r="K1186" s="25">
        <v>481</v>
      </c>
      <c r="L1186" s="25">
        <v>0</v>
      </c>
      <c r="M1186" s="25">
        <v>0</v>
      </c>
      <c r="N1186" s="25">
        <v>0</v>
      </c>
      <c r="O1186" s="25">
        <v>0</v>
      </c>
    </row>
    <row r="1187" spans="8:15" x14ac:dyDescent="0.25">
      <c r="H1187" s="21" t="s">
        <v>34</v>
      </c>
      <c r="I1187" s="24">
        <v>613447</v>
      </c>
      <c r="J1187" s="20">
        <v>41150</v>
      </c>
      <c r="K1187" s="25">
        <v>482</v>
      </c>
      <c r="L1187" s="25">
        <v>4</v>
      </c>
      <c r="M1187" s="25">
        <v>1055</v>
      </c>
      <c r="N1187" s="25">
        <v>0</v>
      </c>
      <c r="O1187" s="25">
        <v>0</v>
      </c>
    </row>
    <row r="1188" spans="8:15" x14ac:dyDescent="0.25">
      <c r="H1188" s="21" t="s">
        <v>34</v>
      </c>
      <c r="I1188" s="24">
        <v>613447</v>
      </c>
      <c r="J1188" s="20">
        <v>41150</v>
      </c>
      <c r="K1188" s="25">
        <v>790</v>
      </c>
      <c r="L1188" s="25">
        <v>0</v>
      </c>
      <c r="M1188" s="25">
        <v>0</v>
      </c>
      <c r="N1188" s="25">
        <v>0</v>
      </c>
      <c r="O1188" s="25">
        <v>0</v>
      </c>
    </row>
    <row r="1189" spans="8:15" x14ac:dyDescent="0.25">
      <c r="H1189" s="21" t="s">
        <v>34</v>
      </c>
      <c r="I1189" s="24">
        <v>613447</v>
      </c>
      <c r="J1189" s="20">
        <v>41151</v>
      </c>
      <c r="K1189" s="25">
        <v>85</v>
      </c>
      <c r="L1189" s="25">
        <v>0</v>
      </c>
      <c r="M1189" s="25">
        <v>0</v>
      </c>
      <c r="N1189" s="25">
        <v>0</v>
      </c>
      <c r="O1189" s="25">
        <v>0</v>
      </c>
    </row>
    <row r="1190" spans="8:15" x14ac:dyDescent="0.25">
      <c r="H1190" s="21" t="s">
        <v>34</v>
      </c>
      <c r="I1190" s="24">
        <v>613447</v>
      </c>
      <c r="J1190" s="20">
        <v>41151</v>
      </c>
      <c r="K1190" s="25">
        <v>465</v>
      </c>
      <c r="L1190" s="25">
        <v>0</v>
      </c>
      <c r="M1190" s="25">
        <v>0</v>
      </c>
      <c r="N1190" s="25">
        <v>0</v>
      </c>
      <c r="O1190" s="25">
        <v>0</v>
      </c>
    </row>
    <row r="1191" spans="8:15" x14ac:dyDescent="0.25">
      <c r="H1191" s="21" t="s">
        <v>34</v>
      </c>
      <c r="I1191" s="24">
        <v>613447</v>
      </c>
      <c r="J1191" s="20">
        <v>41151</v>
      </c>
      <c r="K1191" s="25">
        <v>466</v>
      </c>
      <c r="L1191" s="25">
        <v>0</v>
      </c>
      <c r="M1191" s="25">
        <v>0</v>
      </c>
      <c r="N1191" s="25">
        <v>0</v>
      </c>
      <c r="O1191" s="25">
        <v>0</v>
      </c>
    </row>
    <row r="1192" spans="8:15" x14ac:dyDescent="0.25">
      <c r="H1192" s="21" t="s">
        <v>34</v>
      </c>
      <c r="I1192" s="24">
        <v>613447</v>
      </c>
      <c r="J1192" s="20">
        <v>41151</v>
      </c>
      <c r="K1192" s="25">
        <v>467</v>
      </c>
      <c r="L1192" s="25">
        <v>0</v>
      </c>
      <c r="M1192" s="25">
        <v>0</v>
      </c>
      <c r="N1192" s="25">
        <v>0</v>
      </c>
      <c r="O1192" s="25">
        <v>0</v>
      </c>
    </row>
    <row r="1193" spans="8:15" x14ac:dyDescent="0.25">
      <c r="H1193" s="21" t="s">
        <v>34</v>
      </c>
      <c r="I1193" s="24">
        <v>613447</v>
      </c>
      <c r="J1193" s="20">
        <v>41151</v>
      </c>
      <c r="K1193" s="25">
        <v>477</v>
      </c>
      <c r="L1193" s="25">
        <v>10</v>
      </c>
      <c r="M1193" s="25">
        <v>3305</v>
      </c>
      <c r="N1193" s="25">
        <v>0</v>
      </c>
      <c r="O1193" s="25">
        <v>78</v>
      </c>
    </row>
    <row r="1194" spans="8:15" x14ac:dyDescent="0.25">
      <c r="H1194" s="21" t="s">
        <v>34</v>
      </c>
      <c r="I1194" s="24">
        <v>613447</v>
      </c>
      <c r="J1194" s="20">
        <v>41151</v>
      </c>
      <c r="K1194" s="25">
        <v>478</v>
      </c>
      <c r="L1194" s="25">
        <v>45</v>
      </c>
      <c r="M1194" s="25">
        <v>13220</v>
      </c>
      <c r="N1194" s="25">
        <v>0</v>
      </c>
      <c r="O1194" s="25">
        <v>694</v>
      </c>
    </row>
    <row r="1195" spans="8:15" x14ac:dyDescent="0.25">
      <c r="H1195" s="21" t="s">
        <v>34</v>
      </c>
      <c r="I1195" s="24">
        <v>613447</v>
      </c>
      <c r="J1195" s="20">
        <v>41151</v>
      </c>
      <c r="K1195" s="25">
        <v>480</v>
      </c>
      <c r="L1195" s="25">
        <v>4</v>
      </c>
      <c r="M1195" s="25">
        <v>989</v>
      </c>
      <c r="N1195" s="25">
        <v>0</v>
      </c>
      <c r="O1195" s="25">
        <v>0</v>
      </c>
    </row>
    <row r="1196" spans="8:15" x14ac:dyDescent="0.25">
      <c r="H1196" s="21" t="s">
        <v>34</v>
      </c>
      <c r="I1196" s="24">
        <v>613447</v>
      </c>
      <c r="J1196" s="20">
        <v>41151</v>
      </c>
      <c r="K1196" s="25">
        <v>481</v>
      </c>
      <c r="L1196" s="25">
        <v>0</v>
      </c>
      <c r="M1196" s="25">
        <v>0</v>
      </c>
      <c r="N1196" s="25">
        <v>0</v>
      </c>
      <c r="O1196" s="25">
        <v>0</v>
      </c>
    </row>
    <row r="1197" spans="8:15" x14ac:dyDescent="0.25">
      <c r="H1197" s="21" t="s">
        <v>34</v>
      </c>
      <c r="I1197" s="24">
        <v>613447</v>
      </c>
      <c r="J1197" s="20">
        <v>41151</v>
      </c>
      <c r="K1197" s="25">
        <v>482</v>
      </c>
      <c r="L1197" s="25">
        <v>4</v>
      </c>
      <c r="M1197" s="25">
        <v>731</v>
      </c>
      <c r="N1197" s="25">
        <v>0</v>
      </c>
      <c r="O1197" s="25">
        <v>132</v>
      </c>
    </row>
    <row r="1198" spans="8:15" x14ac:dyDescent="0.25">
      <c r="H1198" s="21" t="s">
        <v>34</v>
      </c>
      <c r="I1198" s="24">
        <v>613447</v>
      </c>
      <c r="J1198" s="20">
        <v>41151</v>
      </c>
      <c r="K1198" s="25">
        <v>790</v>
      </c>
      <c r="L1198" s="25">
        <v>0</v>
      </c>
      <c r="M1198" s="25">
        <v>0</v>
      </c>
      <c r="N1198" s="25">
        <v>0</v>
      </c>
      <c r="O1198" s="25">
        <v>0</v>
      </c>
    </row>
    <row r="1199" spans="8:15" x14ac:dyDescent="0.25">
      <c r="H1199" s="21" t="s">
        <v>34</v>
      </c>
      <c r="I1199" s="24">
        <v>613447</v>
      </c>
      <c r="J1199" s="20">
        <v>41152</v>
      </c>
      <c r="K1199" s="25">
        <v>85</v>
      </c>
      <c r="L1199" s="25">
        <v>0</v>
      </c>
      <c r="M1199" s="25">
        <v>0</v>
      </c>
      <c r="N1199" s="25">
        <v>0</v>
      </c>
      <c r="O1199" s="25">
        <v>0</v>
      </c>
    </row>
    <row r="1200" spans="8:15" x14ac:dyDescent="0.25">
      <c r="H1200" s="21" t="s">
        <v>34</v>
      </c>
      <c r="I1200" s="24">
        <v>613447</v>
      </c>
      <c r="J1200" s="20">
        <v>41152</v>
      </c>
      <c r="K1200" s="25">
        <v>465</v>
      </c>
      <c r="L1200" s="25">
        <v>0</v>
      </c>
      <c r="M1200" s="25">
        <v>0</v>
      </c>
      <c r="N1200" s="25">
        <v>0</v>
      </c>
      <c r="O1200" s="25">
        <v>0</v>
      </c>
    </row>
    <row r="1201" spans="8:15" x14ac:dyDescent="0.25">
      <c r="H1201" s="21" t="s">
        <v>34</v>
      </c>
      <c r="I1201" s="24">
        <v>613447</v>
      </c>
      <c r="J1201" s="20">
        <v>41152</v>
      </c>
      <c r="K1201" s="25">
        <v>466</v>
      </c>
      <c r="L1201" s="25">
        <v>2</v>
      </c>
      <c r="M1201" s="25">
        <v>357</v>
      </c>
      <c r="N1201" s="25">
        <v>0</v>
      </c>
      <c r="O1201" s="25">
        <v>21</v>
      </c>
    </row>
    <row r="1202" spans="8:15" x14ac:dyDescent="0.25">
      <c r="H1202" s="21" t="s">
        <v>34</v>
      </c>
      <c r="I1202" s="24">
        <v>613447</v>
      </c>
      <c r="J1202" s="20">
        <v>41152</v>
      </c>
      <c r="K1202" s="25">
        <v>467</v>
      </c>
      <c r="L1202" s="25">
        <v>0</v>
      </c>
      <c r="M1202" s="25">
        <v>0</v>
      </c>
      <c r="N1202" s="25">
        <v>0</v>
      </c>
      <c r="O1202" s="25">
        <v>0</v>
      </c>
    </row>
    <row r="1203" spans="8:15" x14ac:dyDescent="0.25">
      <c r="H1203" s="21" t="s">
        <v>34</v>
      </c>
      <c r="I1203" s="24">
        <v>613447</v>
      </c>
      <c r="J1203" s="20">
        <v>41152</v>
      </c>
      <c r="K1203" s="25">
        <v>477</v>
      </c>
      <c r="L1203" s="25">
        <v>10</v>
      </c>
      <c r="M1203" s="25">
        <v>3122</v>
      </c>
      <c r="N1203" s="25">
        <v>6</v>
      </c>
      <c r="O1203" s="25">
        <v>88</v>
      </c>
    </row>
    <row r="1204" spans="8:15" x14ac:dyDescent="0.25">
      <c r="H1204" s="21" t="s">
        <v>34</v>
      </c>
      <c r="I1204" s="24">
        <v>613447</v>
      </c>
      <c r="J1204" s="20">
        <v>41152</v>
      </c>
      <c r="K1204" s="25">
        <v>478</v>
      </c>
      <c r="L1204" s="25">
        <v>33</v>
      </c>
      <c r="M1204" s="25">
        <v>10075</v>
      </c>
      <c r="N1204" s="25">
        <v>2</v>
      </c>
      <c r="O1204" s="25">
        <v>209</v>
      </c>
    </row>
    <row r="1205" spans="8:15" x14ac:dyDescent="0.25">
      <c r="H1205" s="21" t="s">
        <v>34</v>
      </c>
      <c r="I1205" s="24">
        <v>613447</v>
      </c>
      <c r="J1205" s="20">
        <v>41152</v>
      </c>
      <c r="K1205" s="25">
        <v>480</v>
      </c>
      <c r="L1205" s="25">
        <v>2</v>
      </c>
      <c r="M1205" s="25">
        <v>264</v>
      </c>
      <c r="N1205" s="25">
        <v>0</v>
      </c>
      <c r="O1205" s="25">
        <v>0</v>
      </c>
    </row>
    <row r="1206" spans="8:15" x14ac:dyDescent="0.25">
      <c r="H1206" s="21" t="s">
        <v>34</v>
      </c>
      <c r="I1206" s="24">
        <v>613447</v>
      </c>
      <c r="J1206" s="20">
        <v>41152</v>
      </c>
      <c r="K1206" s="25">
        <v>481</v>
      </c>
      <c r="L1206" s="25">
        <v>0</v>
      </c>
      <c r="M1206" s="25">
        <v>0</v>
      </c>
      <c r="N1206" s="25">
        <v>0</v>
      </c>
      <c r="O1206" s="25">
        <v>0</v>
      </c>
    </row>
    <row r="1207" spans="8:15" x14ac:dyDescent="0.25">
      <c r="H1207" s="21" t="s">
        <v>34</v>
      </c>
      <c r="I1207" s="24">
        <v>613447</v>
      </c>
      <c r="J1207" s="20">
        <v>41152</v>
      </c>
      <c r="K1207" s="25">
        <v>482</v>
      </c>
      <c r="L1207" s="25">
        <v>7</v>
      </c>
      <c r="M1207" s="25">
        <v>1953</v>
      </c>
      <c r="N1207" s="25">
        <v>0</v>
      </c>
      <c r="O1207" s="25">
        <v>27</v>
      </c>
    </row>
    <row r="1208" spans="8:15" x14ac:dyDescent="0.25">
      <c r="H1208" s="21" t="s">
        <v>34</v>
      </c>
      <c r="I1208" s="24">
        <v>613447</v>
      </c>
      <c r="J1208" s="20">
        <v>41152</v>
      </c>
      <c r="K1208" s="25">
        <v>790</v>
      </c>
      <c r="L1208" s="25">
        <v>0</v>
      </c>
      <c r="M1208" s="25">
        <v>0</v>
      </c>
      <c r="N1208" s="25">
        <v>0</v>
      </c>
      <c r="O1208" s="25">
        <v>0</v>
      </c>
    </row>
  </sheetData>
  <mergeCells count="2">
    <mergeCell ref="A4:M4"/>
    <mergeCell ref="A1:M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09">
    <tabColor theme="5" tint="0.59999389629810485"/>
  </sheetPr>
  <dimension ref="A1:I494"/>
  <sheetViews>
    <sheetView showGridLines="0" workbookViewId="0">
      <selection sqref="A1:I1"/>
    </sheetView>
  </sheetViews>
  <sheetFormatPr defaultRowHeight="15" x14ac:dyDescent="0.25"/>
  <cols>
    <col min="1" max="1" width="12" bestFit="1" customWidth="1"/>
    <col min="2" max="2" width="16.42578125" bestFit="1" customWidth="1"/>
    <col min="3" max="3" width="14.140625" bestFit="1" customWidth="1"/>
    <col min="4" max="4" width="10.7109375" bestFit="1" customWidth="1"/>
    <col min="5" max="5" width="12.7109375" bestFit="1" customWidth="1"/>
    <col min="6" max="6" width="14.140625" bestFit="1" customWidth="1"/>
    <col min="7" max="7" width="9.85546875" bestFit="1" customWidth="1"/>
    <col min="8" max="8" width="10" bestFit="1" customWidth="1"/>
    <col min="9" max="9" width="12" bestFit="1" customWidth="1"/>
  </cols>
  <sheetData>
    <row r="1" spans="1:9" ht="126" customHeight="1" thickBot="1" x14ac:dyDescent="0.3">
      <c r="A1" s="134" t="s">
        <v>1430</v>
      </c>
      <c r="B1" s="135"/>
      <c r="C1" s="135"/>
      <c r="D1" s="135"/>
      <c r="E1" s="135"/>
      <c r="F1" s="135"/>
      <c r="G1" s="135"/>
      <c r="H1" s="135"/>
      <c r="I1" s="136"/>
    </row>
    <row r="3" spans="1:9" ht="15.75" thickBot="1" x14ac:dyDescent="0.3">
      <c r="A3" t="s">
        <v>18</v>
      </c>
    </row>
    <row r="4" spans="1:9" ht="64.5" customHeight="1" thickBot="1" x14ac:dyDescent="0.3">
      <c r="A4" s="160" t="s">
        <v>1444</v>
      </c>
      <c r="B4" s="161"/>
      <c r="C4" s="161"/>
      <c r="D4" s="161"/>
      <c r="E4" s="161"/>
      <c r="F4" s="161"/>
      <c r="G4" s="161"/>
      <c r="H4" s="161"/>
      <c r="I4" s="162"/>
    </row>
    <row r="6" spans="1:9" x14ac:dyDescent="0.25">
      <c r="A6" s="13" t="s">
        <v>16</v>
      </c>
    </row>
    <row r="8" spans="1:9" x14ac:dyDescent="0.25">
      <c r="A8" s="10" t="s">
        <v>0</v>
      </c>
      <c r="B8" s="10" t="s">
        <v>1</v>
      </c>
      <c r="C8" s="10" t="s">
        <v>2</v>
      </c>
      <c r="D8" s="10" t="s">
        <v>3</v>
      </c>
      <c r="E8" s="10" t="s">
        <v>4</v>
      </c>
      <c r="F8" s="10" t="s">
        <v>5</v>
      </c>
    </row>
    <row r="9" spans="1:9" x14ac:dyDescent="0.25">
      <c r="A9" s="11" t="s">
        <v>6</v>
      </c>
      <c r="B9" s="11" t="s">
        <v>8</v>
      </c>
      <c r="C9" s="12">
        <v>616684</v>
      </c>
      <c r="D9" s="12">
        <v>593638</v>
      </c>
      <c r="E9" s="12">
        <v>22957</v>
      </c>
      <c r="F9" s="12">
        <v>89</v>
      </c>
    </row>
    <row r="10" spans="1:9" x14ac:dyDescent="0.25">
      <c r="A10" s="11" t="s">
        <v>6</v>
      </c>
      <c r="B10" s="11" t="s">
        <v>7</v>
      </c>
      <c r="C10" s="12">
        <v>814634</v>
      </c>
      <c r="D10" s="12">
        <v>754427</v>
      </c>
      <c r="E10" s="12">
        <v>45355</v>
      </c>
      <c r="F10" s="12">
        <v>14852</v>
      </c>
    </row>
    <row r="12" spans="1:9" x14ac:dyDescent="0.25">
      <c r="A12" s="13" t="s">
        <v>17</v>
      </c>
    </row>
    <row r="14" spans="1:9" x14ac:dyDescent="0.25">
      <c r="A14" s="1" t="s">
        <v>0</v>
      </c>
      <c r="B14" s="1" t="s">
        <v>1</v>
      </c>
      <c r="C14" s="1" t="s">
        <v>9</v>
      </c>
      <c r="D14" s="1" t="s">
        <v>10</v>
      </c>
      <c r="E14" s="1" t="s">
        <v>15</v>
      </c>
      <c r="F14" s="1" t="s">
        <v>2</v>
      </c>
      <c r="G14" s="1" t="s">
        <v>3</v>
      </c>
      <c r="H14" s="1" t="s">
        <v>4</v>
      </c>
      <c r="I14" s="1" t="s">
        <v>5</v>
      </c>
    </row>
    <row r="15" spans="1:9" x14ac:dyDescent="0.25">
      <c r="A15" s="3" t="s">
        <v>6</v>
      </c>
      <c r="B15" s="3" t="s">
        <v>7</v>
      </c>
      <c r="C15" s="4">
        <v>41091</v>
      </c>
      <c r="D15" s="5">
        <v>0.33333333333333331</v>
      </c>
      <c r="E15" s="9">
        <v>721</v>
      </c>
      <c r="F15" s="9">
        <v>1215</v>
      </c>
      <c r="G15" s="9">
        <v>1152</v>
      </c>
      <c r="H15" s="9">
        <v>63</v>
      </c>
      <c r="I15" s="9">
        <v>0</v>
      </c>
    </row>
    <row r="16" spans="1:9" x14ac:dyDescent="0.25">
      <c r="A16" s="3" t="s">
        <v>6</v>
      </c>
      <c r="B16" s="3" t="s">
        <v>7</v>
      </c>
      <c r="C16" s="4">
        <v>41091</v>
      </c>
      <c r="D16" s="5">
        <v>0.35416666666666669</v>
      </c>
      <c r="E16" s="9">
        <v>764</v>
      </c>
      <c r="F16" s="9">
        <v>1678</v>
      </c>
      <c r="G16" s="9">
        <v>1617</v>
      </c>
      <c r="H16" s="9">
        <v>61</v>
      </c>
      <c r="I16" s="9">
        <v>0</v>
      </c>
    </row>
    <row r="17" spans="1:9" x14ac:dyDescent="0.25">
      <c r="A17" s="3" t="s">
        <v>6</v>
      </c>
      <c r="B17" s="3" t="s">
        <v>7</v>
      </c>
      <c r="C17" s="4">
        <v>41091</v>
      </c>
      <c r="D17" s="5">
        <v>0.375</v>
      </c>
      <c r="E17" s="9">
        <v>256</v>
      </c>
      <c r="F17" s="9">
        <v>2124</v>
      </c>
      <c r="G17" s="9">
        <v>2095</v>
      </c>
      <c r="H17" s="9">
        <v>29</v>
      </c>
      <c r="I17" s="9">
        <v>0</v>
      </c>
    </row>
    <row r="18" spans="1:9" x14ac:dyDescent="0.25">
      <c r="A18" s="3" t="s">
        <v>6</v>
      </c>
      <c r="B18" s="3" t="s">
        <v>7</v>
      </c>
      <c r="C18" s="4">
        <v>41091</v>
      </c>
      <c r="D18" s="5">
        <v>0.39583333333333331</v>
      </c>
      <c r="E18" s="9">
        <v>257</v>
      </c>
      <c r="F18" s="9">
        <v>2724</v>
      </c>
      <c r="G18" s="9">
        <v>2686</v>
      </c>
      <c r="H18" s="9">
        <v>38</v>
      </c>
      <c r="I18" s="9">
        <v>0</v>
      </c>
    </row>
    <row r="19" spans="1:9" x14ac:dyDescent="0.25">
      <c r="A19" s="3" t="s">
        <v>6</v>
      </c>
      <c r="B19" s="3" t="s">
        <v>7</v>
      </c>
      <c r="C19" s="4">
        <v>41091</v>
      </c>
      <c r="D19" s="5">
        <v>0.41666666666666669</v>
      </c>
      <c r="E19" s="9">
        <v>244</v>
      </c>
      <c r="F19" s="9">
        <v>3066</v>
      </c>
      <c r="G19" s="9">
        <v>2902</v>
      </c>
      <c r="H19" s="9">
        <v>164</v>
      </c>
      <c r="I19" s="9">
        <v>0</v>
      </c>
    </row>
    <row r="20" spans="1:9" x14ac:dyDescent="0.25">
      <c r="A20" s="3" t="s">
        <v>6</v>
      </c>
      <c r="B20" s="3" t="s">
        <v>7</v>
      </c>
      <c r="C20" s="4">
        <v>41091</v>
      </c>
      <c r="D20" s="5">
        <v>0.4375</v>
      </c>
      <c r="E20" s="9">
        <v>247</v>
      </c>
      <c r="F20" s="9">
        <v>3622</v>
      </c>
      <c r="G20" s="9">
        <v>3271</v>
      </c>
      <c r="H20" s="9">
        <v>351</v>
      </c>
      <c r="I20" s="9">
        <v>0</v>
      </c>
    </row>
    <row r="21" spans="1:9" x14ac:dyDescent="0.25">
      <c r="A21" s="3" t="s">
        <v>6</v>
      </c>
      <c r="B21" s="3" t="s">
        <v>7</v>
      </c>
      <c r="C21" s="4">
        <v>41091</v>
      </c>
      <c r="D21" s="5">
        <v>0.45833333333333331</v>
      </c>
      <c r="E21" s="9">
        <v>255</v>
      </c>
      <c r="F21" s="9">
        <v>3767</v>
      </c>
      <c r="G21" s="9">
        <v>3170</v>
      </c>
      <c r="H21" s="9">
        <v>597</v>
      </c>
      <c r="I21" s="9">
        <v>0</v>
      </c>
    </row>
    <row r="22" spans="1:9" x14ac:dyDescent="0.25">
      <c r="A22" s="3" t="s">
        <v>6</v>
      </c>
      <c r="B22" s="3" t="s">
        <v>7</v>
      </c>
      <c r="C22" s="4">
        <v>41091</v>
      </c>
      <c r="D22" s="5">
        <v>0.47916666666666669</v>
      </c>
      <c r="E22" s="9">
        <v>262</v>
      </c>
      <c r="F22" s="9">
        <v>4226</v>
      </c>
      <c r="G22" s="9">
        <v>3599</v>
      </c>
      <c r="H22" s="9">
        <v>627</v>
      </c>
      <c r="I22" s="9">
        <v>0</v>
      </c>
    </row>
    <row r="23" spans="1:9" x14ac:dyDescent="0.25">
      <c r="A23" s="3" t="s">
        <v>6</v>
      </c>
      <c r="B23" s="3" t="s">
        <v>7</v>
      </c>
      <c r="C23" s="4">
        <v>41091</v>
      </c>
      <c r="D23" s="5">
        <v>0.5</v>
      </c>
      <c r="E23" s="9">
        <v>248</v>
      </c>
      <c r="F23" s="9">
        <v>4115</v>
      </c>
      <c r="G23" s="9">
        <v>3528</v>
      </c>
      <c r="H23" s="9">
        <v>587</v>
      </c>
      <c r="I23" s="9">
        <v>0</v>
      </c>
    </row>
    <row r="24" spans="1:9" x14ac:dyDescent="0.25">
      <c r="A24" s="3" t="s">
        <v>6</v>
      </c>
      <c r="B24" s="3" t="s">
        <v>7</v>
      </c>
      <c r="C24" s="4">
        <v>41091</v>
      </c>
      <c r="D24" s="5">
        <v>0.52083333333333337</v>
      </c>
      <c r="E24" s="9">
        <v>210</v>
      </c>
      <c r="F24" s="9">
        <v>3702</v>
      </c>
      <c r="G24" s="9">
        <v>3302</v>
      </c>
      <c r="H24" s="9">
        <v>400</v>
      </c>
      <c r="I24" s="9">
        <v>0</v>
      </c>
    </row>
    <row r="25" spans="1:9" x14ac:dyDescent="0.25">
      <c r="A25" s="3" t="s">
        <v>6</v>
      </c>
      <c r="B25" s="3" t="s">
        <v>7</v>
      </c>
      <c r="C25" s="4">
        <v>41091</v>
      </c>
      <c r="D25" s="5">
        <v>0.54166666666666663</v>
      </c>
      <c r="E25" s="9">
        <v>203</v>
      </c>
      <c r="F25" s="9">
        <v>3909</v>
      </c>
      <c r="G25" s="9">
        <v>3274</v>
      </c>
      <c r="H25" s="9">
        <v>635</v>
      </c>
      <c r="I25" s="9">
        <v>0</v>
      </c>
    </row>
    <row r="26" spans="1:9" x14ac:dyDescent="0.25">
      <c r="A26" s="3" t="s">
        <v>6</v>
      </c>
      <c r="B26" s="3" t="s">
        <v>7</v>
      </c>
      <c r="C26" s="4">
        <v>41091</v>
      </c>
      <c r="D26" s="5">
        <v>0.5625</v>
      </c>
      <c r="E26" s="9">
        <v>203</v>
      </c>
      <c r="F26" s="9">
        <v>3961</v>
      </c>
      <c r="G26" s="9">
        <v>3237</v>
      </c>
      <c r="H26" s="9">
        <v>724</v>
      </c>
      <c r="I26" s="9">
        <v>0</v>
      </c>
    </row>
    <row r="27" spans="1:9" x14ac:dyDescent="0.25">
      <c r="A27" s="3" t="s">
        <v>6</v>
      </c>
      <c r="B27" s="3" t="s">
        <v>7</v>
      </c>
      <c r="C27" s="4">
        <v>41091</v>
      </c>
      <c r="D27" s="5">
        <v>0.58333333333333337</v>
      </c>
      <c r="E27" s="9">
        <v>208</v>
      </c>
      <c r="F27" s="9">
        <v>3974</v>
      </c>
      <c r="G27" s="9">
        <v>3477</v>
      </c>
      <c r="H27" s="9">
        <v>497</v>
      </c>
      <c r="I27" s="9">
        <v>0</v>
      </c>
    </row>
    <row r="28" spans="1:9" x14ac:dyDescent="0.25">
      <c r="A28" s="3" t="s">
        <v>6</v>
      </c>
      <c r="B28" s="3" t="s">
        <v>7</v>
      </c>
      <c r="C28" s="4">
        <v>41091</v>
      </c>
      <c r="D28" s="5">
        <v>0.60416666666666663</v>
      </c>
      <c r="E28" s="9">
        <v>218</v>
      </c>
      <c r="F28" s="9">
        <v>3555</v>
      </c>
      <c r="G28" s="9">
        <v>3143</v>
      </c>
      <c r="H28" s="9">
        <v>412</v>
      </c>
      <c r="I28" s="9">
        <v>0</v>
      </c>
    </row>
    <row r="29" spans="1:9" x14ac:dyDescent="0.25">
      <c r="A29" s="3" t="s">
        <v>6</v>
      </c>
      <c r="B29" s="3" t="s">
        <v>7</v>
      </c>
      <c r="C29" s="4">
        <v>41091</v>
      </c>
      <c r="D29" s="5">
        <v>0.625</v>
      </c>
      <c r="E29" s="9">
        <v>209</v>
      </c>
      <c r="F29" s="9">
        <v>4473</v>
      </c>
      <c r="G29" s="9">
        <v>3933</v>
      </c>
      <c r="H29" s="9">
        <v>540</v>
      </c>
      <c r="I29" s="9">
        <v>0</v>
      </c>
    </row>
    <row r="30" spans="1:9" x14ac:dyDescent="0.25">
      <c r="A30" s="3" t="s">
        <v>6</v>
      </c>
      <c r="B30" s="3" t="s">
        <v>7</v>
      </c>
      <c r="C30" s="4">
        <v>41091</v>
      </c>
      <c r="D30" s="5">
        <v>0.64583333333333337</v>
      </c>
      <c r="E30" s="9">
        <v>216</v>
      </c>
      <c r="F30" s="9">
        <v>3148</v>
      </c>
      <c r="G30" s="9">
        <v>2986</v>
      </c>
      <c r="H30" s="9">
        <v>162</v>
      </c>
      <c r="I30" s="9">
        <v>0</v>
      </c>
    </row>
    <row r="31" spans="1:9" x14ac:dyDescent="0.25">
      <c r="A31" s="3" t="s">
        <v>6</v>
      </c>
      <c r="B31" s="3" t="s">
        <v>7</v>
      </c>
      <c r="C31" s="4">
        <v>41091</v>
      </c>
      <c r="D31" s="5">
        <v>0.66666666666666663</v>
      </c>
      <c r="E31" s="9">
        <v>209</v>
      </c>
      <c r="F31" s="9">
        <v>3052</v>
      </c>
      <c r="G31" s="9">
        <v>2998</v>
      </c>
      <c r="H31" s="9">
        <v>54</v>
      </c>
      <c r="I31" s="9">
        <v>0</v>
      </c>
    </row>
    <row r="32" spans="1:9" x14ac:dyDescent="0.25">
      <c r="A32" s="3" t="s">
        <v>6</v>
      </c>
      <c r="B32" s="3" t="s">
        <v>7</v>
      </c>
      <c r="C32" s="4">
        <v>41091</v>
      </c>
      <c r="D32" s="5">
        <v>0.6875</v>
      </c>
      <c r="E32" s="9">
        <v>192</v>
      </c>
      <c r="F32" s="9">
        <v>3017</v>
      </c>
      <c r="G32" s="9">
        <v>2959</v>
      </c>
      <c r="H32" s="9">
        <v>58</v>
      </c>
      <c r="I32" s="9">
        <v>0</v>
      </c>
    </row>
    <row r="33" spans="1:9" x14ac:dyDescent="0.25">
      <c r="A33" s="3" t="s">
        <v>6</v>
      </c>
      <c r="B33" s="3" t="s">
        <v>7</v>
      </c>
      <c r="C33" s="4">
        <v>41091</v>
      </c>
      <c r="D33" s="5">
        <v>0.70833333333333337</v>
      </c>
      <c r="E33" s="9">
        <v>175</v>
      </c>
      <c r="F33" s="9">
        <v>2850</v>
      </c>
      <c r="G33" s="9">
        <v>2809</v>
      </c>
      <c r="H33" s="9">
        <v>41</v>
      </c>
      <c r="I33" s="9">
        <v>0</v>
      </c>
    </row>
    <row r="34" spans="1:9" x14ac:dyDescent="0.25">
      <c r="A34" s="3" t="s">
        <v>6</v>
      </c>
      <c r="B34" s="3" t="s">
        <v>7</v>
      </c>
      <c r="C34" s="4">
        <v>41091</v>
      </c>
      <c r="D34" s="5">
        <v>0.72916666666666663</v>
      </c>
      <c r="E34" s="9">
        <v>194</v>
      </c>
      <c r="F34" s="9">
        <v>2917</v>
      </c>
      <c r="G34" s="9">
        <v>2870</v>
      </c>
      <c r="H34" s="9">
        <v>47</v>
      </c>
      <c r="I34" s="9">
        <v>0</v>
      </c>
    </row>
    <row r="35" spans="1:9" x14ac:dyDescent="0.25">
      <c r="A35" s="3" t="s">
        <v>6</v>
      </c>
      <c r="B35" s="3" t="s">
        <v>7</v>
      </c>
      <c r="C35" s="4">
        <v>41091</v>
      </c>
      <c r="D35" s="5">
        <v>0.75</v>
      </c>
      <c r="E35" s="9">
        <v>196</v>
      </c>
      <c r="F35" s="9">
        <v>4083</v>
      </c>
      <c r="G35" s="9">
        <v>3849</v>
      </c>
      <c r="H35" s="9">
        <v>234</v>
      </c>
      <c r="I35" s="9">
        <v>0</v>
      </c>
    </row>
    <row r="36" spans="1:9" x14ac:dyDescent="0.25">
      <c r="A36" s="3" t="s">
        <v>6</v>
      </c>
      <c r="B36" s="3" t="s">
        <v>7</v>
      </c>
      <c r="C36" s="4">
        <v>41091</v>
      </c>
      <c r="D36" s="5">
        <v>0.77083333333333337</v>
      </c>
      <c r="E36" s="9">
        <v>188</v>
      </c>
      <c r="F36" s="9">
        <v>3538</v>
      </c>
      <c r="G36" s="9">
        <v>3309</v>
      </c>
      <c r="H36" s="9">
        <v>229</v>
      </c>
      <c r="I36" s="9">
        <v>0</v>
      </c>
    </row>
    <row r="37" spans="1:9" x14ac:dyDescent="0.25">
      <c r="A37" s="3" t="s">
        <v>6</v>
      </c>
      <c r="B37" s="3" t="s">
        <v>7</v>
      </c>
      <c r="C37" s="4">
        <v>41091</v>
      </c>
      <c r="D37" s="5">
        <v>0.79166666666666663</v>
      </c>
      <c r="E37" s="9">
        <v>217</v>
      </c>
      <c r="F37" s="9">
        <v>3255</v>
      </c>
      <c r="G37" s="9">
        <v>2929</v>
      </c>
      <c r="H37" s="9">
        <v>326</v>
      </c>
      <c r="I37" s="9">
        <v>0</v>
      </c>
    </row>
    <row r="38" spans="1:9" x14ac:dyDescent="0.25">
      <c r="A38" s="3" t="s">
        <v>6</v>
      </c>
      <c r="B38" s="3" t="s">
        <v>7</v>
      </c>
      <c r="C38" s="4">
        <v>41091</v>
      </c>
      <c r="D38" s="5">
        <v>0.8125</v>
      </c>
      <c r="E38" s="9">
        <v>216</v>
      </c>
      <c r="F38" s="9">
        <v>3034</v>
      </c>
      <c r="G38" s="9">
        <v>2841</v>
      </c>
      <c r="H38" s="9">
        <v>193</v>
      </c>
      <c r="I38" s="9">
        <v>0</v>
      </c>
    </row>
    <row r="39" spans="1:9" x14ac:dyDescent="0.25">
      <c r="A39" s="3" t="s">
        <v>6</v>
      </c>
      <c r="B39" s="3" t="s">
        <v>7</v>
      </c>
      <c r="C39" s="4">
        <v>41092</v>
      </c>
      <c r="D39" s="5">
        <v>0.33333333333333331</v>
      </c>
      <c r="E39" s="9">
        <v>223</v>
      </c>
      <c r="F39" s="9">
        <v>2578</v>
      </c>
      <c r="G39" s="9">
        <v>2511</v>
      </c>
      <c r="H39" s="9">
        <v>67</v>
      </c>
      <c r="I39" s="9">
        <v>0</v>
      </c>
    </row>
    <row r="40" spans="1:9" x14ac:dyDescent="0.25">
      <c r="A40" s="3" t="s">
        <v>6</v>
      </c>
      <c r="B40" s="3" t="s">
        <v>7</v>
      </c>
      <c r="C40" s="4">
        <v>41092</v>
      </c>
      <c r="D40" s="5">
        <v>0.35416666666666669</v>
      </c>
      <c r="E40" s="9">
        <v>307</v>
      </c>
      <c r="F40" s="9">
        <v>3548</v>
      </c>
      <c r="G40" s="9">
        <v>3467</v>
      </c>
      <c r="H40" s="9">
        <v>81</v>
      </c>
      <c r="I40" s="9">
        <v>0</v>
      </c>
    </row>
    <row r="41" spans="1:9" x14ac:dyDescent="0.25">
      <c r="A41" s="3" t="s">
        <v>6</v>
      </c>
      <c r="B41" s="3" t="s">
        <v>7</v>
      </c>
      <c r="C41" s="4">
        <v>41092</v>
      </c>
      <c r="D41" s="5">
        <v>0.375</v>
      </c>
      <c r="E41" s="9">
        <v>345</v>
      </c>
      <c r="F41" s="9">
        <v>5349</v>
      </c>
      <c r="G41" s="9">
        <v>5123</v>
      </c>
      <c r="H41" s="9">
        <v>133</v>
      </c>
      <c r="I41" s="9">
        <v>93</v>
      </c>
    </row>
    <row r="42" spans="1:9" x14ac:dyDescent="0.25">
      <c r="A42" s="3" t="s">
        <v>6</v>
      </c>
      <c r="B42" s="3" t="s">
        <v>7</v>
      </c>
      <c r="C42" s="4">
        <v>41092</v>
      </c>
      <c r="D42" s="5">
        <v>0.39583333333333331</v>
      </c>
      <c r="E42" s="9">
        <v>330</v>
      </c>
      <c r="F42" s="9">
        <v>6996</v>
      </c>
      <c r="G42" s="9">
        <v>6633</v>
      </c>
      <c r="H42" s="9">
        <v>209</v>
      </c>
      <c r="I42" s="9">
        <v>154</v>
      </c>
    </row>
    <row r="43" spans="1:9" x14ac:dyDescent="0.25">
      <c r="A43" s="3" t="s">
        <v>6</v>
      </c>
      <c r="B43" s="3" t="s">
        <v>7</v>
      </c>
      <c r="C43" s="4">
        <v>41092</v>
      </c>
      <c r="D43" s="5">
        <v>0.41666666666666669</v>
      </c>
      <c r="E43" s="9">
        <v>323</v>
      </c>
      <c r="F43" s="9">
        <v>7771</v>
      </c>
      <c r="G43" s="9">
        <v>7303</v>
      </c>
      <c r="H43" s="9">
        <v>300</v>
      </c>
      <c r="I43" s="9">
        <v>168</v>
      </c>
    </row>
    <row r="44" spans="1:9" x14ac:dyDescent="0.25">
      <c r="A44" s="3" t="s">
        <v>6</v>
      </c>
      <c r="B44" s="3" t="s">
        <v>7</v>
      </c>
      <c r="C44" s="4">
        <v>41092</v>
      </c>
      <c r="D44" s="5">
        <v>0.4375</v>
      </c>
      <c r="E44" s="9">
        <v>321</v>
      </c>
      <c r="F44" s="9">
        <v>8025</v>
      </c>
      <c r="G44" s="9">
        <v>7544</v>
      </c>
      <c r="H44" s="9">
        <v>307</v>
      </c>
      <c r="I44" s="9">
        <v>174</v>
      </c>
    </row>
    <row r="45" spans="1:9" x14ac:dyDescent="0.25">
      <c r="A45" s="3" t="s">
        <v>6</v>
      </c>
      <c r="B45" s="3" t="s">
        <v>7</v>
      </c>
      <c r="C45" s="4">
        <v>41092</v>
      </c>
      <c r="D45" s="5">
        <v>0.45833333333333331</v>
      </c>
      <c r="E45" s="9">
        <v>301</v>
      </c>
      <c r="F45" s="9">
        <v>8422</v>
      </c>
      <c r="G45" s="9">
        <v>7966</v>
      </c>
      <c r="H45" s="9">
        <v>239</v>
      </c>
      <c r="I45" s="9">
        <v>217</v>
      </c>
    </row>
    <row r="46" spans="1:9" x14ac:dyDescent="0.25">
      <c r="A46" s="3" t="s">
        <v>6</v>
      </c>
      <c r="B46" s="3" t="s">
        <v>7</v>
      </c>
      <c r="C46" s="4">
        <v>41092</v>
      </c>
      <c r="D46" s="5">
        <v>0.47916666666666669</v>
      </c>
      <c r="E46" s="9">
        <v>298</v>
      </c>
      <c r="F46" s="9">
        <v>9052</v>
      </c>
      <c r="G46" s="9">
        <v>8603</v>
      </c>
      <c r="H46" s="9">
        <v>267</v>
      </c>
      <c r="I46" s="9">
        <v>182</v>
      </c>
    </row>
    <row r="47" spans="1:9" x14ac:dyDescent="0.25">
      <c r="A47" s="3" t="s">
        <v>6</v>
      </c>
      <c r="B47" s="3" t="s">
        <v>7</v>
      </c>
      <c r="C47" s="4">
        <v>41092</v>
      </c>
      <c r="D47" s="5">
        <v>0.5</v>
      </c>
      <c r="E47" s="9">
        <v>287</v>
      </c>
      <c r="F47" s="9">
        <v>8529</v>
      </c>
      <c r="G47" s="9">
        <v>8070</v>
      </c>
      <c r="H47" s="9">
        <v>286</v>
      </c>
      <c r="I47" s="9">
        <v>173</v>
      </c>
    </row>
    <row r="48" spans="1:9" x14ac:dyDescent="0.25">
      <c r="A48" s="3" t="s">
        <v>6</v>
      </c>
      <c r="B48" s="3" t="s">
        <v>7</v>
      </c>
      <c r="C48" s="4">
        <v>41092</v>
      </c>
      <c r="D48" s="5">
        <v>0.52083333333333337</v>
      </c>
      <c r="E48" s="9">
        <v>339</v>
      </c>
      <c r="F48" s="9">
        <v>8341</v>
      </c>
      <c r="G48" s="9">
        <v>7945</v>
      </c>
      <c r="H48" s="9">
        <v>252</v>
      </c>
      <c r="I48" s="9">
        <v>144</v>
      </c>
    </row>
    <row r="49" spans="1:9" x14ac:dyDescent="0.25">
      <c r="A49" s="3" t="s">
        <v>6</v>
      </c>
      <c r="B49" s="3" t="s">
        <v>7</v>
      </c>
      <c r="C49" s="4">
        <v>41092</v>
      </c>
      <c r="D49" s="5">
        <v>0.54166666666666663</v>
      </c>
      <c r="E49" s="9">
        <v>296</v>
      </c>
      <c r="F49" s="9">
        <v>8268</v>
      </c>
      <c r="G49" s="9">
        <v>7758</v>
      </c>
      <c r="H49" s="9">
        <v>333</v>
      </c>
      <c r="I49" s="9">
        <v>177</v>
      </c>
    </row>
    <row r="50" spans="1:9" x14ac:dyDescent="0.25">
      <c r="A50" s="3" t="s">
        <v>6</v>
      </c>
      <c r="B50" s="3" t="s">
        <v>7</v>
      </c>
      <c r="C50" s="4">
        <v>41092</v>
      </c>
      <c r="D50" s="5">
        <v>0.5625</v>
      </c>
      <c r="E50" s="9">
        <v>312</v>
      </c>
      <c r="F50" s="9">
        <v>8549</v>
      </c>
      <c r="G50" s="9">
        <v>8015</v>
      </c>
      <c r="H50" s="9">
        <v>346</v>
      </c>
      <c r="I50" s="9">
        <v>188</v>
      </c>
    </row>
    <row r="51" spans="1:9" x14ac:dyDescent="0.25">
      <c r="A51" s="3" t="s">
        <v>6</v>
      </c>
      <c r="B51" s="3" t="s">
        <v>7</v>
      </c>
      <c r="C51" s="4">
        <v>41092</v>
      </c>
      <c r="D51" s="5">
        <v>0.58333333333333337</v>
      </c>
      <c r="E51" s="9">
        <v>360</v>
      </c>
      <c r="F51" s="9">
        <v>7936</v>
      </c>
      <c r="G51" s="9">
        <v>7335</v>
      </c>
      <c r="H51" s="9">
        <v>481</v>
      </c>
      <c r="I51" s="9">
        <v>120</v>
      </c>
    </row>
    <row r="52" spans="1:9" x14ac:dyDescent="0.25">
      <c r="A52" s="3" t="s">
        <v>6</v>
      </c>
      <c r="B52" s="3" t="s">
        <v>7</v>
      </c>
      <c r="C52" s="4">
        <v>41092</v>
      </c>
      <c r="D52" s="5">
        <v>0.60416666666666663</v>
      </c>
      <c r="E52" s="9">
        <v>334</v>
      </c>
      <c r="F52" s="9">
        <v>8548</v>
      </c>
      <c r="G52" s="9">
        <v>7699</v>
      </c>
      <c r="H52" s="9">
        <v>618</v>
      </c>
      <c r="I52" s="9">
        <v>231</v>
      </c>
    </row>
    <row r="53" spans="1:9" x14ac:dyDescent="0.25">
      <c r="A53" s="3" t="s">
        <v>6</v>
      </c>
      <c r="B53" s="3" t="s">
        <v>7</v>
      </c>
      <c r="C53" s="4">
        <v>41092</v>
      </c>
      <c r="D53" s="5">
        <v>0.625</v>
      </c>
      <c r="E53" s="9">
        <v>282</v>
      </c>
      <c r="F53" s="9">
        <v>7405</v>
      </c>
      <c r="G53" s="9">
        <v>6943</v>
      </c>
      <c r="H53" s="9">
        <v>415</v>
      </c>
      <c r="I53" s="9">
        <v>47</v>
      </c>
    </row>
    <row r="54" spans="1:9" x14ac:dyDescent="0.25">
      <c r="A54" s="3" t="s">
        <v>6</v>
      </c>
      <c r="B54" s="3" t="s">
        <v>7</v>
      </c>
      <c r="C54" s="4">
        <v>41092</v>
      </c>
      <c r="D54" s="5">
        <v>0.64583333333333337</v>
      </c>
      <c r="E54" s="9">
        <v>351</v>
      </c>
      <c r="F54" s="9">
        <v>8647</v>
      </c>
      <c r="G54" s="9">
        <v>8063</v>
      </c>
      <c r="H54" s="9">
        <v>379</v>
      </c>
      <c r="I54" s="9">
        <v>205</v>
      </c>
    </row>
    <row r="55" spans="1:9" x14ac:dyDescent="0.25">
      <c r="A55" s="3" t="s">
        <v>6</v>
      </c>
      <c r="B55" s="3" t="s">
        <v>7</v>
      </c>
      <c r="C55" s="4">
        <v>41092</v>
      </c>
      <c r="D55" s="5">
        <v>0.66666666666666663</v>
      </c>
      <c r="E55" s="9">
        <v>329</v>
      </c>
      <c r="F55" s="9">
        <v>8849</v>
      </c>
      <c r="G55" s="9">
        <v>8352</v>
      </c>
      <c r="H55" s="9">
        <v>274</v>
      </c>
      <c r="I55" s="9">
        <v>223</v>
      </c>
    </row>
    <row r="56" spans="1:9" x14ac:dyDescent="0.25">
      <c r="A56" s="3" t="s">
        <v>6</v>
      </c>
      <c r="B56" s="3" t="s">
        <v>7</v>
      </c>
      <c r="C56" s="4">
        <v>41092</v>
      </c>
      <c r="D56" s="5">
        <v>0.6875</v>
      </c>
      <c r="E56" s="9">
        <v>342</v>
      </c>
      <c r="F56" s="9">
        <v>8705</v>
      </c>
      <c r="G56" s="9">
        <v>8252</v>
      </c>
      <c r="H56" s="9">
        <v>269</v>
      </c>
      <c r="I56" s="9">
        <v>184</v>
      </c>
    </row>
    <row r="57" spans="1:9" x14ac:dyDescent="0.25">
      <c r="A57" s="3" t="s">
        <v>6</v>
      </c>
      <c r="B57" s="3" t="s">
        <v>7</v>
      </c>
      <c r="C57" s="4">
        <v>41092</v>
      </c>
      <c r="D57" s="5">
        <v>0.70833333333333337</v>
      </c>
      <c r="E57" s="9">
        <v>404</v>
      </c>
      <c r="F57" s="9">
        <v>8369</v>
      </c>
      <c r="G57" s="9">
        <v>7922</v>
      </c>
      <c r="H57" s="9">
        <v>307</v>
      </c>
      <c r="I57" s="9">
        <v>140</v>
      </c>
    </row>
    <row r="58" spans="1:9" x14ac:dyDescent="0.25">
      <c r="A58" s="3" t="s">
        <v>6</v>
      </c>
      <c r="B58" s="3" t="s">
        <v>7</v>
      </c>
      <c r="C58" s="4">
        <v>41092</v>
      </c>
      <c r="D58" s="5">
        <v>0.72916666666666663</v>
      </c>
      <c r="E58" s="9">
        <v>358</v>
      </c>
      <c r="F58" s="9">
        <v>8957</v>
      </c>
      <c r="G58" s="9">
        <v>8459</v>
      </c>
      <c r="H58" s="9">
        <v>302</v>
      </c>
      <c r="I58" s="9">
        <v>196</v>
      </c>
    </row>
    <row r="59" spans="1:9" x14ac:dyDescent="0.25">
      <c r="A59" s="3" t="s">
        <v>6</v>
      </c>
      <c r="B59" s="3" t="s">
        <v>7</v>
      </c>
      <c r="C59" s="4">
        <v>41092</v>
      </c>
      <c r="D59" s="5">
        <v>0.75</v>
      </c>
      <c r="E59" s="9">
        <v>354</v>
      </c>
      <c r="F59" s="9">
        <v>8375</v>
      </c>
      <c r="G59" s="9">
        <v>7750</v>
      </c>
      <c r="H59" s="9">
        <v>419</v>
      </c>
      <c r="I59" s="9">
        <v>206</v>
      </c>
    </row>
    <row r="60" spans="1:9" x14ac:dyDescent="0.25">
      <c r="A60" s="3" t="s">
        <v>6</v>
      </c>
      <c r="B60" s="3" t="s">
        <v>7</v>
      </c>
      <c r="C60" s="4">
        <v>41092</v>
      </c>
      <c r="D60" s="5">
        <v>0.77083333333333337</v>
      </c>
      <c r="E60" s="9">
        <v>354</v>
      </c>
      <c r="F60" s="9">
        <v>10247</v>
      </c>
      <c r="G60" s="9">
        <v>8988</v>
      </c>
      <c r="H60" s="9">
        <v>1056</v>
      </c>
      <c r="I60" s="9">
        <v>203</v>
      </c>
    </row>
    <row r="61" spans="1:9" x14ac:dyDescent="0.25">
      <c r="A61" s="3" t="s">
        <v>6</v>
      </c>
      <c r="B61" s="3" t="s">
        <v>7</v>
      </c>
      <c r="C61" s="4">
        <v>41092</v>
      </c>
      <c r="D61" s="5">
        <v>0.79166666666666663</v>
      </c>
      <c r="E61" s="9">
        <v>355</v>
      </c>
      <c r="F61" s="9">
        <v>9008</v>
      </c>
      <c r="G61" s="9">
        <v>7730</v>
      </c>
      <c r="H61" s="9">
        <v>1114</v>
      </c>
      <c r="I61" s="9">
        <v>164</v>
      </c>
    </row>
    <row r="62" spans="1:9" x14ac:dyDescent="0.25">
      <c r="A62" s="3" t="s">
        <v>6</v>
      </c>
      <c r="B62" s="3" t="s">
        <v>7</v>
      </c>
      <c r="C62" s="4">
        <v>41092</v>
      </c>
      <c r="D62" s="5">
        <v>0.8125</v>
      </c>
      <c r="E62" s="9">
        <v>323</v>
      </c>
      <c r="F62" s="9">
        <v>8400</v>
      </c>
      <c r="G62" s="9">
        <v>7672</v>
      </c>
      <c r="H62" s="9">
        <v>589</v>
      </c>
      <c r="I62" s="9">
        <v>139</v>
      </c>
    </row>
    <row r="63" spans="1:9" x14ac:dyDescent="0.25">
      <c r="A63" s="3" t="s">
        <v>6</v>
      </c>
      <c r="B63" s="3" t="s">
        <v>7</v>
      </c>
      <c r="C63" s="4">
        <v>41093</v>
      </c>
      <c r="D63" s="5">
        <v>0.33333333333333331</v>
      </c>
      <c r="E63" s="9">
        <v>216</v>
      </c>
      <c r="F63" s="9">
        <v>2704</v>
      </c>
      <c r="G63" s="9">
        <v>2601</v>
      </c>
      <c r="H63" s="9">
        <v>103</v>
      </c>
      <c r="I63" s="9">
        <v>0</v>
      </c>
    </row>
    <row r="64" spans="1:9" x14ac:dyDescent="0.25">
      <c r="A64" s="3" t="s">
        <v>6</v>
      </c>
      <c r="B64" s="3" t="s">
        <v>7</v>
      </c>
      <c r="C64" s="4">
        <v>41093</v>
      </c>
      <c r="D64" s="5">
        <v>0.35416666666666669</v>
      </c>
      <c r="E64" s="9">
        <v>356</v>
      </c>
      <c r="F64" s="9">
        <v>3921</v>
      </c>
      <c r="G64" s="9">
        <v>3849</v>
      </c>
      <c r="H64" s="9">
        <v>72</v>
      </c>
      <c r="I64" s="9">
        <v>0</v>
      </c>
    </row>
    <row r="65" spans="1:9" x14ac:dyDescent="0.25">
      <c r="A65" s="3" t="s">
        <v>6</v>
      </c>
      <c r="B65" s="3" t="s">
        <v>7</v>
      </c>
      <c r="C65" s="4">
        <v>41093</v>
      </c>
      <c r="D65" s="5">
        <v>0.375</v>
      </c>
      <c r="E65" s="9">
        <v>343</v>
      </c>
      <c r="F65" s="9">
        <v>6237</v>
      </c>
      <c r="G65" s="9">
        <v>6000</v>
      </c>
      <c r="H65" s="9">
        <v>175</v>
      </c>
      <c r="I65" s="9">
        <v>62</v>
      </c>
    </row>
    <row r="66" spans="1:9" x14ac:dyDescent="0.25">
      <c r="A66" s="3" t="s">
        <v>6</v>
      </c>
      <c r="B66" s="3" t="s">
        <v>7</v>
      </c>
      <c r="C66" s="4">
        <v>41093</v>
      </c>
      <c r="D66" s="5">
        <v>0.39583333333333331</v>
      </c>
      <c r="E66" s="9">
        <v>372</v>
      </c>
      <c r="F66" s="9">
        <v>7879</v>
      </c>
      <c r="G66" s="9">
        <v>7323</v>
      </c>
      <c r="H66" s="9">
        <v>399</v>
      </c>
      <c r="I66" s="9">
        <v>157</v>
      </c>
    </row>
    <row r="67" spans="1:9" x14ac:dyDescent="0.25">
      <c r="A67" s="3" t="s">
        <v>6</v>
      </c>
      <c r="B67" s="3" t="s">
        <v>7</v>
      </c>
      <c r="C67" s="4">
        <v>41093</v>
      </c>
      <c r="D67" s="5">
        <v>0.41666666666666669</v>
      </c>
      <c r="E67" s="9">
        <v>318</v>
      </c>
      <c r="F67" s="9">
        <v>8337</v>
      </c>
      <c r="G67" s="9">
        <v>7804</v>
      </c>
      <c r="H67" s="9">
        <v>327</v>
      </c>
      <c r="I67" s="9">
        <v>206</v>
      </c>
    </row>
    <row r="68" spans="1:9" x14ac:dyDescent="0.25">
      <c r="A68" s="3" t="s">
        <v>6</v>
      </c>
      <c r="B68" s="3" t="s">
        <v>7</v>
      </c>
      <c r="C68" s="4">
        <v>41093</v>
      </c>
      <c r="D68" s="5">
        <v>0.4375</v>
      </c>
      <c r="E68" s="9">
        <v>314</v>
      </c>
      <c r="F68" s="9">
        <v>8174</v>
      </c>
      <c r="G68" s="9">
        <v>7682</v>
      </c>
      <c r="H68" s="9">
        <v>281</v>
      </c>
      <c r="I68" s="9">
        <v>211</v>
      </c>
    </row>
    <row r="69" spans="1:9" x14ac:dyDescent="0.25">
      <c r="A69" s="3" t="s">
        <v>6</v>
      </c>
      <c r="B69" s="3" t="s">
        <v>7</v>
      </c>
      <c r="C69" s="4">
        <v>41093</v>
      </c>
      <c r="D69" s="5">
        <v>0.45833333333333331</v>
      </c>
      <c r="E69" s="9">
        <v>317</v>
      </c>
      <c r="F69" s="9">
        <v>8535</v>
      </c>
      <c r="G69" s="9">
        <v>7728</v>
      </c>
      <c r="H69" s="9">
        <v>612</v>
      </c>
      <c r="I69" s="9">
        <v>195</v>
      </c>
    </row>
    <row r="70" spans="1:9" x14ac:dyDescent="0.25">
      <c r="A70" s="3" t="s">
        <v>6</v>
      </c>
      <c r="B70" s="3" t="s">
        <v>7</v>
      </c>
      <c r="C70" s="4">
        <v>41093</v>
      </c>
      <c r="D70" s="5">
        <v>0.47916666666666669</v>
      </c>
      <c r="E70" s="9">
        <v>309</v>
      </c>
      <c r="F70" s="9">
        <v>9788</v>
      </c>
      <c r="G70" s="9">
        <v>8902</v>
      </c>
      <c r="H70" s="9">
        <v>709</v>
      </c>
      <c r="I70" s="9">
        <v>177</v>
      </c>
    </row>
    <row r="71" spans="1:9" x14ac:dyDescent="0.25">
      <c r="A71" s="3" t="s">
        <v>6</v>
      </c>
      <c r="B71" s="3" t="s">
        <v>7</v>
      </c>
      <c r="C71" s="4">
        <v>41093</v>
      </c>
      <c r="D71" s="5">
        <v>0.5</v>
      </c>
      <c r="E71" s="9">
        <v>296</v>
      </c>
      <c r="F71" s="9">
        <v>8584</v>
      </c>
      <c r="G71" s="9">
        <v>7842</v>
      </c>
      <c r="H71" s="9">
        <v>564</v>
      </c>
      <c r="I71" s="9">
        <v>178</v>
      </c>
    </row>
    <row r="72" spans="1:9" x14ac:dyDescent="0.25">
      <c r="A72" s="3" t="s">
        <v>6</v>
      </c>
      <c r="B72" s="3" t="s">
        <v>7</v>
      </c>
      <c r="C72" s="4">
        <v>41093</v>
      </c>
      <c r="D72" s="5">
        <v>0.52083333333333337</v>
      </c>
      <c r="E72" s="9">
        <v>291</v>
      </c>
      <c r="F72" s="9">
        <v>8695</v>
      </c>
      <c r="G72" s="9">
        <v>8015</v>
      </c>
      <c r="H72" s="9">
        <v>502</v>
      </c>
      <c r="I72" s="9">
        <v>178</v>
      </c>
    </row>
    <row r="73" spans="1:9" x14ac:dyDescent="0.25">
      <c r="A73" s="3" t="s">
        <v>6</v>
      </c>
      <c r="B73" s="3" t="s">
        <v>7</v>
      </c>
      <c r="C73" s="4">
        <v>41093</v>
      </c>
      <c r="D73" s="5">
        <v>0.54166666666666663</v>
      </c>
      <c r="E73" s="9">
        <v>319</v>
      </c>
      <c r="F73" s="9">
        <v>8036</v>
      </c>
      <c r="G73" s="9">
        <v>7307</v>
      </c>
      <c r="H73" s="9">
        <v>575</v>
      </c>
      <c r="I73" s="9">
        <v>154</v>
      </c>
    </row>
    <row r="74" spans="1:9" x14ac:dyDescent="0.25">
      <c r="A74" s="3" t="s">
        <v>6</v>
      </c>
      <c r="B74" s="3" t="s">
        <v>7</v>
      </c>
      <c r="C74" s="4">
        <v>41093</v>
      </c>
      <c r="D74" s="5">
        <v>0.5625</v>
      </c>
      <c r="E74" s="9">
        <v>303</v>
      </c>
      <c r="F74" s="9">
        <v>8954</v>
      </c>
      <c r="G74" s="9">
        <v>8262</v>
      </c>
      <c r="H74" s="9">
        <v>542</v>
      </c>
      <c r="I74" s="9">
        <v>150</v>
      </c>
    </row>
    <row r="75" spans="1:9" x14ac:dyDescent="0.25">
      <c r="A75" s="3" t="s">
        <v>6</v>
      </c>
      <c r="B75" s="3" t="s">
        <v>7</v>
      </c>
      <c r="C75" s="4">
        <v>41093</v>
      </c>
      <c r="D75" s="5">
        <v>0.58333333333333337</v>
      </c>
      <c r="E75" s="9">
        <v>316</v>
      </c>
      <c r="F75" s="9">
        <v>8283</v>
      </c>
      <c r="G75" s="9">
        <v>7616</v>
      </c>
      <c r="H75" s="9">
        <v>517</v>
      </c>
      <c r="I75" s="9">
        <v>150</v>
      </c>
    </row>
    <row r="76" spans="1:9" x14ac:dyDescent="0.25">
      <c r="A76" s="3" t="s">
        <v>6</v>
      </c>
      <c r="B76" s="3" t="s">
        <v>7</v>
      </c>
      <c r="C76" s="4">
        <v>41093</v>
      </c>
      <c r="D76" s="5">
        <v>0.60416666666666663</v>
      </c>
      <c r="E76" s="9">
        <v>335</v>
      </c>
      <c r="F76" s="9">
        <v>8108</v>
      </c>
      <c r="G76" s="9">
        <v>7484</v>
      </c>
      <c r="H76" s="9">
        <v>456</v>
      </c>
      <c r="I76" s="9">
        <v>168</v>
      </c>
    </row>
    <row r="77" spans="1:9" x14ac:dyDescent="0.25">
      <c r="A77" s="3" t="s">
        <v>6</v>
      </c>
      <c r="B77" s="3" t="s">
        <v>7</v>
      </c>
      <c r="C77" s="4">
        <v>41093</v>
      </c>
      <c r="D77" s="5">
        <v>0.625</v>
      </c>
      <c r="E77" s="9">
        <v>362</v>
      </c>
      <c r="F77" s="9">
        <v>7526</v>
      </c>
      <c r="G77" s="9">
        <v>7069</v>
      </c>
      <c r="H77" s="9">
        <v>326</v>
      </c>
      <c r="I77" s="9">
        <v>131</v>
      </c>
    </row>
    <row r="78" spans="1:9" x14ac:dyDescent="0.25">
      <c r="A78" s="3" t="s">
        <v>6</v>
      </c>
      <c r="B78" s="3" t="s">
        <v>7</v>
      </c>
      <c r="C78" s="4">
        <v>41093</v>
      </c>
      <c r="D78" s="5">
        <v>0.64583333333333337</v>
      </c>
      <c r="E78" s="9">
        <v>380</v>
      </c>
      <c r="F78" s="9">
        <v>8217</v>
      </c>
      <c r="G78" s="9">
        <v>7552</v>
      </c>
      <c r="H78" s="9">
        <v>427</v>
      </c>
      <c r="I78" s="9">
        <v>238</v>
      </c>
    </row>
    <row r="79" spans="1:9" x14ac:dyDescent="0.25">
      <c r="A79" s="3" t="s">
        <v>6</v>
      </c>
      <c r="B79" s="3" t="s">
        <v>7</v>
      </c>
      <c r="C79" s="4">
        <v>41093</v>
      </c>
      <c r="D79" s="5">
        <v>0.66666666666666663</v>
      </c>
      <c r="E79" s="9">
        <v>346</v>
      </c>
      <c r="F79" s="9">
        <v>8763</v>
      </c>
      <c r="G79" s="9">
        <v>8125</v>
      </c>
      <c r="H79" s="9">
        <v>406</v>
      </c>
      <c r="I79" s="9">
        <v>232</v>
      </c>
    </row>
    <row r="80" spans="1:9" x14ac:dyDescent="0.25">
      <c r="A80" s="3" t="s">
        <v>6</v>
      </c>
      <c r="B80" s="3" t="s">
        <v>7</v>
      </c>
      <c r="C80" s="4">
        <v>41093</v>
      </c>
      <c r="D80" s="5">
        <v>0.6875</v>
      </c>
      <c r="E80" s="9">
        <v>385</v>
      </c>
      <c r="F80" s="9">
        <v>8526</v>
      </c>
      <c r="G80" s="9">
        <v>8018</v>
      </c>
      <c r="H80" s="9">
        <v>312</v>
      </c>
      <c r="I80" s="9">
        <v>196</v>
      </c>
    </row>
    <row r="81" spans="1:9" x14ac:dyDescent="0.25">
      <c r="A81" s="3" t="s">
        <v>6</v>
      </c>
      <c r="B81" s="3" t="s">
        <v>7</v>
      </c>
      <c r="C81" s="4">
        <v>41093</v>
      </c>
      <c r="D81" s="5">
        <v>0.70833333333333337</v>
      </c>
      <c r="E81" s="9">
        <v>392</v>
      </c>
      <c r="F81" s="9">
        <v>8761</v>
      </c>
      <c r="G81" s="9">
        <v>8190</v>
      </c>
      <c r="H81" s="9">
        <v>364</v>
      </c>
      <c r="I81" s="9">
        <v>207</v>
      </c>
    </row>
    <row r="82" spans="1:9" x14ac:dyDescent="0.25">
      <c r="A82" s="3" t="s">
        <v>6</v>
      </c>
      <c r="B82" s="3" t="s">
        <v>7</v>
      </c>
      <c r="C82" s="4">
        <v>41093</v>
      </c>
      <c r="D82" s="5">
        <v>0.72916666666666663</v>
      </c>
      <c r="E82" s="9">
        <v>369</v>
      </c>
      <c r="F82" s="9">
        <v>10580</v>
      </c>
      <c r="G82" s="9">
        <v>9774</v>
      </c>
      <c r="H82" s="9">
        <v>587</v>
      </c>
      <c r="I82" s="9">
        <v>219</v>
      </c>
    </row>
    <row r="83" spans="1:9" x14ac:dyDescent="0.25">
      <c r="A83" s="3" t="s">
        <v>6</v>
      </c>
      <c r="B83" s="3" t="s">
        <v>7</v>
      </c>
      <c r="C83" s="4">
        <v>41093</v>
      </c>
      <c r="D83" s="5">
        <v>0.75</v>
      </c>
      <c r="E83" s="9">
        <v>351</v>
      </c>
      <c r="F83" s="9">
        <v>8451</v>
      </c>
      <c r="G83" s="9">
        <v>7727</v>
      </c>
      <c r="H83" s="9">
        <v>592</v>
      </c>
      <c r="I83" s="9">
        <v>132</v>
      </c>
    </row>
    <row r="84" spans="1:9" x14ac:dyDescent="0.25">
      <c r="A84" s="3" t="s">
        <v>6</v>
      </c>
      <c r="B84" s="3" t="s">
        <v>7</v>
      </c>
      <c r="C84" s="4">
        <v>41093</v>
      </c>
      <c r="D84" s="5">
        <v>0.77083333333333337</v>
      </c>
      <c r="E84" s="9">
        <v>346</v>
      </c>
      <c r="F84" s="9">
        <v>8246</v>
      </c>
      <c r="G84" s="9">
        <v>7689</v>
      </c>
      <c r="H84" s="9">
        <v>398</v>
      </c>
      <c r="I84" s="9">
        <v>159</v>
      </c>
    </row>
    <row r="85" spans="1:9" x14ac:dyDescent="0.25">
      <c r="A85" s="3" t="s">
        <v>6</v>
      </c>
      <c r="B85" s="3" t="s">
        <v>7</v>
      </c>
      <c r="C85" s="4">
        <v>41093</v>
      </c>
      <c r="D85" s="5">
        <v>0.79166666666666663</v>
      </c>
      <c r="E85" s="9">
        <v>343</v>
      </c>
      <c r="F85" s="9">
        <v>7683</v>
      </c>
      <c r="G85" s="9">
        <v>6951</v>
      </c>
      <c r="H85" s="9">
        <v>615</v>
      </c>
      <c r="I85" s="9">
        <v>117</v>
      </c>
    </row>
    <row r="86" spans="1:9" x14ac:dyDescent="0.25">
      <c r="A86" s="3" t="s">
        <v>6</v>
      </c>
      <c r="B86" s="3" t="s">
        <v>7</v>
      </c>
      <c r="C86" s="4">
        <v>41093</v>
      </c>
      <c r="D86" s="5">
        <v>0.8125</v>
      </c>
      <c r="E86" s="9">
        <v>315</v>
      </c>
      <c r="F86" s="9">
        <v>7558</v>
      </c>
      <c r="G86" s="9">
        <v>6681</v>
      </c>
      <c r="H86" s="9">
        <v>745</v>
      </c>
      <c r="I86" s="9">
        <v>132</v>
      </c>
    </row>
    <row r="87" spans="1:9" x14ac:dyDescent="0.25">
      <c r="A87" s="3" t="s">
        <v>6</v>
      </c>
      <c r="B87" s="3" t="s">
        <v>7</v>
      </c>
      <c r="C87" s="4">
        <v>41094</v>
      </c>
      <c r="D87" s="5">
        <v>0.33333333333333331</v>
      </c>
      <c r="E87" s="9">
        <v>219</v>
      </c>
      <c r="F87" s="9">
        <v>2751</v>
      </c>
      <c r="G87" s="9">
        <v>2676</v>
      </c>
      <c r="H87" s="9">
        <v>75</v>
      </c>
      <c r="I87" s="9">
        <v>0</v>
      </c>
    </row>
    <row r="88" spans="1:9" x14ac:dyDescent="0.25">
      <c r="A88" s="3" t="s">
        <v>6</v>
      </c>
      <c r="B88" s="3" t="s">
        <v>7</v>
      </c>
      <c r="C88" s="4">
        <v>41094</v>
      </c>
      <c r="D88" s="5">
        <v>0.35416666666666669</v>
      </c>
      <c r="E88" s="9">
        <v>290</v>
      </c>
      <c r="F88" s="9">
        <v>3742</v>
      </c>
      <c r="G88" s="9">
        <v>3651</v>
      </c>
      <c r="H88" s="9">
        <v>91</v>
      </c>
      <c r="I88" s="9">
        <v>0</v>
      </c>
    </row>
    <row r="89" spans="1:9" x14ac:dyDescent="0.25">
      <c r="A89" s="3" t="s">
        <v>6</v>
      </c>
      <c r="B89" s="3" t="s">
        <v>7</v>
      </c>
      <c r="C89" s="4">
        <v>41094</v>
      </c>
      <c r="D89" s="5">
        <v>0.375</v>
      </c>
      <c r="E89" s="9">
        <v>270</v>
      </c>
      <c r="F89" s="9">
        <v>5935</v>
      </c>
      <c r="G89" s="9">
        <v>5545</v>
      </c>
      <c r="H89" s="9">
        <v>208</v>
      </c>
      <c r="I89" s="9">
        <v>182</v>
      </c>
    </row>
    <row r="90" spans="1:9" x14ac:dyDescent="0.25">
      <c r="A90" s="3" t="s">
        <v>6</v>
      </c>
      <c r="B90" s="3" t="s">
        <v>7</v>
      </c>
      <c r="C90" s="4">
        <v>41094</v>
      </c>
      <c r="D90" s="5">
        <v>0.39583333333333331</v>
      </c>
      <c r="E90" s="9">
        <v>303</v>
      </c>
      <c r="F90" s="9">
        <v>7311</v>
      </c>
      <c r="G90" s="9">
        <v>6618</v>
      </c>
      <c r="H90" s="9">
        <v>459</v>
      </c>
      <c r="I90" s="9">
        <v>234</v>
      </c>
    </row>
    <row r="91" spans="1:9" x14ac:dyDescent="0.25">
      <c r="A91" s="3" t="s">
        <v>6</v>
      </c>
      <c r="B91" s="3" t="s">
        <v>7</v>
      </c>
      <c r="C91" s="4">
        <v>41094</v>
      </c>
      <c r="D91" s="5">
        <v>0.41666666666666669</v>
      </c>
      <c r="E91" s="9">
        <v>262</v>
      </c>
      <c r="F91" s="9">
        <v>7529</v>
      </c>
      <c r="G91" s="9">
        <v>6951</v>
      </c>
      <c r="H91" s="9">
        <v>396</v>
      </c>
      <c r="I91" s="9">
        <v>182</v>
      </c>
    </row>
    <row r="92" spans="1:9" x14ac:dyDescent="0.25">
      <c r="A92" s="3" t="s">
        <v>6</v>
      </c>
      <c r="B92" s="3" t="s">
        <v>7</v>
      </c>
      <c r="C92" s="4">
        <v>41094</v>
      </c>
      <c r="D92" s="5">
        <v>0.4375</v>
      </c>
      <c r="E92" s="9">
        <v>280</v>
      </c>
      <c r="F92" s="9">
        <v>7878</v>
      </c>
      <c r="G92" s="9">
        <v>7328</v>
      </c>
      <c r="H92" s="9">
        <v>348</v>
      </c>
      <c r="I92" s="9">
        <v>202</v>
      </c>
    </row>
    <row r="93" spans="1:9" x14ac:dyDescent="0.25">
      <c r="A93" s="3" t="s">
        <v>6</v>
      </c>
      <c r="B93" s="3" t="s">
        <v>7</v>
      </c>
      <c r="C93" s="4">
        <v>41094</v>
      </c>
      <c r="D93" s="5">
        <v>0.45833333333333331</v>
      </c>
      <c r="E93" s="9">
        <v>294</v>
      </c>
      <c r="F93" s="9">
        <v>8457</v>
      </c>
      <c r="G93" s="9">
        <v>7743</v>
      </c>
      <c r="H93" s="9">
        <v>449</v>
      </c>
      <c r="I93" s="9">
        <v>265</v>
      </c>
    </row>
    <row r="94" spans="1:9" x14ac:dyDescent="0.25">
      <c r="A94" s="3" t="s">
        <v>6</v>
      </c>
      <c r="B94" s="3" t="s">
        <v>7</v>
      </c>
      <c r="C94" s="4">
        <v>41094</v>
      </c>
      <c r="D94" s="5">
        <v>0.47916666666666669</v>
      </c>
      <c r="E94" s="9">
        <v>293</v>
      </c>
      <c r="F94" s="9">
        <v>9068</v>
      </c>
      <c r="G94" s="9">
        <v>8381</v>
      </c>
      <c r="H94" s="9">
        <v>412</v>
      </c>
      <c r="I94" s="9">
        <v>275</v>
      </c>
    </row>
    <row r="95" spans="1:9" x14ac:dyDescent="0.25">
      <c r="A95" s="3" t="s">
        <v>6</v>
      </c>
      <c r="B95" s="3" t="s">
        <v>7</v>
      </c>
      <c r="C95" s="4">
        <v>41094</v>
      </c>
      <c r="D95" s="5">
        <v>0.5</v>
      </c>
      <c r="E95" s="9">
        <v>308</v>
      </c>
      <c r="F95" s="9">
        <v>8214</v>
      </c>
      <c r="G95" s="9">
        <v>7645</v>
      </c>
      <c r="H95" s="9">
        <v>405</v>
      </c>
      <c r="I95" s="9">
        <v>164</v>
      </c>
    </row>
    <row r="96" spans="1:9" x14ac:dyDescent="0.25">
      <c r="A96" s="3" t="s">
        <v>6</v>
      </c>
      <c r="B96" s="3" t="s">
        <v>7</v>
      </c>
      <c r="C96" s="4">
        <v>41094</v>
      </c>
      <c r="D96" s="5">
        <v>0.52083333333333337</v>
      </c>
      <c r="E96" s="9">
        <v>310</v>
      </c>
      <c r="F96" s="9">
        <v>8268</v>
      </c>
      <c r="G96" s="9">
        <v>7564</v>
      </c>
      <c r="H96" s="9">
        <v>509</v>
      </c>
      <c r="I96" s="9">
        <v>195</v>
      </c>
    </row>
    <row r="97" spans="1:9" x14ac:dyDescent="0.25">
      <c r="A97" s="3" t="s">
        <v>6</v>
      </c>
      <c r="B97" s="3" t="s">
        <v>7</v>
      </c>
      <c r="C97" s="4">
        <v>41094</v>
      </c>
      <c r="D97" s="5">
        <v>0.54166666666666663</v>
      </c>
      <c r="E97" s="9">
        <v>325</v>
      </c>
      <c r="F97" s="9">
        <v>9160</v>
      </c>
      <c r="G97" s="9">
        <v>8463</v>
      </c>
      <c r="H97" s="9">
        <v>485</v>
      </c>
      <c r="I97" s="9">
        <v>212</v>
      </c>
    </row>
    <row r="98" spans="1:9" x14ac:dyDescent="0.25">
      <c r="A98" s="3" t="s">
        <v>6</v>
      </c>
      <c r="B98" s="3" t="s">
        <v>7</v>
      </c>
      <c r="C98" s="4">
        <v>41094</v>
      </c>
      <c r="D98" s="5">
        <v>0.5625</v>
      </c>
      <c r="E98" s="9">
        <v>286</v>
      </c>
      <c r="F98" s="9">
        <v>8831</v>
      </c>
      <c r="G98" s="9">
        <v>8147</v>
      </c>
      <c r="H98" s="9">
        <v>529</v>
      </c>
      <c r="I98" s="9">
        <v>155</v>
      </c>
    </row>
    <row r="99" spans="1:9" x14ac:dyDescent="0.25">
      <c r="A99" s="3" t="s">
        <v>6</v>
      </c>
      <c r="B99" s="3" t="s">
        <v>7</v>
      </c>
      <c r="C99" s="4">
        <v>41094</v>
      </c>
      <c r="D99" s="5">
        <v>0.58333333333333337</v>
      </c>
      <c r="E99" s="9">
        <v>291</v>
      </c>
      <c r="F99" s="9">
        <v>8446</v>
      </c>
      <c r="G99" s="9">
        <v>7656</v>
      </c>
      <c r="H99" s="9">
        <v>596</v>
      </c>
      <c r="I99" s="9">
        <v>194</v>
      </c>
    </row>
    <row r="100" spans="1:9" x14ac:dyDescent="0.25">
      <c r="A100" s="3" t="s">
        <v>6</v>
      </c>
      <c r="B100" s="3" t="s">
        <v>7</v>
      </c>
      <c r="C100" s="4">
        <v>41094</v>
      </c>
      <c r="D100" s="5">
        <v>0.60416666666666663</v>
      </c>
      <c r="E100" s="9">
        <v>314</v>
      </c>
      <c r="F100" s="9">
        <v>8311</v>
      </c>
      <c r="G100" s="9">
        <v>7483</v>
      </c>
      <c r="H100" s="9">
        <v>593</v>
      </c>
      <c r="I100" s="9">
        <v>235</v>
      </c>
    </row>
    <row r="101" spans="1:9" x14ac:dyDescent="0.25">
      <c r="A101" s="3" t="s">
        <v>6</v>
      </c>
      <c r="B101" s="3" t="s">
        <v>7</v>
      </c>
      <c r="C101" s="4">
        <v>41094</v>
      </c>
      <c r="D101" s="5">
        <v>0.625</v>
      </c>
      <c r="E101" s="9">
        <v>307</v>
      </c>
      <c r="F101" s="9">
        <v>7454</v>
      </c>
      <c r="G101" s="9">
        <v>7105</v>
      </c>
      <c r="H101" s="9">
        <v>282</v>
      </c>
      <c r="I101" s="9">
        <v>67</v>
      </c>
    </row>
    <row r="102" spans="1:9" x14ac:dyDescent="0.25">
      <c r="A102" s="3" t="s">
        <v>6</v>
      </c>
      <c r="B102" s="3" t="s">
        <v>7</v>
      </c>
      <c r="C102" s="4">
        <v>41094</v>
      </c>
      <c r="D102" s="5">
        <v>0.64583333333333337</v>
      </c>
      <c r="E102" s="9">
        <v>319</v>
      </c>
      <c r="F102" s="9">
        <v>8255</v>
      </c>
      <c r="G102" s="9">
        <v>7703</v>
      </c>
      <c r="H102" s="9">
        <v>347</v>
      </c>
      <c r="I102" s="9">
        <v>205</v>
      </c>
    </row>
    <row r="103" spans="1:9" x14ac:dyDescent="0.25">
      <c r="A103" s="3" t="s">
        <v>6</v>
      </c>
      <c r="B103" s="3" t="s">
        <v>7</v>
      </c>
      <c r="C103" s="4">
        <v>41094</v>
      </c>
      <c r="D103" s="5">
        <v>0.66666666666666663</v>
      </c>
      <c r="E103" s="9">
        <v>290</v>
      </c>
      <c r="F103" s="9">
        <v>8317</v>
      </c>
      <c r="G103" s="9">
        <v>7611</v>
      </c>
      <c r="H103" s="9">
        <v>496</v>
      </c>
      <c r="I103" s="9">
        <v>210</v>
      </c>
    </row>
    <row r="104" spans="1:9" x14ac:dyDescent="0.25">
      <c r="A104" s="3" t="s">
        <v>6</v>
      </c>
      <c r="B104" s="3" t="s">
        <v>7</v>
      </c>
      <c r="C104" s="4">
        <v>41094</v>
      </c>
      <c r="D104" s="5">
        <v>0.6875</v>
      </c>
      <c r="E104" s="9">
        <v>285</v>
      </c>
      <c r="F104" s="9">
        <v>8643</v>
      </c>
      <c r="G104" s="9">
        <v>8046</v>
      </c>
      <c r="H104" s="9">
        <v>438</v>
      </c>
      <c r="I104" s="9">
        <v>159</v>
      </c>
    </row>
    <row r="105" spans="1:9" x14ac:dyDescent="0.25">
      <c r="A105" s="3" t="s">
        <v>6</v>
      </c>
      <c r="B105" s="3" t="s">
        <v>7</v>
      </c>
      <c r="C105" s="4">
        <v>41094</v>
      </c>
      <c r="D105" s="5">
        <v>0.70833333333333337</v>
      </c>
      <c r="E105" s="9">
        <v>391</v>
      </c>
      <c r="F105" s="9">
        <v>8091</v>
      </c>
      <c r="G105" s="9">
        <v>7515</v>
      </c>
      <c r="H105" s="9">
        <v>399</v>
      </c>
      <c r="I105" s="9">
        <v>177</v>
      </c>
    </row>
    <row r="106" spans="1:9" x14ac:dyDescent="0.25">
      <c r="A106" s="3" t="s">
        <v>6</v>
      </c>
      <c r="B106" s="3" t="s">
        <v>7</v>
      </c>
      <c r="C106" s="4">
        <v>41094</v>
      </c>
      <c r="D106" s="5">
        <v>0.72916666666666663</v>
      </c>
      <c r="E106" s="9">
        <v>363</v>
      </c>
      <c r="F106" s="9">
        <v>7966</v>
      </c>
      <c r="G106" s="9">
        <v>7484</v>
      </c>
      <c r="H106" s="9">
        <v>358</v>
      </c>
      <c r="I106" s="9">
        <v>124</v>
      </c>
    </row>
    <row r="107" spans="1:9" x14ac:dyDescent="0.25">
      <c r="A107" s="3" t="s">
        <v>6</v>
      </c>
      <c r="B107" s="3" t="s">
        <v>7</v>
      </c>
      <c r="C107" s="4">
        <v>41094</v>
      </c>
      <c r="D107" s="5">
        <v>0.75</v>
      </c>
      <c r="E107" s="9">
        <v>395</v>
      </c>
      <c r="F107" s="9">
        <v>7780</v>
      </c>
      <c r="G107" s="9">
        <v>7248</v>
      </c>
      <c r="H107" s="9">
        <v>389</v>
      </c>
      <c r="I107" s="9">
        <v>143</v>
      </c>
    </row>
    <row r="108" spans="1:9" x14ac:dyDescent="0.25">
      <c r="A108" s="3" t="s">
        <v>6</v>
      </c>
      <c r="B108" s="3" t="s">
        <v>7</v>
      </c>
      <c r="C108" s="4">
        <v>41094</v>
      </c>
      <c r="D108" s="5">
        <v>0.77083333333333337</v>
      </c>
      <c r="E108" s="9">
        <v>382</v>
      </c>
      <c r="F108" s="9">
        <v>7893</v>
      </c>
      <c r="G108" s="9">
        <v>7238</v>
      </c>
      <c r="H108" s="9">
        <v>434</v>
      </c>
      <c r="I108" s="9">
        <v>221</v>
      </c>
    </row>
    <row r="109" spans="1:9" x14ac:dyDescent="0.25">
      <c r="A109" s="3" t="s">
        <v>6</v>
      </c>
      <c r="B109" s="3" t="s">
        <v>7</v>
      </c>
      <c r="C109" s="4">
        <v>41094</v>
      </c>
      <c r="D109" s="5">
        <v>0.79166666666666663</v>
      </c>
      <c r="E109" s="9">
        <v>308</v>
      </c>
      <c r="F109" s="9">
        <v>7186</v>
      </c>
      <c r="G109" s="9">
        <v>6454</v>
      </c>
      <c r="H109" s="9">
        <v>618</v>
      </c>
      <c r="I109" s="9">
        <v>114</v>
      </c>
    </row>
    <row r="110" spans="1:9" x14ac:dyDescent="0.25">
      <c r="A110" s="3" t="s">
        <v>6</v>
      </c>
      <c r="B110" s="3" t="s">
        <v>7</v>
      </c>
      <c r="C110" s="4">
        <v>41094</v>
      </c>
      <c r="D110" s="5">
        <v>0.8125</v>
      </c>
      <c r="E110" s="9">
        <v>297</v>
      </c>
      <c r="F110" s="9">
        <v>7305</v>
      </c>
      <c r="G110" s="9">
        <v>6483</v>
      </c>
      <c r="H110" s="9">
        <v>659</v>
      </c>
      <c r="I110" s="9">
        <v>163</v>
      </c>
    </row>
    <row r="111" spans="1:9" x14ac:dyDescent="0.25">
      <c r="A111" s="3" t="s">
        <v>6</v>
      </c>
      <c r="B111" s="3" t="s">
        <v>7</v>
      </c>
      <c r="C111" s="4">
        <v>41095</v>
      </c>
      <c r="D111" s="5">
        <v>0.33333333333333331</v>
      </c>
      <c r="E111" s="9">
        <v>209</v>
      </c>
      <c r="F111" s="9">
        <v>2432</v>
      </c>
      <c r="G111" s="9">
        <v>2375</v>
      </c>
      <c r="H111" s="9">
        <v>57</v>
      </c>
      <c r="I111" s="9">
        <v>0</v>
      </c>
    </row>
    <row r="112" spans="1:9" x14ac:dyDescent="0.25">
      <c r="A112" s="3" t="s">
        <v>6</v>
      </c>
      <c r="B112" s="3" t="s">
        <v>7</v>
      </c>
      <c r="C112" s="4">
        <v>41095</v>
      </c>
      <c r="D112" s="5">
        <v>0.35416666666666669</v>
      </c>
      <c r="E112" s="9">
        <v>219</v>
      </c>
      <c r="F112" s="9">
        <v>3473</v>
      </c>
      <c r="G112" s="9">
        <v>3407</v>
      </c>
      <c r="H112" s="9">
        <v>66</v>
      </c>
      <c r="I112" s="9">
        <v>0</v>
      </c>
    </row>
    <row r="113" spans="1:9" x14ac:dyDescent="0.25">
      <c r="A113" s="3" t="s">
        <v>6</v>
      </c>
      <c r="B113" s="3" t="s">
        <v>7</v>
      </c>
      <c r="C113" s="4">
        <v>41095</v>
      </c>
      <c r="D113" s="5">
        <v>0.375</v>
      </c>
      <c r="E113" s="9">
        <v>266</v>
      </c>
      <c r="F113" s="9">
        <v>5755</v>
      </c>
      <c r="G113" s="9">
        <v>5513</v>
      </c>
      <c r="H113" s="9">
        <v>189</v>
      </c>
      <c r="I113" s="9">
        <v>53</v>
      </c>
    </row>
    <row r="114" spans="1:9" x14ac:dyDescent="0.25">
      <c r="A114" s="3" t="s">
        <v>6</v>
      </c>
      <c r="B114" s="3" t="s">
        <v>7</v>
      </c>
      <c r="C114" s="4">
        <v>41095</v>
      </c>
      <c r="D114" s="5">
        <v>0.39583333333333331</v>
      </c>
      <c r="E114" s="9">
        <v>250</v>
      </c>
      <c r="F114" s="9">
        <v>7200</v>
      </c>
      <c r="G114" s="9">
        <v>6634</v>
      </c>
      <c r="H114" s="9">
        <v>357</v>
      </c>
      <c r="I114" s="9">
        <v>209</v>
      </c>
    </row>
    <row r="115" spans="1:9" x14ac:dyDescent="0.25">
      <c r="A115" s="3" t="s">
        <v>6</v>
      </c>
      <c r="B115" s="3" t="s">
        <v>7</v>
      </c>
      <c r="C115" s="4">
        <v>41095</v>
      </c>
      <c r="D115" s="5">
        <v>0.41666666666666669</v>
      </c>
      <c r="E115" s="9">
        <v>267</v>
      </c>
      <c r="F115" s="9">
        <v>7535</v>
      </c>
      <c r="G115" s="9">
        <v>6924</v>
      </c>
      <c r="H115" s="9">
        <v>424</v>
      </c>
      <c r="I115" s="9">
        <v>187</v>
      </c>
    </row>
    <row r="116" spans="1:9" x14ac:dyDescent="0.25">
      <c r="A116" s="3" t="s">
        <v>6</v>
      </c>
      <c r="B116" s="3" t="s">
        <v>7</v>
      </c>
      <c r="C116" s="4">
        <v>41095</v>
      </c>
      <c r="D116" s="5">
        <v>0.4375</v>
      </c>
      <c r="E116" s="9">
        <v>269</v>
      </c>
      <c r="F116" s="9">
        <v>7677</v>
      </c>
      <c r="G116" s="9">
        <v>7265</v>
      </c>
      <c r="H116" s="9">
        <v>260</v>
      </c>
      <c r="I116" s="9">
        <v>152</v>
      </c>
    </row>
    <row r="117" spans="1:9" x14ac:dyDescent="0.25">
      <c r="A117" s="3" t="s">
        <v>6</v>
      </c>
      <c r="B117" s="3" t="s">
        <v>7</v>
      </c>
      <c r="C117" s="4">
        <v>41095</v>
      </c>
      <c r="D117" s="5">
        <v>0.45833333333333331</v>
      </c>
      <c r="E117" s="9">
        <v>279</v>
      </c>
      <c r="F117" s="9">
        <v>8080</v>
      </c>
      <c r="G117" s="9">
        <v>7502</v>
      </c>
      <c r="H117" s="9">
        <v>401</v>
      </c>
      <c r="I117" s="9">
        <v>177</v>
      </c>
    </row>
    <row r="118" spans="1:9" x14ac:dyDescent="0.25">
      <c r="A118" s="3" t="s">
        <v>6</v>
      </c>
      <c r="B118" s="3" t="s">
        <v>7</v>
      </c>
      <c r="C118" s="4">
        <v>41095</v>
      </c>
      <c r="D118" s="5">
        <v>0.47916666666666669</v>
      </c>
      <c r="E118" s="9">
        <v>267</v>
      </c>
      <c r="F118" s="9">
        <v>8530</v>
      </c>
      <c r="G118" s="9">
        <v>8026</v>
      </c>
      <c r="H118" s="9">
        <v>374</v>
      </c>
      <c r="I118" s="9">
        <v>130</v>
      </c>
    </row>
    <row r="119" spans="1:9" x14ac:dyDescent="0.25">
      <c r="A119" s="3" t="s">
        <v>6</v>
      </c>
      <c r="B119" s="3" t="s">
        <v>7</v>
      </c>
      <c r="C119" s="4">
        <v>41095</v>
      </c>
      <c r="D119" s="5">
        <v>0.5</v>
      </c>
      <c r="E119" s="9">
        <v>264</v>
      </c>
      <c r="F119" s="9">
        <v>7622</v>
      </c>
      <c r="G119" s="9">
        <v>6976</v>
      </c>
      <c r="H119" s="9">
        <v>507</v>
      </c>
      <c r="I119" s="9">
        <v>139</v>
      </c>
    </row>
    <row r="120" spans="1:9" x14ac:dyDescent="0.25">
      <c r="A120" s="3" t="s">
        <v>6</v>
      </c>
      <c r="B120" s="3" t="s">
        <v>7</v>
      </c>
      <c r="C120" s="4">
        <v>41095</v>
      </c>
      <c r="D120" s="5">
        <v>0.52083333333333337</v>
      </c>
      <c r="E120" s="9">
        <v>263</v>
      </c>
      <c r="F120" s="9">
        <v>7874</v>
      </c>
      <c r="G120" s="9">
        <v>7216</v>
      </c>
      <c r="H120" s="9">
        <v>525</v>
      </c>
      <c r="I120" s="9">
        <v>133</v>
      </c>
    </row>
    <row r="121" spans="1:9" x14ac:dyDescent="0.25">
      <c r="A121" s="3" t="s">
        <v>6</v>
      </c>
      <c r="B121" s="3" t="s">
        <v>7</v>
      </c>
      <c r="C121" s="4">
        <v>41095</v>
      </c>
      <c r="D121" s="5">
        <v>0.54166666666666663</v>
      </c>
      <c r="E121" s="9">
        <v>264</v>
      </c>
      <c r="F121" s="9">
        <v>7177</v>
      </c>
      <c r="G121" s="9">
        <v>6809</v>
      </c>
      <c r="H121" s="9">
        <v>259</v>
      </c>
      <c r="I121" s="9">
        <v>109</v>
      </c>
    </row>
    <row r="122" spans="1:9" x14ac:dyDescent="0.25">
      <c r="A122" s="3" t="s">
        <v>6</v>
      </c>
      <c r="B122" s="3" t="s">
        <v>7</v>
      </c>
      <c r="C122" s="4">
        <v>41095</v>
      </c>
      <c r="D122" s="5">
        <v>0.5625</v>
      </c>
      <c r="E122" s="9">
        <v>274</v>
      </c>
      <c r="F122" s="9">
        <v>8203</v>
      </c>
      <c r="G122" s="9">
        <v>7747</v>
      </c>
      <c r="H122" s="9">
        <v>321</v>
      </c>
      <c r="I122" s="9">
        <v>135</v>
      </c>
    </row>
    <row r="123" spans="1:9" x14ac:dyDescent="0.25">
      <c r="A123" s="3" t="s">
        <v>6</v>
      </c>
      <c r="B123" s="3" t="s">
        <v>7</v>
      </c>
      <c r="C123" s="4">
        <v>41095</v>
      </c>
      <c r="D123" s="5">
        <v>0.58333333333333337</v>
      </c>
      <c r="E123" s="9">
        <v>267</v>
      </c>
      <c r="F123" s="9">
        <v>7516</v>
      </c>
      <c r="G123" s="9">
        <v>7073</v>
      </c>
      <c r="H123" s="9">
        <v>340</v>
      </c>
      <c r="I123" s="9">
        <v>103</v>
      </c>
    </row>
    <row r="124" spans="1:9" x14ac:dyDescent="0.25">
      <c r="A124" s="3" t="s">
        <v>6</v>
      </c>
      <c r="B124" s="3" t="s">
        <v>7</v>
      </c>
      <c r="C124" s="4">
        <v>41095</v>
      </c>
      <c r="D124" s="5">
        <v>0.60416666666666663</v>
      </c>
      <c r="E124" s="9">
        <v>275</v>
      </c>
      <c r="F124" s="9">
        <v>7570</v>
      </c>
      <c r="G124" s="9">
        <v>6954</v>
      </c>
      <c r="H124" s="9">
        <v>527</v>
      </c>
      <c r="I124" s="9">
        <v>89</v>
      </c>
    </row>
    <row r="125" spans="1:9" x14ac:dyDescent="0.25">
      <c r="A125" s="3" t="s">
        <v>6</v>
      </c>
      <c r="B125" s="3" t="s">
        <v>7</v>
      </c>
      <c r="C125" s="4">
        <v>41095</v>
      </c>
      <c r="D125" s="5">
        <v>0.625</v>
      </c>
      <c r="E125" s="9">
        <v>247</v>
      </c>
      <c r="F125" s="9">
        <v>7564</v>
      </c>
      <c r="G125" s="9">
        <v>7062</v>
      </c>
      <c r="H125" s="9">
        <v>402</v>
      </c>
      <c r="I125" s="9">
        <v>100</v>
      </c>
    </row>
    <row r="126" spans="1:9" x14ac:dyDescent="0.25">
      <c r="A126" s="3" t="s">
        <v>6</v>
      </c>
      <c r="B126" s="3" t="s">
        <v>7</v>
      </c>
      <c r="C126" s="4">
        <v>41095</v>
      </c>
      <c r="D126" s="5">
        <v>0.64583333333333337</v>
      </c>
      <c r="E126" s="9">
        <v>353</v>
      </c>
      <c r="F126" s="9">
        <v>7745</v>
      </c>
      <c r="G126" s="9">
        <v>7142</v>
      </c>
      <c r="H126" s="9">
        <v>373</v>
      </c>
      <c r="I126" s="9">
        <v>230</v>
      </c>
    </row>
    <row r="127" spans="1:9" x14ac:dyDescent="0.25">
      <c r="A127" s="3" t="s">
        <v>6</v>
      </c>
      <c r="B127" s="3" t="s">
        <v>7</v>
      </c>
      <c r="C127" s="4">
        <v>41095</v>
      </c>
      <c r="D127" s="5">
        <v>0.66666666666666663</v>
      </c>
      <c r="E127" s="9">
        <v>321</v>
      </c>
      <c r="F127" s="9">
        <v>7751</v>
      </c>
      <c r="G127" s="9">
        <v>7236</v>
      </c>
      <c r="H127" s="9">
        <v>338</v>
      </c>
      <c r="I127" s="9">
        <v>177</v>
      </c>
    </row>
    <row r="128" spans="1:9" x14ac:dyDescent="0.25">
      <c r="A128" s="3" t="s">
        <v>6</v>
      </c>
      <c r="B128" s="3" t="s">
        <v>7</v>
      </c>
      <c r="C128" s="4">
        <v>41095</v>
      </c>
      <c r="D128" s="5">
        <v>0.6875</v>
      </c>
      <c r="E128" s="9">
        <v>311</v>
      </c>
      <c r="F128" s="9">
        <v>7891</v>
      </c>
      <c r="G128" s="9">
        <v>7339</v>
      </c>
      <c r="H128" s="9">
        <v>339</v>
      </c>
      <c r="I128" s="9">
        <v>213</v>
      </c>
    </row>
    <row r="129" spans="1:9" x14ac:dyDescent="0.25">
      <c r="A129" s="3" t="s">
        <v>6</v>
      </c>
      <c r="B129" s="3" t="s">
        <v>7</v>
      </c>
      <c r="C129" s="4">
        <v>41095</v>
      </c>
      <c r="D129" s="5">
        <v>0.70833333333333337</v>
      </c>
      <c r="E129" s="9">
        <v>405</v>
      </c>
      <c r="F129" s="9">
        <v>7860</v>
      </c>
      <c r="G129" s="9">
        <v>7298</v>
      </c>
      <c r="H129" s="9">
        <v>374</v>
      </c>
      <c r="I129" s="9">
        <v>188</v>
      </c>
    </row>
    <row r="130" spans="1:9" x14ac:dyDescent="0.25">
      <c r="A130" s="3" t="s">
        <v>6</v>
      </c>
      <c r="B130" s="3" t="s">
        <v>7</v>
      </c>
      <c r="C130" s="4">
        <v>41095</v>
      </c>
      <c r="D130" s="5">
        <v>0.72916666666666663</v>
      </c>
      <c r="E130" s="9">
        <v>385</v>
      </c>
      <c r="F130" s="9">
        <v>7733</v>
      </c>
      <c r="G130" s="9">
        <v>7168</v>
      </c>
      <c r="H130" s="9">
        <v>400</v>
      </c>
      <c r="I130" s="9">
        <v>165</v>
      </c>
    </row>
    <row r="131" spans="1:9" x14ac:dyDescent="0.25">
      <c r="A131" s="3" t="s">
        <v>6</v>
      </c>
      <c r="B131" s="3" t="s">
        <v>7</v>
      </c>
      <c r="C131" s="4">
        <v>41095</v>
      </c>
      <c r="D131" s="5">
        <v>0.75</v>
      </c>
      <c r="E131" s="9">
        <v>370</v>
      </c>
      <c r="F131" s="9">
        <v>7637</v>
      </c>
      <c r="G131" s="9">
        <v>6993</v>
      </c>
      <c r="H131" s="9">
        <v>483</v>
      </c>
      <c r="I131" s="9">
        <v>161</v>
      </c>
    </row>
    <row r="132" spans="1:9" x14ac:dyDescent="0.25">
      <c r="A132" s="3" t="s">
        <v>6</v>
      </c>
      <c r="B132" s="3" t="s">
        <v>7</v>
      </c>
      <c r="C132" s="4">
        <v>41095</v>
      </c>
      <c r="D132" s="5">
        <v>0.77083333333333337</v>
      </c>
      <c r="E132" s="9">
        <v>390</v>
      </c>
      <c r="F132" s="9">
        <v>7739</v>
      </c>
      <c r="G132" s="9">
        <v>7166</v>
      </c>
      <c r="H132" s="9">
        <v>409</v>
      </c>
      <c r="I132" s="9">
        <v>164</v>
      </c>
    </row>
    <row r="133" spans="1:9" x14ac:dyDescent="0.25">
      <c r="A133" s="3" t="s">
        <v>6</v>
      </c>
      <c r="B133" s="3" t="s">
        <v>7</v>
      </c>
      <c r="C133" s="4">
        <v>41095</v>
      </c>
      <c r="D133" s="5">
        <v>0.79166666666666663</v>
      </c>
      <c r="E133" s="9">
        <v>300</v>
      </c>
      <c r="F133" s="9">
        <v>7469</v>
      </c>
      <c r="G133" s="9">
        <v>6835</v>
      </c>
      <c r="H133" s="9">
        <v>505</v>
      </c>
      <c r="I133" s="9">
        <v>129</v>
      </c>
    </row>
    <row r="134" spans="1:9" x14ac:dyDescent="0.25">
      <c r="A134" s="3" t="s">
        <v>6</v>
      </c>
      <c r="B134" s="3" t="s">
        <v>7</v>
      </c>
      <c r="C134" s="4">
        <v>41095</v>
      </c>
      <c r="D134" s="5">
        <v>0.8125</v>
      </c>
      <c r="E134" s="9">
        <v>295</v>
      </c>
      <c r="F134" s="9">
        <v>7385</v>
      </c>
      <c r="G134" s="9">
        <v>6799</v>
      </c>
      <c r="H134" s="9">
        <v>432</v>
      </c>
      <c r="I134" s="9">
        <v>154</v>
      </c>
    </row>
    <row r="135" spans="1:9" x14ac:dyDescent="0.25">
      <c r="A135" s="3" t="s">
        <v>6</v>
      </c>
      <c r="B135" s="3" t="s">
        <v>8</v>
      </c>
      <c r="C135" s="4">
        <v>41091</v>
      </c>
      <c r="D135" s="5">
        <v>0.33333333333333331</v>
      </c>
      <c r="E135" s="9">
        <v>440</v>
      </c>
      <c r="F135" s="9">
        <v>128</v>
      </c>
      <c r="G135" s="9">
        <v>125</v>
      </c>
      <c r="H135" s="9">
        <v>3</v>
      </c>
      <c r="I135" s="9">
        <v>0</v>
      </c>
    </row>
    <row r="136" spans="1:9" x14ac:dyDescent="0.25">
      <c r="A136" s="3" t="s">
        <v>6</v>
      </c>
      <c r="B136" s="3" t="s">
        <v>8</v>
      </c>
      <c r="C136" s="4">
        <v>41091</v>
      </c>
      <c r="D136" s="5">
        <v>0.35416666666666669</v>
      </c>
      <c r="E136" s="9">
        <v>633</v>
      </c>
      <c r="F136" s="9">
        <v>151</v>
      </c>
      <c r="G136" s="9">
        <v>151</v>
      </c>
      <c r="H136" s="9">
        <v>0</v>
      </c>
      <c r="I136" s="9">
        <v>0</v>
      </c>
    </row>
    <row r="137" spans="1:9" x14ac:dyDescent="0.25">
      <c r="A137" s="3" t="s">
        <v>6</v>
      </c>
      <c r="B137" s="3" t="s">
        <v>8</v>
      </c>
      <c r="C137" s="4">
        <v>41091</v>
      </c>
      <c r="D137" s="5">
        <v>0.375</v>
      </c>
      <c r="E137" s="9">
        <v>623</v>
      </c>
      <c r="F137" s="9">
        <v>286</v>
      </c>
      <c r="G137" s="9">
        <v>283</v>
      </c>
      <c r="H137" s="9">
        <v>3</v>
      </c>
      <c r="I137" s="9">
        <v>0</v>
      </c>
    </row>
    <row r="138" spans="1:9" x14ac:dyDescent="0.25">
      <c r="A138" s="3" t="s">
        <v>6</v>
      </c>
      <c r="B138" s="3" t="s">
        <v>8</v>
      </c>
      <c r="C138" s="4">
        <v>41091</v>
      </c>
      <c r="D138" s="5">
        <v>0.39583333333333331</v>
      </c>
      <c r="E138" s="9">
        <v>645</v>
      </c>
      <c r="F138" s="9">
        <v>383</v>
      </c>
      <c r="G138" s="9">
        <v>380</v>
      </c>
      <c r="H138" s="9">
        <v>3</v>
      </c>
      <c r="I138" s="9">
        <v>0</v>
      </c>
    </row>
    <row r="139" spans="1:9" x14ac:dyDescent="0.25">
      <c r="A139" s="3" t="s">
        <v>6</v>
      </c>
      <c r="B139" s="3" t="s">
        <v>8</v>
      </c>
      <c r="C139" s="4">
        <v>41091</v>
      </c>
      <c r="D139" s="5">
        <v>0.41666666666666669</v>
      </c>
      <c r="E139" s="9">
        <v>586</v>
      </c>
      <c r="F139" s="9">
        <v>455</v>
      </c>
      <c r="G139" s="9">
        <v>451</v>
      </c>
      <c r="H139" s="9">
        <v>4</v>
      </c>
      <c r="I139" s="9">
        <v>0</v>
      </c>
    </row>
    <row r="140" spans="1:9" x14ac:dyDescent="0.25">
      <c r="A140" s="3" t="s">
        <v>6</v>
      </c>
      <c r="B140" s="3" t="s">
        <v>8</v>
      </c>
      <c r="C140" s="4">
        <v>41091</v>
      </c>
      <c r="D140" s="5">
        <v>0.4375</v>
      </c>
      <c r="E140" s="9">
        <v>599</v>
      </c>
      <c r="F140" s="9">
        <v>528</v>
      </c>
      <c r="G140" s="9">
        <v>522</v>
      </c>
      <c r="H140" s="9">
        <v>6</v>
      </c>
      <c r="I140" s="9">
        <v>0</v>
      </c>
    </row>
    <row r="141" spans="1:9" x14ac:dyDescent="0.25">
      <c r="A141" s="3" t="s">
        <v>6</v>
      </c>
      <c r="B141" s="3" t="s">
        <v>8</v>
      </c>
      <c r="C141" s="4">
        <v>41091</v>
      </c>
      <c r="D141" s="5">
        <v>0.45833333333333331</v>
      </c>
      <c r="E141" s="9">
        <v>576</v>
      </c>
      <c r="F141" s="9">
        <v>568</v>
      </c>
      <c r="G141" s="9">
        <v>561</v>
      </c>
      <c r="H141" s="9">
        <v>7</v>
      </c>
      <c r="I141" s="9">
        <v>0</v>
      </c>
    </row>
    <row r="142" spans="1:9" x14ac:dyDescent="0.25">
      <c r="A142" s="3" t="s">
        <v>6</v>
      </c>
      <c r="B142" s="3" t="s">
        <v>8</v>
      </c>
      <c r="C142" s="4">
        <v>41091</v>
      </c>
      <c r="D142" s="5">
        <v>0.47916666666666669</v>
      </c>
      <c r="E142" s="9">
        <v>510</v>
      </c>
      <c r="F142" s="9">
        <v>584</v>
      </c>
      <c r="G142" s="9">
        <v>578</v>
      </c>
      <c r="H142" s="9">
        <v>6</v>
      </c>
      <c r="I142" s="9">
        <v>0</v>
      </c>
    </row>
    <row r="143" spans="1:9" x14ac:dyDescent="0.25">
      <c r="A143" s="3" t="s">
        <v>6</v>
      </c>
      <c r="B143" s="3" t="s">
        <v>8</v>
      </c>
      <c r="C143" s="4">
        <v>41091</v>
      </c>
      <c r="D143" s="5">
        <v>0.5</v>
      </c>
      <c r="E143" s="9">
        <v>476</v>
      </c>
      <c r="F143" s="9">
        <v>577</v>
      </c>
      <c r="G143" s="9">
        <v>571</v>
      </c>
      <c r="H143" s="9">
        <v>6</v>
      </c>
      <c r="I143" s="9">
        <v>0</v>
      </c>
    </row>
    <row r="144" spans="1:9" x14ac:dyDescent="0.25">
      <c r="A144" s="3" t="s">
        <v>6</v>
      </c>
      <c r="B144" s="3" t="s">
        <v>8</v>
      </c>
      <c r="C144" s="4">
        <v>41091</v>
      </c>
      <c r="D144" s="5">
        <v>0.52083333333333337</v>
      </c>
      <c r="E144" s="9">
        <v>506</v>
      </c>
      <c r="F144" s="9">
        <v>507</v>
      </c>
      <c r="G144" s="9">
        <v>501</v>
      </c>
      <c r="H144" s="9">
        <v>6</v>
      </c>
      <c r="I144" s="9">
        <v>0</v>
      </c>
    </row>
    <row r="145" spans="1:9" x14ac:dyDescent="0.25">
      <c r="A145" s="3" t="s">
        <v>6</v>
      </c>
      <c r="B145" s="3" t="s">
        <v>8</v>
      </c>
      <c r="C145" s="4">
        <v>41091</v>
      </c>
      <c r="D145" s="5">
        <v>0.54166666666666663</v>
      </c>
      <c r="E145" s="9">
        <v>521</v>
      </c>
      <c r="F145" s="9">
        <v>466</v>
      </c>
      <c r="G145" s="9">
        <v>456</v>
      </c>
      <c r="H145" s="9">
        <v>10</v>
      </c>
      <c r="I145" s="9">
        <v>0</v>
      </c>
    </row>
    <row r="146" spans="1:9" x14ac:dyDescent="0.25">
      <c r="A146" s="3" t="s">
        <v>6</v>
      </c>
      <c r="B146" s="3" t="s">
        <v>8</v>
      </c>
      <c r="C146" s="4">
        <v>41091</v>
      </c>
      <c r="D146" s="5">
        <v>0.5625</v>
      </c>
      <c r="E146" s="9">
        <v>475</v>
      </c>
      <c r="F146" s="9">
        <v>455</v>
      </c>
      <c r="G146" s="9">
        <v>455</v>
      </c>
      <c r="H146" s="9">
        <v>0</v>
      </c>
      <c r="I146" s="9">
        <v>0</v>
      </c>
    </row>
    <row r="147" spans="1:9" x14ac:dyDescent="0.25">
      <c r="A147" s="3" t="s">
        <v>6</v>
      </c>
      <c r="B147" s="3" t="s">
        <v>8</v>
      </c>
      <c r="C147" s="4">
        <v>41091</v>
      </c>
      <c r="D147" s="5">
        <v>0.58333333333333337</v>
      </c>
      <c r="E147" s="9">
        <v>471</v>
      </c>
      <c r="F147" s="9">
        <v>503</v>
      </c>
      <c r="G147" s="9">
        <v>498</v>
      </c>
      <c r="H147" s="9">
        <v>5</v>
      </c>
      <c r="I147" s="9">
        <v>0</v>
      </c>
    </row>
    <row r="148" spans="1:9" x14ac:dyDescent="0.25">
      <c r="A148" s="3" t="s">
        <v>6</v>
      </c>
      <c r="B148" s="3" t="s">
        <v>8</v>
      </c>
      <c r="C148" s="4">
        <v>41091</v>
      </c>
      <c r="D148" s="5">
        <v>0.60416666666666663</v>
      </c>
      <c r="E148" s="9">
        <v>458</v>
      </c>
      <c r="F148" s="9">
        <v>431</v>
      </c>
      <c r="G148" s="9">
        <v>416</v>
      </c>
      <c r="H148" s="9">
        <v>15</v>
      </c>
      <c r="I148" s="9">
        <v>0</v>
      </c>
    </row>
    <row r="149" spans="1:9" x14ac:dyDescent="0.25">
      <c r="A149" s="3" t="s">
        <v>6</v>
      </c>
      <c r="B149" s="3" t="s">
        <v>8</v>
      </c>
      <c r="C149" s="4">
        <v>41091</v>
      </c>
      <c r="D149" s="5">
        <v>0.625</v>
      </c>
      <c r="E149" s="9">
        <v>683</v>
      </c>
      <c r="F149" s="9">
        <v>441</v>
      </c>
      <c r="G149" s="9">
        <v>434</v>
      </c>
      <c r="H149" s="9">
        <v>7</v>
      </c>
      <c r="I149" s="9">
        <v>0</v>
      </c>
    </row>
    <row r="150" spans="1:9" x14ac:dyDescent="0.25">
      <c r="A150" s="3" t="s">
        <v>6</v>
      </c>
      <c r="B150" s="3" t="s">
        <v>8</v>
      </c>
      <c r="C150" s="4">
        <v>41091</v>
      </c>
      <c r="D150" s="5">
        <v>0.64583333333333337</v>
      </c>
      <c r="E150" s="9">
        <v>652</v>
      </c>
      <c r="F150" s="9">
        <v>422</v>
      </c>
      <c r="G150" s="9">
        <v>417</v>
      </c>
      <c r="H150" s="9">
        <v>5</v>
      </c>
      <c r="I150" s="9">
        <v>0</v>
      </c>
    </row>
    <row r="151" spans="1:9" x14ac:dyDescent="0.25">
      <c r="A151" s="3" t="s">
        <v>6</v>
      </c>
      <c r="B151" s="3" t="s">
        <v>8</v>
      </c>
      <c r="C151" s="4">
        <v>41091</v>
      </c>
      <c r="D151" s="5">
        <v>0.66666666666666663</v>
      </c>
      <c r="E151" s="9">
        <v>603</v>
      </c>
      <c r="F151" s="9">
        <v>416</v>
      </c>
      <c r="G151" s="9">
        <v>409</v>
      </c>
      <c r="H151" s="9">
        <v>7</v>
      </c>
      <c r="I151" s="9">
        <v>0</v>
      </c>
    </row>
    <row r="152" spans="1:9" x14ac:dyDescent="0.25">
      <c r="A152" s="3" t="s">
        <v>6</v>
      </c>
      <c r="B152" s="3" t="s">
        <v>8</v>
      </c>
      <c r="C152" s="4">
        <v>41091</v>
      </c>
      <c r="D152" s="5">
        <v>0.6875</v>
      </c>
      <c r="E152" s="9">
        <v>608</v>
      </c>
      <c r="F152" s="9">
        <v>449</v>
      </c>
      <c r="G152" s="9">
        <v>438</v>
      </c>
      <c r="H152" s="9">
        <v>11</v>
      </c>
      <c r="I152" s="9">
        <v>0</v>
      </c>
    </row>
    <row r="153" spans="1:9" x14ac:dyDescent="0.25">
      <c r="A153" s="3" t="s">
        <v>6</v>
      </c>
      <c r="B153" s="3" t="s">
        <v>8</v>
      </c>
      <c r="C153" s="4">
        <v>41091</v>
      </c>
      <c r="D153" s="5">
        <v>0.70833333333333337</v>
      </c>
      <c r="E153" s="9">
        <v>659</v>
      </c>
      <c r="F153" s="9">
        <v>412</v>
      </c>
      <c r="G153" s="9">
        <v>398</v>
      </c>
      <c r="H153" s="9">
        <v>14</v>
      </c>
      <c r="I153" s="9">
        <v>0</v>
      </c>
    </row>
    <row r="154" spans="1:9" x14ac:dyDescent="0.25">
      <c r="A154" s="3" t="s">
        <v>6</v>
      </c>
      <c r="B154" s="3" t="s">
        <v>8</v>
      </c>
      <c r="C154" s="4">
        <v>41091</v>
      </c>
      <c r="D154" s="5">
        <v>0.72916666666666663</v>
      </c>
      <c r="E154" s="9">
        <v>731</v>
      </c>
      <c r="F154" s="9">
        <v>370</v>
      </c>
      <c r="G154" s="9">
        <v>361</v>
      </c>
      <c r="H154" s="9">
        <v>9</v>
      </c>
      <c r="I154" s="9">
        <v>0</v>
      </c>
    </row>
    <row r="155" spans="1:9" x14ac:dyDescent="0.25">
      <c r="A155" s="3" t="s">
        <v>6</v>
      </c>
      <c r="B155" s="3" t="s">
        <v>8</v>
      </c>
      <c r="C155" s="4">
        <v>41091</v>
      </c>
      <c r="D155" s="5">
        <v>0.75</v>
      </c>
      <c r="E155" s="9">
        <v>599</v>
      </c>
      <c r="F155" s="9">
        <v>489</v>
      </c>
      <c r="G155" s="9">
        <v>488</v>
      </c>
      <c r="H155" s="9">
        <v>1</v>
      </c>
      <c r="I155" s="9">
        <v>0</v>
      </c>
    </row>
    <row r="156" spans="1:9" x14ac:dyDescent="0.25">
      <c r="A156" s="3" t="s">
        <v>6</v>
      </c>
      <c r="B156" s="3" t="s">
        <v>8</v>
      </c>
      <c r="C156" s="4">
        <v>41091</v>
      </c>
      <c r="D156" s="5">
        <v>0.77083333333333337</v>
      </c>
      <c r="E156" s="9">
        <v>585</v>
      </c>
      <c r="F156" s="9">
        <v>451</v>
      </c>
      <c r="G156" s="9">
        <v>443</v>
      </c>
      <c r="H156" s="9">
        <v>8</v>
      </c>
      <c r="I156" s="9">
        <v>0</v>
      </c>
    </row>
    <row r="157" spans="1:9" x14ac:dyDescent="0.25">
      <c r="A157" s="3" t="s">
        <v>6</v>
      </c>
      <c r="B157" s="3" t="s">
        <v>8</v>
      </c>
      <c r="C157" s="4">
        <v>41091</v>
      </c>
      <c r="D157" s="5">
        <v>0.79166666666666663</v>
      </c>
      <c r="E157" s="9">
        <v>581</v>
      </c>
      <c r="F157" s="9">
        <v>395</v>
      </c>
      <c r="G157" s="9">
        <v>389</v>
      </c>
      <c r="H157" s="9">
        <v>6</v>
      </c>
      <c r="I157" s="9">
        <v>0</v>
      </c>
    </row>
    <row r="158" spans="1:9" x14ac:dyDescent="0.25">
      <c r="A158" s="3" t="s">
        <v>6</v>
      </c>
      <c r="B158" s="3" t="s">
        <v>8</v>
      </c>
      <c r="C158" s="4">
        <v>41091</v>
      </c>
      <c r="D158" s="5">
        <v>0.8125</v>
      </c>
      <c r="E158" s="9">
        <v>536</v>
      </c>
      <c r="F158" s="9">
        <v>423</v>
      </c>
      <c r="G158" s="9">
        <v>419</v>
      </c>
      <c r="H158" s="9">
        <v>4</v>
      </c>
      <c r="I158" s="9">
        <v>0</v>
      </c>
    </row>
    <row r="159" spans="1:9" x14ac:dyDescent="0.25">
      <c r="A159" s="3" t="s">
        <v>6</v>
      </c>
      <c r="B159" s="3" t="s">
        <v>8</v>
      </c>
      <c r="C159" s="4">
        <v>41092</v>
      </c>
      <c r="D159" s="5">
        <v>0.33333333333333331</v>
      </c>
      <c r="E159" s="9">
        <v>718</v>
      </c>
      <c r="F159" s="9">
        <v>3483</v>
      </c>
      <c r="G159" s="9">
        <v>3417</v>
      </c>
      <c r="H159" s="9">
        <v>66</v>
      </c>
      <c r="I159" s="9">
        <v>0</v>
      </c>
    </row>
    <row r="160" spans="1:9" x14ac:dyDescent="0.25">
      <c r="A160" s="3" t="s">
        <v>6</v>
      </c>
      <c r="B160" s="3" t="s">
        <v>8</v>
      </c>
      <c r="C160" s="4">
        <v>41092</v>
      </c>
      <c r="D160" s="5">
        <v>0.35416666666666669</v>
      </c>
      <c r="E160" s="9">
        <v>1078</v>
      </c>
      <c r="F160" s="9">
        <v>5313</v>
      </c>
      <c r="G160" s="9">
        <v>5076</v>
      </c>
      <c r="H160" s="9">
        <v>236</v>
      </c>
      <c r="I160" s="9">
        <v>1</v>
      </c>
    </row>
    <row r="161" spans="1:9" x14ac:dyDescent="0.25">
      <c r="A161" s="3" t="s">
        <v>6</v>
      </c>
      <c r="B161" s="3" t="s">
        <v>8</v>
      </c>
      <c r="C161" s="4">
        <v>41092</v>
      </c>
      <c r="D161" s="5">
        <v>0.375</v>
      </c>
      <c r="E161" s="9">
        <v>1124</v>
      </c>
      <c r="F161" s="9">
        <v>7418</v>
      </c>
      <c r="G161" s="9">
        <v>7093</v>
      </c>
      <c r="H161" s="9">
        <v>324</v>
      </c>
      <c r="I161" s="9">
        <v>1</v>
      </c>
    </row>
    <row r="162" spans="1:9" x14ac:dyDescent="0.25">
      <c r="A162" s="3" t="s">
        <v>6</v>
      </c>
      <c r="B162" s="3" t="s">
        <v>8</v>
      </c>
      <c r="C162" s="4">
        <v>41092</v>
      </c>
      <c r="D162" s="5">
        <v>0.39583333333333331</v>
      </c>
      <c r="E162" s="9">
        <v>1165</v>
      </c>
      <c r="F162" s="9">
        <v>8765</v>
      </c>
      <c r="G162" s="9">
        <v>8436</v>
      </c>
      <c r="H162" s="9">
        <v>324</v>
      </c>
      <c r="I162" s="9">
        <v>5</v>
      </c>
    </row>
    <row r="163" spans="1:9" x14ac:dyDescent="0.25">
      <c r="A163" s="3" t="s">
        <v>6</v>
      </c>
      <c r="B163" s="3" t="s">
        <v>8</v>
      </c>
      <c r="C163" s="4">
        <v>41092</v>
      </c>
      <c r="D163" s="5">
        <v>0.41666666666666669</v>
      </c>
      <c r="E163" s="9">
        <v>1140</v>
      </c>
      <c r="F163" s="9">
        <v>9177</v>
      </c>
      <c r="G163" s="9">
        <v>8863</v>
      </c>
      <c r="H163" s="9">
        <v>312</v>
      </c>
      <c r="I163" s="9">
        <v>2</v>
      </c>
    </row>
    <row r="164" spans="1:9" x14ac:dyDescent="0.25">
      <c r="A164" s="3" t="s">
        <v>6</v>
      </c>
      <c r="B164" s="3" t="s">
        <v>8</v>
      </c>
      <c r="C164" s="4">
        <v>41092</v>
      </c>
      <c r="D164" s="5">
        <v>0.4375</v>
      </c>
      <c r="E164" s="9">
        <v>1138</v>
      </c>
      <c r="F164" s="9">
        <v>9653</v>
      </c>
      <c r="G164" s="9">
        <v>9281</v>
      </c>
      <c r="H164" s="9">
        <v>369</v>
      </c>
      <c r="I164" s="9">
        <v>3</v>
      </c>
    </row>
    <row r="165" spans="1:9" x14ac:dyDescent="0.25">
      <c r="A165" s="3" t="s">
        <v>6</v>
      </c>
      <c r="B165" s="3" t="s">
        <v>8</v>
      </c>
      <c r="C165" s="4">
        <v>41092</v>
      </c>
      <c r="D165" s="5">
        <v>0.45833333333333331</v>
      </c>
      <c r="E165" s="9">
        <v>1147</v>
      </c>
      <c r="F165" s="9">
        <v>9475</v>
      </c>
      <c r="G165" s="9">
        <v>9072</v>
      </c>
      <c r="H165" s="9">
        <v>400</v>
      </c>
      <c r="I165" s="9">
        <v>3</v>
      </c>
    </row>
    <row r="166" spans="1:9" x14ac:dyDescent="0.25">
      <c r="A166" s="3" t="s">
        <v>6</v>
      </c>
      <c r="B166" s="3" t="s">
        <v>8</v>
      </c>
      <c r="C166" s="4">
        <v>41092</v>
      </c>
      <c r="D166" s="5">
        <v>0.47916666666666669</v>
      </c>
      <c r="E166" s="9">
        <v>1153</v>
      </c>
      <c r="F166" s="9">
        <v>9434</v>
      </c>
      <c r="G166" s="9">
        <v>9037</v>
      </c>
      <c r="H166" s="9">
        <v>394</v>
      </c>
      <c r="I166" s="9">
        <v>3</v>
      </c>
    </row>
    <row r="167" spans="1:9" x14ac:dyDescent="0.25">
      <c r="A167" s="3" t="s">
        <v>6</v>
      </c>
      <c r="B167" s="3" t="s">
        <v>8</v>
      </c>
      <c r="C167" s="4">
        <v>41092</v>
      </c>
      <c r="D167" s="5">
        <v>0.5</v>
      </c>
      <c r="E167" s="9">
        <v>1171</v>
      </c>
      <c r="F167" s="9">
        <v>8577</v>
      </c>
      <c r="G167" s="9">
        <v>8125</v>
      </c>
      <c r="H167" s="9">
        <v>452</v>
      </c>
      <c r="I167" s="9">
        <v>0</v>
      </c>
    </row>
    <row r="168" spans="1:9" x14ac:dyDescent="0.25">
      <c r="A168" s="3" t="s">
        <v>6</v>
      </c>
      <c r="B168" s="3" t="s">
        <v>8</v>
      </c>
      <c r="C168" s="4">
        <v>41092</v>
      </c>
      <c r="D168" s="5">
        <v>0.52083333333333337</v>
      </c>
      <c r="E168" s="9">
        <v>1123</v>
      </c>
      <c r="F168" s="9">
        <v>8142</v>
      </c>
      <c r="G168" s="9">
        <v>7679</v>
      </c>
      <c r="H168" s="9">
        <v>460</v>
      </c>
      <c r="I168" s="9">
        <v>3</v>
      </c>
    </row>
    <row r="169" spans="1:9" x14ac:dyDescent="0.25">
      <c r="A169" s="3" t="s">
        <v>6</v>
      </c>
      <c r="B169" s="3" t="s">
        <v>8</v>
      </c>
      <c r="C169" s="4">
        <v>41092</v>
      </c>
      <c r="D169" s="5">
        <v>0.54166666666666663</v>
      </c>
      <c r="E169" s="9">
        <v>1115</v>
      </c>
      <c r="F169" s="9">
        <v>7618</v>
      </c>
      <c r="G169" s="9">
        <v>7247</v>
      </c>
      <c r="H169" s="9">
        <v>368</v>
      </c>
      <c r="I169" s="9">
        <v>3</v>
      </c>
    </row>
    <row r="170" spans="1:9" x14ac:dyDescent="0.25">
      <c r="A170" s="3" t="s">
        <v>6</v>
      </c>
      <c r="B170" s="3" t="s">
        <v>8</v>
      </c>
      <c r="C170" s="4">
        <v>41092</v>
      </c>
      <c r="D170" s="5">
        <v>0.5625</v>
      </c>
      <c r="E170" s="9">
        <v>1135</v>
      </c>
      <c r="F170" s="9">
        <v>8084</v>
      </c>
      <c r="G170" s="9">
        <v>7799</v>
      </c>
      <c r="H170" s="9">
        <v>284</v>
      </c>
      <c r="I170" s="9">
        <v>1</v>
      </c>
    </row>
    <row r="171" spans="1:9" x14ac:dyDescent="0.25">
      <c r="A171" s="3" t="s">
        <v>6</v>
      </c>
      <c r="B171" s="3" t="s">
        <v>8</v>
      </c>
      <c r="C171" s="4">
        <v>41092</v>
      </c>
      <c r="D171" s="5">
        <v>0.58333333333333337</v>
      </c>
      <c r="E171" s="9">
        <v>1130</v>
      </c>
      <c r="F171" s="9">
        <v>8146</v>
      </c>
      <c r="G171" s="9">
        <v>7826</v>
      </c>
      <c r="H171" s="9">
        <v>319</v>
      </c>
      <c r="I171" s="9">
        <v>1</v>
      </c>
    </row>
    <row r="172" spans="1:9" x14ac:dyDescent="0.25">
      <c r="A172" s="3" t="s">
        <v>6</v>
      </c>
      <c r="B172" s="3" t="s">
        <v>8</v>
      </c>
      <c r="C172" s="4">
        <v>41092</v>
      </c>
      <c r="D172" s="5">
        <v>0.60416666666666663</v>
      </c>
      <c r="E172" s="9">
        <v>1174</v>
      </c>
      <c r="F172" s="9">
        <v>7931</v>
      </c>
      <c r="G172" s="9">
        <v>7652</v>
      </c>
      <c r="H172" s="9">
        <v>278</v>
      </c>
      <c r="I172" s="9">
        <v>1</v>
      </c>
    </row>
    <row r="173" spans="1:9" x14ac:dyDescent="0.25">
      <c r="A173" s="3" t="s">
        <v>6</v>
      </c>
      <c r="B173" s="3" t="s">
        <v>8</v>
      </c>
      <c r="C173" s="4">
        <v>41092</v>
      </c>
      <c r="D173" s="5">
        <v>0.625</v>
      </c>
      <c r="E173" s="9">
        <v>1136</v>
      </c>
      <c r="F173" s="9">
        <v>7930</v>
      </c>
      <c r="G173" s="9">
        <v>7575</v>
      </c>
      <c r="H173" s="9">
        <v>352</v>
      </c>
      <c r="I173" s="9">
        <v>3</v>
      </c>
    </row>
    <row r="174" spans="1:9" x14ac:dyDescent="0.25">
      <c r="A174" s="3" t="s">
        <v>6</v>
      </c>
      <c r="B174" s="3" t="s">
        <v>8</v>
      </c>
      <c r="C174" s="4">
        <v>41092</v>
      </c>
      <c r="D174" s="5">
        <v>0.64583333333333337</v>
      </c>
      <c r="E174" s="9">
        <v>1112</v>
      </c>
      <c r="F174" s="9">
        <v>7971</v>
      </c>
      <c r="G174" s="9">
        <v>7695</v>
      </c>
      <c r="H174" s="9">
        <v>275</v>
      </c>
      <c r="I174" s="9">
        <v>1</v>
      </c>
    </row>
    <row r="175" spans="1:9" x14ac:dyDescent="0.25">
      <c r="A175" s="3" t="s">
        <v>6</v>
      </c>
      <c r="B175" s="3" t="s">
        <v>8</v>
      </c>
      <c r="C175" s="4">
        <v>41092</v>
      </c>
      <c r="D175" s="5">
        <v>0.66666666666666663</v>
      </c>
      <c r="E175" s="9">
        <v>1134</v>
      </c>
      <c r="F175" s="9">
        <v>7592</v>
      </c>
      <c r="G175" s="9">
        <v>7341</v>
      </c>
      <c r="H175" s="9">
        <v>250</v>
      </c>
      <c r="I175" s="9">
        <v>1</v>
      </c>
    </row>
    <row r="176" spans="1:9" x14ac:dyDescent="0.25">
      <c r="A176" s="3" t="s">
        <v>6</v>
      </c>
      <c r="B176" s="3" t="s">
        <v>8</v>
      </c>
      <c r="C176" s="4">
        <v>41092</v>
      </c>
      <c r="D176" s="5">
        <v>0.6875</v>
      </c>
      <c r="E176" s="9">
        <v>1072</v>
      </c>
      <c r="F176" s="9">
        <v>7703</v>
      </c>
      <c r="G176" s="9">
        <v>7339</v>
      </c>
      <c r="H176" s="9">
        <v>363</v>
      </c>
      <c r="I176" s="9">
        <v>1</v>
      </c>
    </row>
    <row r="177" spans="1:9" x14ac:dyDescent="0.25">
      <c r="A177" s="3" t="s">
        <v>6</v>
      </c>
      <c r="B177" s="3" t="s">
        <v>8</v>
      </c>
      <c r="C177" s="4">
        <v>41092</v>
      </c>
      <c r="D177" s="5">
        <v>0.70833333333333337</v>
      </c>
      <c r="E177" s="9">
        <v>1057</v>
      </c>
      <c r="F177" s="9">
        <v>7367</v>
      </c>
      <c r="G177" s="9">
        <v>6974</v>
      </c>
      <c r="H177" s="9">
        <v>393</v>
      </c>
      <c r="I177" s="9">
        <v>0</v>
      </c>
    </row>
    <row r="178" spans="1:9" x14ac:dyDescent="0.25">
      <c r="A178" s="3" t="s">
        <v>6</v>
      </c>
      <c r="B178" s="3" t="s">
        <v>8</v>
      </c>
      <c r="C178" s="4">
        <v>41092</v>
      </c>
      <c r="D178" s="5">
        <v>0.72916666666666663</v>
      </c>
      <c r="E178" s="9">
        <v>1088</v>
      </c>
      <c r="F178" s="9">
        <v>6530</v>
      </c>
      <c r="G178" s="9">
        <v>6055</v>
      </c>
      <c r="H178" s="9">
        <v>475</v>
      </c>
      <c r="I178" s="9">
        <v>0</v>
      </c>
    </row>
    <row r="179" spans="1:9" x14ac:dyDescent="0.25">
      <c r="A179" s="3" t="s">
        <v>6</v>
      </c>
      <c r="B179" s="3" t="s">
        <v>8</v>
      </c>
      <c r="C179" s="4">
        <v>41092</v>
      </c>
      <c r="D179" s="5">
        <v>0.75</v>
      </c>
      <c r="E179" s="9">
        <v>969</v>
      </c>
      <c r="F179" s="9">
        <v>4962</v>
      </c>
      <c r="G179" s="9">
        <v>4624</v>
      </c>
      <c r="H179" s="9">
        <v>338</v>
      </c>
      <c r="I179" s="9">
        <v>0</v>
      </c>
    </row>
    <row r="180" spans="1:9" x14ac:dyDescent="0.25">
      <c r="A180" s="3" t="s">
        <v>6</v>
      </c>
      <c r="B180" s="3" t="s">
        <v>8</v>
      </c>
      <c r="C180" s="4">
        <v>41092</v>
      </c>
      <c r="D180" s="5">
        <v>0.77083333333333337</v>
      </c>
      <c r="E180" s="9">
        <v>814</v>
      </c>
      <c r="F180" s="9">
        <v>4287</v>
      </c>
      <c r="G180" s="9">
        <v>4024</v>
      </c>
      <c r="H180" s="9">
        <v>263</v>
      </c>
      <c r="I180" s="9">
        <v>0</v>
      </c>
    </row>
    <row r="181" spans="1:9" x14ac:dyDescent="0.25">
      <c r="A181" s="3" t="s">
        <v>6</v>
      </c>
      <c r="B181" s="3" t="s">
        <v>8</v>
      </c>
      <c r="C181" s="4">
        <v>41092</v>
      </c>
      <c r="D181" s="5">
        <v>0.79166666666666663</v>
      </c>
      <c r="E181" s="9">
        <v>836</v>
      </c>
      <c r="F181" s="9">
        <v>3698</v>
      </c>
      <c r="G181" s="9">
        <v>3581</v>
      </c>
      <c r="H181" s="9">
        <v>117</v>
      </c>
      <c r="I181" s="9">
        <v>0</v>
      </c>
    </row>
    <row r="182" spans="1:9" x14ac:dyDescent="0.25">
      <c r="A182" s="3" t="s">
        <v>6</v>
      </c>
      <c r="B182" s="3" t="s">
        <v>8</v>
      </c>
      <c r="C182" s="4">
        <v>41092</v>
      </c>
      <c r="D182" s="5">
        <v>0.8125</v>
      </c>
      <c r="E182" s="9">
        <v>767</v>
      </c>
      <c r="F182" s="9">
        <v>3269</v>
      </c>
      <c r="G182" s="9">
        <v>3181</v>
      </c>
      <c r="H182" s="9">
        <v>88</v>
      </c>
      <c r="I182" s="9">
        <v>0</v>
      </c>
    </row>
    <row r="183" spans="1:9" x14ac:dyDescent="0.25">
      <c r="A183" s="3" t="s">
        <v>6</v>
      </c>
      <c r="B183" s="3" t="s">
        <v>8</v>
      </c>
      <c r="C183" s="4">
        <v>41093</v>
      </c>
      <c r="D183" s="5">
        <v>0.33333333333333331</v>
      </c>
      <c r="E183" s="9">
        <v>698</v>
      </c>
      <c r="F183" s="9">
        <v>3607</v>
      </c>
      <c r="G183" s="9">
        <v>3458</v>
      </c>
      <c r="H183" s="9">
        <v>149</v>
      </c>
      <c r="I183" s="9">
        <v>0</v>
      </c>
    </row>
    <row r="184" spans="1:9" x14ac:dyDescent="0.25">
      <c r="A184" s="3" t="s">
        <v>6</v>
      </c>
      <c r="B184" s="3" t="s">
        <v>8</v>
      </c>
      <c r="C184" s="4">
        <v>41093</v>
      </c>
      <c r="D184" s="5">
        <v>0.35416666666666669</v>
      </c>
      <c r="E184" s="9">
        <v>928</v>
      </c>
      <c r="F184" s="9">
        <v>5468</v>
      </c>
      <c r="G184" s="9">
        <v>5153</v>
      </c>
      <c r="H184" s="9">
        <v>312</v>
      </c>
      <c r="I184" s="9">
        <v>3</v>
      </c>
    </row>
    <row r="185" spans="1:9" x14ac:dyDescent="0.25">
      <c r="A185" s="3" t="s">
        <v>6</v>
      </c>
      <c r="B185" s="3" t="s">
        <v>8</v>
      </c>
      <c r="C185" s="4">
        <v>41093</v>
      </c>
      <c r="D185" s="5">
        <v>0.375</v>
      </c>
      <c r="E185" s="9">
        <v>1060</v>
      </c>
      <c r="F185" s="9">
        <v>6965</v>
      </c>
      <c r="G185" s="9">
        <v>6656</v>
      </c>
      <c r="H185" s="9">
        <v>306</v>
      </c>
      <c r="I185" s="9">
        <v>3</v>
      </c>
    </row>
    <row r="186" spans="1:9" x14ac:dyDescent="0.25">
      <c r="A186" s="3" t="s">
        <v>6</v>
      </c>
      <c r="B186" s="3" t="s">
        <v>8</v>
      </c>
      <c r="C186" s="4">
        <v>41093</v>
      </c>
      <c r="D186" s="5">
        <v>0.39583333333333331</v>
      </c>
      <c r="E186" s="9">
        <v>1084</v>
      </c>
      <c r="F186" s="9">
        <v>8172</v>
      </c>
      <c r="G186" s="9">
        <v>7914</v>
      </c>
      <c r="H186" s="9">
        <v>258</v>
      </c>
      <c r="I186" s="9">
        <v>0</v>
      </c>
    </row>
    <row r="187" spans="1:9" x14ac:dyDescent="0.25">
      <c r="A187" s="3" t="s">
        <v>6</v>
      </c>
      <c r="B187" s="3" t="s">
        <v>8</v>
      </c>
      <c r="C187" s="4">
        <v>41093</v>
      </c>
      <c r="D187" s="5">
        <v>0.41666666666666669</v>
      </c>
      <c r="E187" s="9">
        <v>1088</v>
      </c>
      <c r="F187" s="9">
        <v>8613</v>
      </c>
      <c r="G187" s="9">
        <v>8320</v>
      </c>
      <c r="H187" s="9">
        <v>291</v>
      </c>
      <c r="I187" s="9">
        <v>2</v>
      </c>
    </row>
    <row r="188" spans="1:9" x14ac:dyDescent="0.25">
      <c r="A188" s="3" t="s">
        <v>6</v>
      </c>
      <c r="B188" s="3" t="s">
        <v>8</v>
      </c>
      <c r="C188" s="4">
        <v>41093</v>
      </c>
      <c r="D188" s="5">
        <v>0.4375</v>
      </c>
      <c r="E188" s="9">
        <v>1092</v>
      </c>
      <c r="F188" s="9">
        <v>9199</v>
      </c>
      <c r="G188" s="9">
        <v>8954</v>
      </c>
      <c r="H188" s="9">
        <v>239</v>
      </c>
      <c r="I188" s="9">
        <v>6</v>
      </c>
    </row>
    <row r="189" spans="1:9" x14ac:dyDescent="0.25">
      <c r="A189" s="3" t="s">
        <v>6</v>
      </c>
      <c r="B189" s="3" t="s">
        <v>8</v>
      </c>
      <c r="C189" s="4">
        <v>41093</v>
      </c>
      <c r="D189" s="5">
        <v>0.45833333333333331</v>
      </c>
      <c r="E189" s="9">
        <v>1102</v>
      </c>
      <c r="F189" s="9">
        <v>8622</v>
      </c>
      <c r="G189" s="9">
        <v>8396</v>
      </c>
      <c r="H189" s="9">
        <v>223</v>
      </c>
      <c r="I189" s="9">
        <v>3</v>
      </c>
    </row>
    <row r="190" spans="1:9" x14ac:dyDescent="0.25">
      <c r="A190" s="3" t="s">
        <v>6</v>
      </c>
      <c r="B190" s="3" t="s">
        <v>8</v>
      </c>
      <c r="C190" s="4">
        <v>41093</v>
      </c>
      <c r="D190" s="5">
        <v>0.47916666666666669</v>
      </c>
      <c r="E190" s="9">
        <v>1115</v>
      </c>
      <c r="F190" s="9">
        <v>8355</v>
      </c>
      <c r="G190" s="9">
        <v>8103</v>
      </c>
      <c r="H190" s="9">
        <v>248</v>
      </c>
      <c r="I190" s="9">
        <v>4</v>
      </c>
    </row>
    <row r="191" spans="1:9" x14ac:dyDescent="0.25">
      <c r="A191" s="3" t="s">
        <v>6</v>
      </c>
      <c r="B191" s="3" t="s">
        <v>8</v>
      </c>
      <c r="C191" s="4">
        <v>41093</v>
      </c>
      <c r="D191" s="5">
        <v>0.5</v>
      </c>
      <c r="E191" s="9">
        <v>1121</v>
      </c>
      <c r="F191" s="9">
        <v>7746</v>
      </c>
      <c r="G191" s="9">
        <v>7441</v>
      </c>
      <c r="H191" s="9">
        <v>303</v>
      </c>
      <c r="I191" s="9">
        <v>2</v>
      </c>
    </row>
    <row r="192" spans="1:9" x14ac:dyDescent="0.25">
      <c r="A192" s="3" t="s">
        <v>6</v>
      </c>
      <c r="B192" s="3" t="s">
        <v>8</v>
      </c>
      <c r="C192" s="4">
        <v>41093</v>
      </c>
      <c r="D192" s="5">
        <v>0.52083333333333337</v>
      </c>
      <c r="E192" s="9">
        <v>1079</v>
      </c>
      <c r="F192" s="9">
        <v>7353</v>
      </c>
      <c r="G192" s="9">
        <v>6984</v>
      </c>
      <c r="H192" s="9">
        <v>367</v>
      </c>
      <c r="I192" s="9">
        <v>2</v>
      </c>
    </row>
    <row r="193" spans="1:9" x14ac:dyDescent="0.25">
      <c r="A193" s="3" t="s">
        <v>6</v>
      </c>
      <c r="B193" s="3" t="s">
        <v>8</v>
      </c>
      <c r="C193" s="4">
        <v>41093</v>
      </c>
      <c r="D193" s="5">
        <v>0.54166666666666663</v>
      </c>
      <c r="E193" s="9">
        <v>1084</v>
      </c>
      <c r="F193" s="9">
        <v>7232</v>
      </c>
      <c r="G193" s="9">
        <v>6939</v>
      </c>
      <c r="H193" s="9">
        <v>293</v>
      </c>
      <c r="I193" s="9">
        <v>0</v>
      </c>
    </row>
    <row r="194" spans="1:9" x14ac:dyDescent="0.25">
      <c r="A194" s="3" t="s">
        <v>6</v>
      </c>
      <c r="B194" s="3" t="s">
        <v>8</v>
      </c>
      <c r="C194" s="4">
        <v>41093</v>
      </c>
      <c r="D194" s="5">
        <v>0.5625</v>
      </c>
      <c r="E194" s="9">
        <v>1083</v>
      </c>
      <c r="F194" s="9">
        <v>7466</v>
      </c>
      <c r="G194" s="9">
        <v>7241</v>
      </c>
      <c r="H194" s="9">
        <v>225</v>
      </c>
      <c r="I194" s="9">
        <v>0</v>
      </c>
    </row>
    <row r="195" spans="1:9" x14ac:dyDescent="0.25">
      <c r="A195" s="3" t="s">
        <v>6</v>
      </c>
      <c r="B195" s="3" t="s">
        <v>8</v>
      </c>
      <c r="C195" s="4">
        <v>41093</v>
      </c>
      <c r="D195" s="5">
        <v>0.58333333333333337</v>
      </c>
      <c r="E195" s="9">
        <v>1105</v>
      </c>
      <c r="F195" s="9">
        <v>7594</v>
      </c>
      <c r="G195" s="9">
        <v>7336</v>
      </c>
      <c r="H195" s="9">
        <v>257</v>
      </c>
      <c r="I195" s="9">
        <v>1</v>
      </c>
    </row>
    <row r="196" spans="1:9" x14ac:dyDescent="0.25">
      <c r="A196" s="3" t="s">
        <v>6</v>
      </c>
      <c r="B196" s="3" t="s">
        <v>8</v>
      </c>
      <c r="C196" s="4">
        <v>41093</v>
      </c>
      <c r="D196" s="5">
        <v>0.60416666666666663</v>
      </c>
      <c r="E196" s="9">
        <v>1139</v>
      </c>
      <c r="F196" s="9">
        <v>7589</v>
      </c>
      <c r="G196" s="9">
        <v>7436</v>
      </c>
      <c r="H196" s="9">
        <v>152</v>
      </c>
      <c r="I196" s="9">
        <v>1</v>
      </c>
    </row>
    <row r="197" spans="1:9" x14ac:dyDescent="0.25">
      <c r="A197" s="3" t="s">
        <v>6</v>
      </c>
      <c r="B197" s="3" t="s">
        <v>8</v>
      </c>
      <c r="C197" s="4">
        <v>41093</v>
      </c>
      <c r="D197" s="5">
        <v>0.625</v>
      </c>
      <c r="E197" s="9">
        <v>1112</v>
      </c>
      <c r="F197" s="9">
        <v>7261</v>
      </c>
      <c r="G197" s="9">
        <v>7002</v>
      </c>
      <c r="H197" s="9">
        <v>258</v>
      </c>
      <c r="I197" s="9">
        <v>1</v>
      </c>
    </row>
    <row r="198" spans="1:9" x14ac:dyDescent="0.25">
      <c r="A198" s="3" t="s">
        <v>6</v>
      </c>
      <c r="B198" s="3" t="s">
        <v>8</v>
      </c>
      <c r="C198" s="4">
        <v>41093</v>
      </c>
      <c r="D198" s="5">
        <v>0.64583333333333337</v>
      </c>
      <c r="E198" s="9">
        <v>1047</v>
      </c>
      <c r="F198" s="9">
        <v>7349</v>
      </c>
      <c r="G198" s="9">
        <v>7058</v>
      </c>
      <c r="H198" s="9">
        <v>291</v>
      </c>
      <c r="I198" s="9">
        <v>0</v>
      </c>
    </row>
    <row r="199" spans="1:9" x14ac:dyDescent="0.25">
      <c r="A199" s="3" t="s">
        <v>6</v>
      </c>
      <c r="B199" s="3" t="s">
        <v>8</v>
      </c>
      <c r="C199" s="4">
        <v>41093</v>
      </c>
      <c r="D199" s="5">
        <v>0.66666666666666663</v>
      </c>
      <c r="E199" s="9">
        <v>1006</v>
      </c>
      <c r="F199" s="9">
        <v>7421</v>
      </c>
      <c r="G199" s="9">
        <v>7092</v>
      </c>
      <c r="H199" s="9">
        <v>329</v>
      </c>
      <c r="I199" s="9">
        <v>0</v>
      </c>
    </row>
    <row r="200" spans="1:9" x14ac:dyDescent="0.25">
      <c r="A200" s="3" t="s">
        <v>6</v>
      </c>
      <c r="B200" s="3" t="s">
        <v>8</v>
      </c>
      <c r="C200" s="4">
        <v>41093</v>
      </c>
      <c r="D200" s="5">
        <v>0.6875</v>
      </c>
      <c r="E200" s="9">
        <v>980</v>
      </c>
      <c r="F200" s="9">
        <v>7388</v>
      </c>
      <c r="G200" s="9">
        <v>6882</v>
      </c>
      <c r="H200" s="9">
        <v>506</v>
      </c>
      <c r="I200" s="9">
        <v>0</v>
      </c>
    </row>
    <row r="201" spans="1:9" x14ac:dyDescent="0.25">
      <c r="A201" s="3" t="s">
        <v>6</v>
      </c>
      <c r="B201" s="3" t="s">
        <v>8</v>
      </c>
      <c r="C201" s="4">
        <v>41093</v>
      </c>
      <c r="D201" s="5">
        <v>0.70833333333333337</v>
      </c>
      <c r="E201" s="9">
        <v>1056</v>
      </c>
      <c r="F201" s="9">
        <v>6827</v>
      </c>
      <c r="G201" s="9">
        <v>6250</v>
      </c>
      <c r="H201" s="9">
        <v>576</v>
      </c>
      <c r="I201" s="9">
        <v>1</v>
      </c>
    </row>
    <row r="202" spans="1:9" x14ac:dyDescent="0.25">
      <c r="A202" s="3" t="s">
        <v>6</v>
      </c>
      <c r="B202" s="3" t="s">
        <v>8</v>
      </c>
      <c r="C202" s="4">
        <v>41093</v>
      </c>
      <c r="D202" s="5">
        <v>0.72916666666666663</v>
      </c>
      <c r="E202" s="9">
        <v>1001</v>
      </c>
      <c r="F202" s="9">
        <v>6126</v>
      </c>
      <c r="G202" s="9">
        <v>5537</v>
      </c>
      <c r="H202" s="9">
        <v>589</v>
      </c>
      <c r="I202" s="9">
        <v>0</v>
      </c>
    </row>
    <row r="203" spans="1:9" x14ac:dyDescent="0.25">
      <c r="A203" s="3" t="s">
        <v>6</v>
      </c>
      <c r="B203" s="3" t="s">
        <v>8</v>
      </c>
      <c r="C203" s="4">
        <v>41093</v>
      </c>
      <c r="D203" s="5">
        <v>0.75</v>
      </c>
      <c r="E203" s="9">
        <v>950</v>
      </c>
      <c r="F203" s="9">
        <v>4642</v>
      </c>
      <c r="G203" s="9">
        <v>4219</v>
      </c>
      <c r="H203" s="9">
        <v>423</v>
      </c>
      <c r="I203" s="9">
        <v>0</v>
      </c>
    </row>
    <row r="204" spans="1:9" x14ac:dyDescent="0.25">
      <c r="A204" s="3" t="s">
        <v>6</v>
      </c>
      <c r="B204" s="3" t="s">
        <v>8</v>
      </c>
      <c r="C204" s="4">
        <v>41093</v>
      </c>
      <c r="D204" s="5">
        <v>0.77083333333333337</v>
      </c>
      <c r="E204" s="9">
        <v>859</v>
      </c>
      <c r="F204" s="9">
        <v>3809</v>
      </c>
      <c r="G204" s="9">
        <v>3492</v>
      </c>
      <c r="H204" s="9">
        <v>317</v>
      </c>
      <c r="I204" s="9">
        <v>0</v>
      </c>
    </row>
    <row r="205" spans="1:9" x14ac:dyDescent="0.25">
      <c r="A205" s="3" t="s">
        <v>6</v>
      </c>
      <c r="B205" s="3" t="s">
        <v>8</v>
      </c>
      <c r="C205" s="4">
        <v>41093</v>
      </c>
      <c r="D205" s="5">
        <v>0.79166666666666663</v>
      </c>
      <c r="E205" s="9">
        <v>854</v>
      </c>
      <c r="F205" s="9">
        <v>3206</v>
      </c>
      <c r="G205" s="9">
        <v>3042</v>
      </c>
      <c r="H205" s="9">
        <v>164</v>
      </c>
      <c r="I205" s="9">
        <v>0</v>
      </c>
    </row>
    <row r="206" spans="1:9" x14ac:dyDescent="0.25">
      <c r="A206" s="3" t="s">
        <v>6</v>
      </c>
      <c r="B206" s="3" t="s">
        <v>8</v>
      </c>
      <c r="C206" s="4">
        <v>41093</v>
      </c>
      <c r="D206" s="5">
        <v>0.8125</v>
      </c>
      <c r="E206" s="9">
        <v>795</v>
      </c>
      <c r="F206" s="9">
        <v>2808</v>
      </c>
      <c r="G206" s="9">
        <v>2740</v>
      </c>
      <c r="H206" s="9">
        <v>68</v>
      </c>
      <c r="I206" s="9">
        <v>0</v>
      </c>
    </row>
    <row r="207" spans="1:9" x14ac:dyDescent="0.25">
      <c r="A207" s="3" t="s">
        <v>6</v>
      </c>
      <c r="B207" s="3" t="s">
        <v>8</v>
      </c>
      <c r="C207" s="4">
        <v>41094</v>
      </c>
      <c r="D207" s="5">
        <v>0.33333333333333331</v>
      </c>
      <c r="E207" s="9">
        <v>792</v>
      </c>
      <c r="F207" s="9">
        <v>3096</v>
      </c>
      <c r="G207" s="9">
        <v>3046</v>
      </c>
      <c r="H207" s="9">
        <v>50</v>
      </c>
      <c r="I207" s="9">
        <v>0</v>
      </c>
    </row>
    <row r="208" spans="1:9" x14ac:dyDescent="0.25">
      <c r="A208" s="3" t="s">
        <v>6</v>
      </c>
      <c r="B208" s="3" t="s">
        <v>8</v>
      </c>
      <c r="C208" s="4">
        <v>41094</v>
      </c>
      <c r="D208" s="5">
        <v>0.35416666666666669</v>
      </c>
      <c r="E208" s="9">
        <v>952</v>
      </c>
      <c r="F208" s="9">
        <v>4443</v>
      </c>
      <c r="G208" s="9">
        <v>4290</v>
      </c>
      <c r="H208" s="9">
        <v>153</v>
      </c>
      <c r="I208" s="9">
        <v>0</v>
      </c>
    </row>
    <row r="209" spans="1:9" x14ac:dyDescent="0.25">
      <c r="A209" s="3" t="s">
        <v>6</v>
      </c>
      <c r="B209" s="3" t="s">
        <v>8</v>
      </c>
      <c r="C209" s="4">
        <v>41094</v>
      </c>
      <c r="D209" s="5">
        <v>0.375</v>
      </c>
      <c r="E209" s="9">
        <v>1047</v>
      </c>
      <c r="F209" s="9">
        <v>6493</v>
      </c>
      <c r="G209" s="9">
        <v>6331</v>
      </c>
      <c r="H209" s="9">
        <v>162</v>
      </c>
      <c r="I209" s="9">
        <v>0</v>
      </c>
    </row>
    <row r="210" spans="1:9" x14ac:dyDescent="0.25">
      <c r="A210" s="3" t="s">
        <v>6</v>
      </c>
      <c r="B210" s="3" t="s">
        <v>8</v>
      </c>
      <c r="C210" s="4">
        <v>41094</v>
      </c>
      <c r="D210" s="5">
        <v>0.39583333333333331</v>
      </c>
      <c r="E210" s="9">
        <v>1092</v>
      </c>
      <c r="F210" s="9">
        <v>7600</v>
      </c>
      <c r="G210" s="9">
        <v>7344</v>
      </c>
      <c r="H210" s="9">
        <v>256</v>
      </c>
      <c r="I210" s="9">
        <v>0</v>
      </c>
    </row>
    <row r="211" spans="1:9" x14ac:dyDescent="0.25">
      <c r="A211" s="3" t="s">
        <v>6</v>
      </c>
      <c r="B211" s="3" t="s">
        <v>8</v>
      </c>
      <c r="C211" s="4">
        <v>41094</v>
      </c>
      <c r="D211" s="5">
        <v>0.41666666666666669</v>
      </c>
      <c r="E211" s="9">
        <v>1070</v>
      </c>
      <c r="F211" s="9">
        <v>8062</v>
      </c>
      <c r="G211" s="9">
        <v>7767</v>
      </c>
      <c r="H211" s="9">
        <v>294</v>
      </c>
      <c r="I211" s="9">
        <v>1</v>
      </c>
    </row>
    <row r="212" spans="1:9" x14ac:dyDescent="0.25">
      <c r="A212" s="3" t="s">
        <v>6</v>
      </c>
      <c r="B212" s="3" t="s">
        <v>8</v>
      </c>
      <c r="C212" s="4">
        <v>41094</v>
      </c>
      <c r="D212" s="5">
        <v>0.4375</v>
      </c>
      <c r="E212" s="9">
        <v>1099</v>
      </c>
      <c r="F212" s="9">
        <v>8736</v>
      </c>
      <c r="G212" s="9">
        <v>8471</v>
      </c>
      <c r="H212" s="9">
        <v>264</v>
      </c>
      <c r="I212" s="9">
        <v>1</v>
      </c>
    </row>
    <row r="213" spans="1:9" x14ac:dyDescent="0.25">
      <c r="A213" s="3" t="s">
        <v>6</v>
      </c>
      <c r="B213" s="3" t="s">
        <v>8</v>
      </c>
      <c r="C213" s="4">
        <v>41094</v>
      </c>
      <c r="D213" s="5">
        <v>0.45833333333333331</v>
      </c>
      <c r="E213" s="9">
        <v>1144</v>
      </c>
      <c r="F213" s="9">
        <v>8024</v>
      </c>
      <c r="G213" s="9">
        <v>7847</v>
      </c>
      <c r="H213" s="9">
        <v>175</v>
      </c>
      <c r="I213" s="9">
        <v>2</v>
      </c>
    </row>
    <row r="214" spans="1:9" x14ac:dyDescent="0.25">
      <c r="A214" s="3" t="s">
        <v>6</v>
      </c>
      <c r="B214" s="3" t="s">
        <v>8</v>
      </c>
      <c r="C214" s="4">
        <v>41094</v>
      </c>
      <c r="D214" s="5">
        <v>0.47916666666666669</v>
      </c>
      <c r="E214" s="9">
        <v>1145</v>
      </c>
      <c r="F214" s="9">
        <v>7851</v>
      </c>
      <c r="G214" s="9">
        <v>7688</v>
      </c>
      <c r="H214" s="9">
        <v>163</v>
      </c>
      <c r="I214" s="9">
        <v>0</v>
      </c>
    </row>
    <row r="215" spans="1:9" x14ac:dyDescent="0.25">
      <c r="A215" s="3" t="s">
        <v>6</v>
      </c>
      <c r="B215" s="3" t="s">
        <v>8</v>
      </c>
      <c r="C215" s="4">
        <v>41094</v>
      </c>
      <c r="D215" s="5">
        <v>0.5</v>
      </c>
      <c r="E215" s="9">
        <v>1134</v>
      </c>
      <c r="F215" s="9">
        <v>6840</v>
      </c>
      <c r="G215" s="9">
        <v>6687</v>
      </c>
      <c r="H215" s="9">
        <v>151</v>
      </c>
      <c r="I215" s="9">
        <v>2</v>
      </c>
    </row>
    <row r="216" spans="1:9" x14ac:dyDescent="0.25">
      <c r="A216" s="3" t="s">
        <v>6</v>
      </c>
      <c r="B216" s="3" t="s">
        <v>8</v>
      </c>
      <c r="C216" s="4">
        <v>41094</v>
      </c>
      <c r="D216" s="5">
        <v>0.52083333333333337</v>
      </c>
      <c r="E216" s="9">
        <v>1073</v>
      </c>
      <c r="F216" s="9">
        <v>6017</v>
      </c>
      <c r="G216" s="9">
        <v>5861</v>
      </c>
      <c r="H216" s="9">
        <v>156</v>
      </c>
      <c r="I216" s="9">
        <v>0</v>
      </c>
    </row>
    <row r="217" spans="1:9" x14ac:dyDescent="0.25">
      <c r="A217" s="3" t="s">
        <v>6</v>
      </c>
      <c r="B217" s="3" t="s">
        <v>8</v>
      </c>
      <c r="C217" s="4">
        <v>41094</v>
      </c>
      <c r="D217" s="5">
        <v>0.54166666666666663</v>
      </c>
      <c r="E217" s="9">
        <v>1060</v>
      </c>
      <c r="F217" s="9">
        <v>6119</v>
      </c>
      <c r="G217" s="9">
        <v>5996</v>
      </c>
      <c r="H217" s="9">
        <v>123</v>
      </c>
      <c r="I217" s="9">
        <v>0</v>
      </c>
    </row>
    <row r="218" spans="1:9" x14ac:dyDescent="0.25">
      <c r="A218" s="3" t="s">
        <v>6</v>
      </c>
      <c r="B218" s="3" t="s">
        <v>8</v>
      </c>
      <c r="C218" s="4">
        <v>41094</v>
      </c>
      <c r="D218" s="5">
        <v>0.5625</v>
      </c>
      <c r="E218" s="9">
        <v>1084</v>
      </c>
      <c r="F218" s="9">
        <v>6542</v>
      </c>
      <c r="G218" s="9">
        <v>6374</v>
      </c>
      <c r="H218" s="9">
        <v>168</v>
      </c>
      <c r="I218" s="9">
        <v>0</v>
      </c>
    </row>
    <row r="219" spans="1:9" x14ac:dyDescent="0.25">
      <c r="A219" s="3" t="s">
        <v>6</v>
      </c>
      <c r="B219" s="3" t="s">
        <v>8</v>
      </c>
      <c r="C219" s="4">
        <v>41094</v>
      </c>
      <c r="D219" s="5">
        <v>0.58333333333333337</v>
      </c>
      <c r="E219" s="9">
        <v>1103</v>
      </c>
      <c r="F219" s="9">
        <v>6362</v>
      </c>
      <c r="G219" s="9">
        <v>6245</v>
      </c>
      <c r="H219" s="9">
        <v>116</v>
      </c>
      <c r="I219" s="9">
        <v>1</v>
      </c>
    </row>
    <row r="220" spans="1:9" x14ac:dyDescent="0.25">
      <c r="A220" s="3" t="s">
        <v>6</v>
      </c>
      <c r="B220" s="3" t="s">
        <v>8</v>
      </c>
      <c r="C220" s="4">
        <v>41094</v>
      </c>
      <c r="D220" s="5">
        <v>0.60416666666666663</v>
      </c>
      <c r="E220" s="9">
        <v>1127</v>
      </c>
      <c r="F220" s="9">
        <v>6720</v>
      </c>
      <c r="G220" s="9">
        <v>6560</v>
      </c>
      <c r="H220" s="9">
        <v>160</v>
      </c>
      <c r="I220" s="9">
        <v>0</v>
      </c>
    </row>
    <row r="221" spans="1:9" x14ac:dyDescent="0.25">
      <c r="A221" s="3" t="s">
        <v>6</v>
      </c>
      <c r="B221" s="3" t="s">
        <v>8</v>
      </c>
      <c r="C221" s="4">
        <v>41094</v>
      </c>
      <c r="D221" s="5">
        <v>0.625</v>
      </c>
      <c r="E221" s="9">
        <v>1111</v>
      </c>
      <c r="F221" s="9">
        <v>6523</v>
      </c>
      <c r="G221" s="9">
        <v>6326</v>
      </c>
      <c r="H221" s="9">
        <v>195</v>
      </c>
      <c r="I221" s="9">
        <v>2</v>
      </c>
    </row>
    <row r="222" spans="1:9" x14ac:dyDescent="0.25">
      <c r="A222" s="3" t="s">
        <v>6</v>
      </c>
      <c r="B222" s="3" t="s">
        <v>8</v>
      </c>
      <c r="C222" s="4">
        <v>41094</v>
      </c>
      <c r="D222" s="5">
        <v>0.64583333333333337</v>
      </c>
      <c r="E222" s="9">
        <v>1107</v>
      </c>
      <c r="F222" s="9">
        <v>6462</v>
      </c>
      <c r="G222" s="9">
        <v>6251</v>
      </c>
      <c r="H222" s="9">
        <v>211</v>
      </c>
      <c r="I222" s="9">
        <v>0</v>
      </c>
    </row>
    <row r="223" spans="1:9" x14ac:dyDescent="0.25">
      <c r="A223" s="3" t="s">
        <v>6</v>
      </c>
      <c r="B223" s="3" t="s">
        <v>8</v>
      </c>
      <c r="C223" s="4">
        <v>41094</v>
      </c>
      <c r="D223" s="5">
        <v>0.66666666666666663</v>
      </c>
      <c r="E223" s="9">
        <v>1121</v>
      </c>
      <c r="F223" s="9">
        <v>6647</v>
      </c>
      <c r="G223" s="9">
        <v>6447</v>
      </c>
      <c r="H223" s="9">
        <v>200</v>
      </c>
      <c r="I223" s="9">
        <v>0</v>
      </c>
    </row>
    <row r="224" spans="1:9" x14ac:dyDescent="0.25">
      <c r="A224" s="3" t="s">
        <v>6</v>
      </c>
      <c r="B224" s="3" t="s">
        <v>8</v>
      </c>
      <c r="C224" s="4">
        <v>41094</v>
      </c>
      <c r="D224" s="5">
        <v>0.6875</v>
      </c>
      <c r="E224" s="9">
        <v>1126</v>
      </c>
      <c r="F224" s="9">
        <v>6532</v>
      </c>
      <c r="G224" s="9">
        <v>6188</v>
      </c>
      <c r="H224" s="9">
        <v>344</v>
      </c>
      <c r="I224" s="9">
        <v>0</v>
      </c>
    </row>
    <row r="225" spans="1:9" x14ac:dyDescent="0.25">
      <c r="A225" s="3" t="s">
        <v>6</v>
      </c>
      <c r="B225" s="3" t="s">
        <v>8</v>
      </c>
      <c r="C225" s="4">
        <v>41094</v>
      </c>
      <c r="D225" s="5">
        <v>0.70833333333333337</v>
      </c>
      <c r="E225" s="9">
        <v>1169</v>
      </c>
      <c r="F225" s="9">
        <v>5904</v>
      </c>
      <c r="G225" s="9">
        <v>5528</v>
      </c>
      <c r="H225" s="9">
        <v>376</v>
      </c>
      <c r="I225" s="9">
        <v>0</v>
      </c>
    </row>
    <row r="226" spans="1:9" x14ac:dyDescent="0.25">
      <c r="A226" s="3" t="s">
        <v>6</v>
      </c>
      <c r="B226" s="3" t="s">
        <v>8</v>
      </c>
      <c r="C226" s="4">
        <v>41094</v>
      </c>
      <c r="D226" s="5">
        <v>0.72916666666666663</v>
      </c>
      <c r="E226" s="9">
        <v>1076</v>
      </c>
      <c r="F226" s="9">
        <v>4942</v>
      </c>
      <c r="G226" s="9">
        <v>4579</v>
      </c>
      <c r="H226" s="9">
        <v>363</v>
      </c>
      <c r="I226" s="9">
        <v>0</v>
      </c>
    </row>
    <row r="227" spans="1:9" x14ac:dyDescent="0.25">
      <c r="A227" s="3" t="s">
        <v>6</v>
      </c>
      <c r="B227" s="3" t="s">
        <v>8</v>
      </c>
      <c r="C227" s="4">
        <v>41094</v>
      </c>
      <c r="D227" s="5">
        <v>0.75</v>
      </c>
      <c r="E227" s="9">
        <v>997</v>
      </c>
      <c r="F227" s="9">
        <v>3694</v>
      </c>
      <c r="G227" s="9">
        <v>3480</v>
      </c>
      <c r="H227" s="9">
        <v>214</v>
      </c>
      <c r="I227" s="9">
        <v>0</v>
      </c>
    </row>
    <row r="228" spans="1:9" x14ac:dyDescent="0.25">
      <c r="A228" s="3" t="s">
        <v>6</v>
      </c>
      <c r="B228" s="3" t="s">
        <v>8</v>
      </c>
      <c r="C228" s="4">
        <v>41094</v>
      </c>
      <c r="D228" s="5">
        <v>0.77083333333333337</v>
      </c>
      <c r="E228" s="9">
        <v>868</v>
      </c>
      <c r="F228" s="9">
        <v>3081</v>
      </c>
      <c r="G228" s="9">
        <v>2938</v>
      </c>
      <c r="H228" s="9">
        <v>143</v>
      </c>
      <c r="I228" s="9">
        <v>0</v>
      </c>
    </row>
    <row r="229" spans="1:9" x14ac:dyDescent="0.25">
      <c r="A229" s="3" t="s">
        <v>6</v>
      </c>
      <c r="B229" s="3" t="s">
        <v>8</v>
      </c>
      <c r="C229" s="4">
        <v>41094</v>
      </c>
      <c r="D229" s="5">
        <v>0.79166666666666663</v>
      </c>
      <c r="E229" s="9">
        <v>812</v>
      </c>
      <c r="F229" s="9">
        <v>2507</v>
      </c>
      <c r="G229" s="9">
        <v>2465</v>
      </c>
      <c r="H229" s="9">
        <v>42</v>
      </c>
      <c r="I229" s="9">
        <v>0</v>
      </c>
    </row>
    <row r="230" spans="1:9" x14ac:dyDescent="0.25">
      <c r="A230" s="3" t="s">
        <v>6</v>
      </c>
      <c r="B230" s="3" t="s">
        <v>8</v>
      </c>
      <c r="C230" s="4">
        <v>41094</v>
      </c>
      <c r="D230" s="5">
        <v>0.8125</v>
      </c>
      <c r="E230" s="9">
        <v>771</v>
      </c>
      <c r="F230" s="9">
        <v>2270</v>
      </c>
      <c r="G230" s="9">
        <v>2242</v>
      </c>
      <c r="H230" s="9">
        <v>28</v>
      </c>
      <c r="I230" s="9">
        <v>0</v>
      </c>
    </row>
    <row r="231" spans="1:9" x14ac:dyDescent="0.25">
      <c r="A231" s="3" t="s">
        <v>6</v>
      </c>
      <c r="B231" s="3" t="s">
        <v>8</v>
      </c>
      <c r="C231" s="4">
        <v>41095</v>
      </c>
      <c r="D231" s="5">
        <v>0.33333333333333331</v>
      </c>
      <c r="E231" s="9">
        <v>898</v>
      </c>
      <c r="F231" s="9">
        <v>2572</v>
      </c>
      <c r="G231" s="9">
        <v>2541</v>
      </c>
      <c r="H231" s="9">
        <v>31</v>
      </c>
      <c r="I231" s="9">
        <v>0</v>
      </c>
    </row>
    <row r="232" spans="1:9" x14ac:dyDescent="0.25">
      <c r="A232" s="3" t="s">
        <v>6</v>
      </c>
      <c r="B232" s="3" t="s">
        <v>8</v>
      </c>
      <c r="C232" s="4">
        <v>41095</v>
      </c>
      <c r="D232" s="5">
        <v>0.35416666666666669</v>
      </c>
      <c r="E232" s="9">
        <v>978</v>
      </c>
      <c r="F232" s="9">
        <v>3836</v>
      </c>
      <c r="G232" s="9">
        <v>3744</v>
      </c>
      <c r="H232" s="9">
        <v>92</v>
      </c>
      <c r="I232" s="9">
        <v>0</v>
      </c>
    </row>
    <row r="233" spans="1:9" x14ac:dyDescent="0.25">
      <c r="A233" s="3" t="s">
        <v>6</v>
      </c>
      <c r="B233" s="3" t="s">
        <v>8</v>
      </c>
      <c r="C233" s="4">
        <v>41095</v>
      </c>
      <c r="D233" s="5">
        <v>0.375</v>
      </c>
      <c r="E233" s="9">
        <v>1055</v>
      </c>
      <c r="F233" s="9">
        <v>5769</v>
      </c>
      <c r="G233" s="9">
        <v>5616</v>
      </c>
      <c r="H233" s="9">
        <v>153</v>
      </c>
      <c r="I233" s="9">
        <v>0</v>
      </c>
    </row>
    <row r="234" spans="1:9" x14ac:dyDescent="0.25">
      <c r="A234" s="3" t="s">
        <v>6</v>
      </c>
      <c r="B234" s="3" t="s">
        <v>8</v>
      </c>
      <c r="C234" s="4">
        <v>41095</v>
      </c>
      <c r="D234" s="5">
        <v>0.39583333333333331</v>
      </c>
      <c r="E234" s="9">
        <v>1117</v>
      </c>
      <c r="F234" s="9">
        <v>6705</v>
      </c>
      <c r="G234" s="9">
        <v>6506</v>
      </c>
      <c r="H234" s="9">
        <v>197</v>
      </c>
      <c r="I234" s="9">
        <v>2</v>
      </c>
    </row>
    <row r="235" spans="1:9" x14ac:dyDescent="0.25">
      <c r="A235" s="3" t="s">
        <v>6</v>
      </c>
      <c r="B235" s="3" t="s">
        <v>8</v>
      </c>
      <c r="C235" s="4">
        <v>41095</v>
      </c>
      <c r="D235" s="5">
        <v>0.41666666666666669</v>
      </c>
      <c r="E235" s="9">
        <v>1138</v>
      </c>
      <c r="F235" s="9">
        <v>7717</v>
      </c>
      <c r="G235" s="9">
        <v>7516</v>
      </c>
      <c r="H235" s="9">
        <v>201</v>
      </c>
      <c r="I235" s="9">
        <v>0</v>
      </c>
    </row>
    <row r="236" spans="1:9" x14ac:dyDescent="0.25">
      <c r="A236" s="3" t="s">
        <v>6</v>
      </c>
      <c r="B236" s="3" t="s">
        <v>8</v>
      </c>
      <c r="C236" s="4">
        <v>41095</v>
      </c>
      <c r="D236" s="5">
        <v>0.4375</v>
      </c>
      <c r="E236" s="9">
        <v>1143</v>
      </c>
      <c r="F236" s="9">
        <v>7642</v>
      </c>
      <c r="G236" s="9">
        <v>7474</v>
      </c>
      <c r="H236" s="9">
        <v>167</v>
      </c>
      <c r="I236" s="9">
        <v>1</v>
      </c>
    </row>
    <row r="237" spans="1:9" x14ac:dyDescent="0.25">
      <c r="A237" s="3" t="s">
        <v>6</v>
      </c>
      <c r="B237" s="3" t="s">
        <v>8</v>
      </c>
      <c r="C237" s="4">
        <v>41095</v>
      </c>
      <c r="D237" s="5">
        <v>0.45833333333333331</v>
      </c>
      <c r="E237" s="9">
        <v>1174</v>
      </c>
      <c r="F237" s="9">
        <v>7341</v>
      </c>
      <c r="G237" s="9">
        <v>7173</v>
      </c>
      <c r="H237" s="9">
        <v>167</v>
      </c>
      <c r="I237" s="9">
        <v>1</v>
      </c>
    </row>
    <row r="238" spans="1:9" x14ac:dyDescent="0.25">
      <c r="A238" s="3" t="s">
        <v>6</v>
      </c>
      <c r="B238" s="3" t="s">
        <v>8</v>
      </c>
      <c r="C238" s="4">
        <v>41095</v>
      </c>
      <c r="D238" s="5">
        <v>0.47916666666666669</v>
      </c>
      <c r="E238" s="9">
        <v>1191</v>
      </c>
      <c r="F238" s="9">
        <v>7309</v>
      </c>
      <c r="G238" s="9">
        <v>7174</v>
      </c>
      <c r="H238" s="9">
        <v>135</v>
      </c>
      <c r="I238" s="9">
        <v>0</v>
      </c>
    </row>
    <row r="239" spans="1:9" x14ac:dyDescent="0.25">
      <c r="A239" s="3" t="s">
        <v>6</v>
      </c>
      <c r="B239" s="3" t="s">
        <v>8</v>
      </c>
      <c r="C239" s="4">
        <v>41095</v>
      </c>
      <c r="D239" s="5">
        <v>0.5</v>
      </c>
      <c r="E239" s="9">
        <v>1194</v>
      </c>
      <c r="F239" s="9">
        <v>6495</v>
      </c>
      <c r="G239" s="9">
        <v>6380</v>
      </c>
      <c r="H239" s="9">
        <v>115</v>
      </c>
      <c r="I239" s="9">
        <v>0</v>
      </c>
    </row>
    <row r="240" spans="1:9" x14ac:dyDescent="0.25">
      <c r="A240" s="3" t="s">
        <v>6</v>
      </c>
      <c r="B240" s="3" t="s">
        <v>8</v>
      </c>
      <c r="C240" s="4">
        <v>41095</v>
      </c>
      <c r="D240" s="5">
        <v>0.52083333333333337</v>
      </c>
      <c r="E240" s="9">
        <v>1148</v>
      </c>
      <c r="F240" s="9">
        <v>5899</v>
      </c>
      <c r="G240" s="9">
        <v>5825</v>
      </c>
      <c r="H240" s="9">
        <v>74</v>
      </c>
      <c r="I240" s="9">
        <v>0</v>
      </c>
    </row>
    <row r="241" spans="1:9" x14ac:dyDescent="0.25">
      <c r="A241" s="3" t="s">
        <v>6</v>
      </c>
      <c r="B241" s="3" t="s">
        <v>8</v>
      </c>
      <c r="C241" s="4">
        <v>41095</v>
      </c>
      <c r="D241" s="5">
        <v>0.54166666666666663</v>
      </c>
      <c r="E241" s="9">
        <v>1152</v>
      </c>
      <c r="F241" s="9">
        <v>5576</v>
      </c>
      <c r="G241" s="9">
        <v>5494</v>
      </c>
      <c r="H241" s="9">
        <v>82</v>
      </c>
      <c r="I241" s="9">
        <v>0</v>
      </c>
    </row>
    <row r="242" spans="1:9" x14ac:dyDescent="0.25">
      <c r="A242" s="3" t="s">
        <v>6</v>
      </c>
      <c r="B242" s="3" t="s">
        <v>8</v>
      </c>
      <c r="C242" s="4">
        <v>41095</v>
      </c>
      <c r="D242" s="5">
        <v>0.5625</v>
      </c>
      <c r="E242" s="9">
        <v>1171</v>
      </c>
      <c r="F242" s="9">
        <v>5874</v>
      </c>
      <c r="G242" s="9">
        <v>5782</v>
      </c>
      <c r="H242" s="9">
        <v>89</v>
      </c>
      <c r="I242" s="9">
        <v>3</v>
      </c>
    </row>
    <row r="243" spans="1:9" x14ac:dyDescent="0.25">
      <c r="A243" s="3" t="s">
        <v>6</v>
      </c>
      <c r="B243" s="3" t="s">
        <v>8</v>
      </c>
      <c r="C243" s="4">
        <v>41095</v>
      </c>
      <c r="D243" s="5">
        <v>0.58333333333333337</v>
      </c>
      <c r="E243" s="9">
        <v>1145</v>
      </c>
      <c r="F243" s="9">
        <v>6394</v>
      </c>
      <c r="G243" s="9">
        <v>6250</v>
      </c>
      <c r="H243" s="9">
        <v>144</v>
      </c>
      <c r="I243" s="9">
        <v>0</v>
      </c>
    </row>
    <row r="244" spans="1:9" x14ac:dyDescent="0.25">
      <c r="A244" s="3" t="s">
        <v>6</v>
      </c>
      <c r="B244" s="3" t="s">
        <v>8</v>
      </c>
      <c r="C244" s="4">
        <v>41095</v>
      </c>
      <c r="D244" s="5">
        <v>0.60416666666666663</v>
      </c>
      <c r="E244" s="9">
        <v>1159</v>
      </c>
      <c r="F244" s="9">
        <v>6362</v>
      </c>
      <c r="G244" s="9">
        <v>6187</v>
      </c>
      <c r="H244" s="9">
        <v>175</v>
      </c>
      <c r="I244" s="9">
        <v>0</v>
      </c>
    </row>
    <row r="245" spans="1:9" x14ac:dyDescent="0.25">
      <c r="A245" s="3" t="s">
        <v>6</v>
      </c>
      <c r="B245" s="3" t="s">
        <v>8</v>
      </c>
      <c r="C245" s="4">
        <v>41095</v>
      </c>
      <c r="D245" s="5">
        <v>0.625</v>
      </c>
      <c r="E245" s="9">
        <v>1119</v>
      </c>
      <c r="F245" s="9">
        <v>6219</v>
      </c>
      <c r="G245" s="9">
        <v>6055</v>
      </c>
      <c r="H245" s="9">
        <v>163</v>
      </c>
      <c r="I245" s="9">
        <v>1</v>
      </c>
    </row>
    <row r="246" spans="1:9" x14ac:dyDescent="0.25">
      <c r="A246" s="3" t="s">
        <v>6</v>
      </c>
      <c r="B246" s="3" t="s">
        <v>8</v>
      </c>
      <c r="C246" s="4">
        <v>41095</v>
      </c>
      <c r="D246" s="5">
        <v>0.64583333333333337</v>
      </c>
      <c r="E246" s="9">
        <v>1112</v>
      </c>
      <c r="F246" s="9">
        <v>6003</v>
      </c>
      <c r="G246" s="9">
        <v>5814</v>
      </c>
      <c r="H246" s="9">
        <v>189</v>
      </c>
      <c r="I246" s="9">
        <v>0</v>
      </c>
    </row>
    <row r="247" spans="1:9" x14ac:dyDescent="0.25">
      <c r="A247" s="3" t="s">
        <v>6</v>
      </c>
      <c r="B247" s="3" t="s">
        <v>8</v>
      </c>
      <c r="C247" s="4">
        <v>41095</v>
      </c>
      <c r="D247" s="5">
        <v>0.66666666666666663</v>
      </c>
      <c r="E247" s="9">
        <v>1092</v>
      </c>
      <c r="F247" s="9">
        <v>6079</v>
      </c>
      <c r="G247" s="9">
        <v>5896</v>
      </c>
      <c r="H247" s="9">
        <v>183</v>
      </c>
      <c r="I247" s="9">
        <v>0</v>
      </c>
    </row>
    <row r="248" spans="1:9" x14ac:dyDescent="0.25">
      <c r="A248" s="3" t="s">
        <v>6</v>
      </c>
      <c r="B248" s="3" t="s">
        <v>8</v>
      </c>
      <c r="C248" s="4">
        <v>41095</v>
      </c>
      <c r="D248" s="5">
        <v>0.6875</v>
      </c>
      <c r="E248" s="9">
        <v>1159</v>
      </c>
      <c r="F248" s="9">
        <v>6041</v>
      </c>
      <c r="G248" s="9">
        <v>5810</v>
      </c>
      <c r="H248" s="9">
        <v>228</v>
      </c>
      <c r="I248" s="9">
        <v>3</v>
      </c>
    </row>
    <row r="249" spans="1:9" x14ac:dyDescent="0.25">
      <c r="A249" s="3" t="s">
        <v>6</v>
      </c>
      <c r="B249" s="3" t="s">
        <v>8</v>
      </c>
      <c r="C249" s="4">
        <v>41095</v>
      </c>
      <c r="D249" s="5">
        <v>0.70833333333333337</v>
      </c>
      <c r="E249" s="9">
        <v>1120</v>
      </c>
      <c r="F249" s="9">
        <v>5722</v>
      </c>
      <c r="G249" s="9">
        <v>5350</v>
      </c>
      <c r="H249" s="9">
        <v>372</v>
      </c>
      <c r="I249" s="9">
        <v>0</v>
      </c>
    </row>
    <row r="250" spans="1:9" x14ac:dyDescent="0.25">
      <c r="A250" s="3" t="s">
        <v>6</v>
      </c>
      <c r="B250" s="3" t="s">
        <v>8</v>
      </c>
      <c r="C250" s="4">
        <v>41095</v>
      </c>
      <c r="D250" s="5">
        <v>0.72916666666666663</v>
      </c>
      <c r="E250" s="9">
        <v>1091</v>
      </c>
      <c r="F250" s="9">
        <v>4657</v>
      </c>
      <c r="G250" s="9">
        <v>4300</v>
      </c>
      <c r="H250" s="9">
        <v>357</v>
      </c>
      <c r="I250" s="9">
        <v>0</v>
      </c>
    </row>
    <row r="251" spans="1:9" x14ac:dyDescent="0.25">
      <c r="A251" s="3" t="s">
        <v>6</v>
      </c>
      <c r="B251" s="3" t="s">
        <v>8</v>
      </c>
      <c r="C251" s="4">
        <v>41095</v>
      </c>
      <c r="D251" s="5">
        <v>0.75</v>
      </c>
      <c r="E251" s="9">
        <v>1004</v>
      </c>
      <c r="F251" s="9">
        <v>3655</v>
      </c>
      <c r="G251" s="9">
        <v>3460</v>
      </c>
      <c r="H251" s="9">
        <v>195</v>
      </c>
      <c r="I251" s="9">
        <v>0</v>
      </c>
    </row>
    <row r="252" spans="1:9" x14ac:dyDescent="0.25">
      <c r="A252" s="3" t="s">
        <v>6</v>
      </c>
      <c r="B252" s="3" t="s">
        <v>8</v>
      </c>
      <c r="C252" s="4">
        <v>41095</v>
      </c>
      <c r="D252" s="5">
        <v>0.77083333333333337</v>
      </c>
      <c r="E252" s="9">
        <v>824</v>
      </c>
      <c r="F252" s="9">
        <v>2965</v>
      </c>
      <c r="G252" s="9">
        <v>2870</v>
      </c>
      <c r="H252" s="9">
        <v>92</v>
      </c>
      <c r="I252" s="9">
        <v>3</v>
      </c>
    </row>
    <row r="253" spans="1:9" x14ac:dyDescent="0.25">
      <c r="A253" s="3" t="s">
        <v>6</v>
      </c>
      <c r="B253" s="3" t="s">
        <v>8</v>
      </c>
      <c r="C253" s="4">
        <v>41095</v>
      </c>
      <c r="D253" s="5">
        <v>0.79166666666666663</v>
      </c>
      <c r="E253" s="9">
        <v>800</v>
      </c>
      <c r="F253" s="9">
        <v>2598</v>
      </c>
      <c r="G253" s="9">
        <v>2567</v>
      </c>
      <c r="H253" s="9">
        <v>29</v>
      </c>
      <c r="I253" s="9">
        <v>2</v>
      </c>
    </row>
    <row r="254" spans="1:9" x14ac:dyDescent="0.25">
      <c r="A254" s="3" t="s">
        <v>6</v>
      </c>
      <c r="B254" s="3" t="s">
        <v>8</v>
      </c>
      <c r="C254" s="4">
        <v>41095</v>
      </c>
      <c r="D254" s="5">
        <v>0.8125</v>
      </c>
      <c r="E254" s="9">
        <v>758</v>
      </c>
      <c r="F254" s="9">
        <v>2154</v>
      </c>
      <c r="G254" s="9">
        <v>2122</v>
      </c>
      <c r="H254" s="9">
        <v>30</v>
      </c>
      <c r="I254" s="9">
        <v>2</v>
      </c>
    </row>
    <row r="255" spans="1:9" x14ac:dyDescent="0.25">
      <c r="A255" s="3" t="s">
        <v>11</v>
      </c>
      <c r="B255" s="3" t="s">
        <v>12</v>
      </c>
      <c r="C255" s="4">
        <v>41091</v>
      </c>
      <c r="D255" s="5">
        <v>0.33333333333333331</v>
      </c>
      <c r="E255" s="9">
        <v>247</v>
      </c>
      <c r="F255" s="9">
        <v>217</v>
      </c>
      <c r="G255" s="9">
        <v>195</v>
      </c>
      <c r="H255" s="9">
        <v>21</v>
      </c>
      <c r="I255" s="9">
        <v>1</v>
      </c>
    </row>
    <row r="256" spans="1:9" x14ac:dyDescent="0.25">
      <c r="A256" s="3" t="s">
        <v>11</v>
      </c>
      <c r="B256" s="3" t="s">
        <v>12</v>
      </c>
      <c r="C256" s="4">
        <v>41091</v>
      </c>
      <c r="D256" s="5">
        <v>0.35416666666666669</v>
      </c>
      <c r="E256" s="9">
        <v>266</v>
      </c>
      <c r="F256" s="9">
        <v>266</v>
      </c>
      <c r="G256" s="9">
        <v>254</v>
      </c>
      <c r="H256" s="9">
        <v>10</v>
      </c>
      <c r="I256" s="9">
        <v>2</v>
      </c>
    </row>
    <row r="257" spans="1:9" x14ac:dyDescent="0.25">
      <c r="A257" s="3" t="s">
        <v>11</v>
      </c>
      <c r="B257" s="3" t="s">
        <v>12</v>
      </c>
      <c r="C257" s="4">
        <v>41091</v>
      </c>
      <c r="D257" s="5">
        <v>0.375</v>
      </c>
      <c r="E257" s="9">
        <v>244</v>
      </c>
      <c r="F257" s="9">
        <v>392</v>
      </c>
      <c r="G257" s="9">
        <v>379</v>
      </c>
      <c r="H257" s="9">
        <v>11</v>
      </c>
      <c r="I257" s="9">
        <v>2</v>
      </c>
    </row>
    <row r="258" spans="1:9" x14ac:dyDescent="0.25">
      <c r="A258" s="3" t="s">
        <v>11</v>
      </c>
      <c r="B258" s="3" t="s">
        <v>12</v>
      </c>
      <c r="C258" s="4">
        <v>41091</v>
      </c>
      <c r="D258" s="5">
        <v>0.39583333333333331</v>
      </c>
      <c r="E258" s="9">
        <v>247</v>
      </c>
      <c r="F258" s="9">
        <v>669</v>
      </c>
      <c r="G258" s="9">
        <v>624</v>
      </c>
      <c r="H258" s="9">
        <v>42</v>
      </c>
      <c r="I258" s="9">
        <v>3</v>
      </c>
    </row>
    <row r="259" spans="1:9" x14ac:dyDescent="0.25">
      <c r="A259" s="3" t="s">
        <v>11</v>
      </c>
      <c r="B259" s="3" t="s">
        <v>12</v>
      </c>
      <c r="C259" s="4">
        <v>41091</v>
      </c>
      <c r="D259" s="5">
        <v>0.41666666666666669</v>
      </c>
      <c r="E259" s="9">
        <v>258</v>
      </c>
      <c r="F259" s="9">
        <v>869</v>
      </c>
      <c r="G259" s="9">
        <v>795</v>
      </c>
      <c r="H259" s="9">
        <v>69</v>
      </c>
      <c r="I259" s="9">
        <v>5</v>
      </c>
    </row>
    <row r="260" spans="1:9" x14ac:dyDescent="0.25">
      <c r="A260" s="3" t="s">
        <v>11</v>
      </c>
      <c r="B260" s="3" t="s">
        <v>12</v>
      </c>
      <c r="C260" s="4">
        <v>41091</v>
      </c>
      <c r="D260" s="5">
        <v>0.4375</v>
      </c>
      <c r="E260" s="9">
        <v>263</v>
      </c>
      <c r="F260" s="9">
        <v>992</v>
      </c>
      <c r="G260" s="9">
        <v>865</v>
      </c>
      <c r="H260" s="9">
        <v>127</v>
      </c>
      <c r="I260" s="9">
        <v>0</v>
      </c>
    </row>
    <row r="261" spans="1:9" x14ac:dyDescent="0.25">
      <c r="A261" s="3" t="s">
        <v>11</v>
      </c>
      <c r="B261" s="3" t="s">
        <v>12</v>
      </c>
      <c r="C261" s="4">
        <v>41091</v>
      </c>
      <c r="D261" s="5">
        <v>0.45833333333333331</v>
      </c>
      <c r="E261" s="9">
        <v>266</v>
      </c>
      <c r="F261" s="9">
        <v>1074</v>
      </c>
      <c r="G261" s="9">
        <v>971</v>
      </c>
      <c r="H261" s="9">
        <v>99</v>
      </c>
      <c r="I261" s="9">
        <v>4</v>
      </c>
    </row>
    <row r="262" spans="1:9" x14ac:dyDescent="0.25">
      <c r="A262" s="3" t="s">
        <v>11</v>
      </c>
      <c r="B262" s="3" t="s">
        <v>12</v>
      </c>
      <c r="C262" s="4">
        <v>41091</v>
      </c>
      <c r="D262" s="5">
        <v>0.47916666666666669</v>
      </c>
      <c r="E262" s="9">
        <v>264</v>
      </c>
      <c r="F262" s="9">
        <v>1109</v>
      </c>
      <c r="G262" s="9">
        <v>973</v>
      </c>
      <c r="H262" s="9">
        <v>135</v>
      </c>
      <c r="I262" s="9">
        <v>1</v>
      </c>
    </row>
    <row r="263" spans="1:9" x14ac:dyDescent="0.25">
      <c r="A263" s="3" t="s">
        <v>11</v>
      </c>
      <c r="B263" s="3" t="s">
        <v>12</v>
      </c>
      <c r="C263" s="4">
        <v>41091</v>
      </c>
      <c r="D263" s="5">
        <v>0.5</v>
      </c>
      <c r="E263" s="9">
        <v>278</v>
      </c>
      <c r="F263" s="9">
        <v>1033</v>
      </c>
      <c r="G263" s="9">
        <v>905</v>
      </c>
      <c r="H263" s="9">
        <v>128</v>
      </c>
      <c r="I263" s="9">
        <v>0</v>
      </c>
    </row>
    <row r="264" spans="1:9" x14ac:dyDescent="0.25">
      <c r="A264" s="3" t="s">
        <v>11</v>
      </c>
      <c r="B264" s="3" t="s">
        <v>12</v>
      </c>
      <c r="C264" s="4">
        <v>41091</v>
      </c>
      <c r="D264" s="5">
        <v>0.52083333333333337</v>
      </c>
      <c r="E264" s="9">
        <v>256</v>
      </c>
      <c r="F264" s="9">
        <v>935</v>
      </c>
      <c r="G264" s="9">
        <v>796</v>
      </c>
      <c r="H264" s="9">
        <v>138</v>
      </c>
      <c r="I264" s="9">
        <v>1</v>
      </c>
    </row>
    <row r="265" spans="1:9" x14ac:dyDescent="0.25">
      <c r="A265" s="3" t="s">
        <v>11</v>
      </c>
      <c r="B265" s="3" t="s">
        <v>12</v>
      </c>
      <c r="C265" s="4">
        <v>41091</v>
      </c>
      <c r="D265" s="5">
        <v>0.54166666666666663</v>
      </c>
      <c r="E265" s="9">
        <v>253</v>
      </c>
      <c r="F265" s="9">
        <v>983</v>
      </c>
      <c r="G265" s="9">
        <v>854</v>
      </c>
      <c r="H265" s="9">
        <v>126</v>
      </c>
      <c r="I265" s="9">
        <v>3</v>
      </c>
    </row>
    <row r="266" spans="1:9" x14ac:dyDescent="0.25">
      <c r="A266" s="3" t="s">
        <v>11</v>
      </c>
      <c r="B266" s="3" t="s">
        <v>12</v>
      </c>
      <c r="C266" s="4">
        <v>41091</v>
      </c>
      <c r="D266" s="5">
        <v>0.5625</v>
      </c>
      <c r="E266" s="9">
        <v>269</v>
      </c>
      <c r="F266" s="9">
        <v>1035</v>
      </c>
      <c r="G266" s="9">
        <v>879</v>
      </c>
      <c r="H266" s="9">
        <v>152</v>
      </c>
      <c r="I266" s="9">
        <v>4</v>
      </c>
    </row>
    <row r="267" spans="1:9" x14ac:dyDescent="0.25">
      <c r="A267" s="3" t="s">
        <v>11</v>
      </c>
      <c r="B267" s="3" t="s">
        <v>12</v>
      </c>
      <c r="C267" s="4">
        <v>41091</v>
      </c>
      <c r="D267" s="5">
        <v>0.58333333333333337</v>
      </c>
      <c r="E267" s="9">
        <v>271</v>
      </c>
      <c r="F267" s="9">
        <v>962</v>
      </c>
      <c r="G267" s="9">
        <v>800</v>
      </c>
      <c r="H267" s="9">
        <v>157</v>
      </c>
      <c r="I267" s="9">
        <v>5</v>
      </c>
    </row>
    <row r="268" spans="1:9" x14ac:dyDescent="0.25">
      <c r="A268" s="3" t="s">
        <v>11</v>
      </c>
      <c r="B268" s="3" t="s">
        <v>12</v>
      </c>
      <c r="C268" s="4">
        <v>41091</v>
      </c>
      <c r="D268" s="5">
        <v>0.60416666666666663</v>
      </c>
      <c r="E268" s="9">
        <v>316</v>
      </c>
      <c r="F268" s="9">
        <v>905</v>
      </c>
      <c r="G268" s="9">
        <v>718</v>
      </c>
      <c r="H268" s="9">
        <v>177</v>
      </c>
      <c r="I268" s="9">
        <v>10</v>
      </c>
    </row>
    <row r="269" spans="1:9" x14ac:dyDescent="0.25">
      <c r="A269" s="3" t="s">
        <v>11</v>
      </c>
      <c r="B269" s="3" t="s">
        <v>12</v>
      </c>
      <c r="C269" s="4">
        <v>41091</v>
      </c>
      <c r="D269" s="5">
        <v>0.625</v>
      </c>
      <c r="E269" s="9">
        <v>303</v>
      </c>
      <c r="F269" s="9">
        <v>959</v>
      </c>
      <c r="G269" s="9">
        <v>809</v>
      </c>
      <c r="H269" s="9">
        <v>146</v>
      </c>
      <c r="I269" s="9">
        <v>4</v>
      </c>
    </row>
    <row r="270" spans="1:9" x14ac:dyDescent="0.25">
      <c r="A270" s="3" t="s">
        <v>11</v>
      </c>
      <c r="B270" s="3" t="s">
        <v>12</v>
      </c>
      <c r="C270" s="4">
        <v>41091</v>
      </c>
      <c r="D270" s="5">
        <v>0.64583333333333337</v>
      </c>
      <c r="E270" s="9">
        <v>224</v>
      </c>
      <c r="F270" s="9">
        <v>917</v>
      </c>
      <c r="G270" s="9">
        <v>796</v>
      </c>
      <c r="H270" s="9">
        <v>118</v>
      </c>
      <c r="I270" s="9">
        <v>3</v>
      </c>
    </row>
    <row r="271" spans="1:9" x14ac:dyDescent="0.25">
      <c r="A271" s="3" t="s">
        <v>11</v>
      </c>
      <c r="B271" s="3" t="s">
        <v>12</v>
      </c>
      <c r="C271" s="4">
        <v>41091</v>
      </c>
      <c r="D271" s="5">
        <v>0.66666666666666663</v>
      </c>
      <c r="E271" s="9">
        <v>208</v>
      </c>
      <c r="F271" s="9">
        <v>880</v>
      </c>
      <c r="G271" s="9">
        <v>773</v>
      </c>
      <c r="H271" s="9">
        <v>106</v>
      </c>
      <c r="I271" s="9">
        <v>1</v>
      </c>
    </row>
    <row r="272" spans="1:9" x14ac:dyDescent="0.25">
      <c r="A272" s="3" t="s">
        <v>11</v>
      </c>
      <c r="B272" s="3" t="s">
        <v>12</v>
      </c>
      <c r="C272" s="4">
        <v>41091</v>
      </c>
      <c r="D272" s="5">
        <v>0.6875</v>
      </c>
      <c r="E272" s="9">
        <v>194</v>
      </c>
      <c r="F272" s="9">
        <v>957</v>
      </c>
      <c r="G272" s="9">
        <v>842</v>
      </c>
      <c r="H272" s="9">
        <v>115</v>
      </c>
      <c r="I272" s="9">
        <v>0</v>
      </c>
    </row>
    <row r="273" spans="1:9" x14ac:dyDescent="0.25">
      <c r="A273" s="3" t="s">
        <v>11</v>
      </c>
      <c r="B273" s="3" t="s">
        <v>12</v>
      </c>
      <c r="C273" s="4">
        <v>41091</v>
      </c>
      <c r="D273" s="5">
        <v>0.70833333333333337</v>
      </c>
      <c r="E273" s="9">
        <v>197</v>
      </c>
      <c r="F273" s="9">
        <v>862</v>
      </c>
      <c r="G273" s="9">
        <v>776</v>
      </c>
      <c r="H273" s="9">
        <v>84</v>
      </c>
      <c r="I273" s="9">
        <v>2</v>
      </c>
    </row>
    <row r="274" spans="1:9" x14ac:dyDescent="0.25">
      <c r="A274" s="3" t="s">
        <v>11</v>
      </c>
      <c r="B274" s="3" t="s">
        <v>12</v>
      </c>
      <c r="C274" s="4">
        <v>41091</v>
      </c>
      <c r="D274" s="5">
        <v>0.72916666666666663</v>
      </c>
      <c r="E274" s="9">
        <v>199</v>
      </c>
      <c r="F274" s="9">
        <v>835</v>
      </c>
      <c r="G274" s="9">
        <v>779</v>
      </c>
      <c r="H274" s="9">
        <v>56</v>
      </c>
      <c r="I274" s="9">
        <v>0</v>
      </c>
    </row>
    <row r="275" spans="1:9" x14ac:dyDescent="0.25">
      <c r="A275" s="3" t="s">
        <v>11</v>
      </c>
      <c r="B275" s="3" t="s">
        <v>12</v>
      </c>
      <c r="C275" s="4">
        <v>41091</v>
      </c>
      <c r="D275" s="5">
        <v>0.75</v>
      </c>
      <c r="E275" s="9">
        <v>205</v>
      </c>
      <c r="F275" s="9">
        <v>1034</v>
      </c>
      <c r="G275" s="9">
        <v>922</v>
      </c>
      <c r="H275" s="9">
        <v>108</v>
      </c>
      <c r="I275" s="9">
        <v>4</v>
      </c>
    </row>
    <row r="276" spans="1:9" x14ac:dyDescent="0.25">
      <c r="A276" s="3" t="s">
        <v>11</v>
      </c>
      <c r="B276" s="3" t="s">
        <v>12</v>
      </c>
      <c r="C276" s="4">
        <v>41091</v>
      </c>
      <c r="D276" s="5">
        <v>0.77083333333333337</v>
      </c>
      <c r="E276" s="9">
        <v>192</v>
      </c>
      <c r="F276" s="9">
        <v>1002</v>
      </c>
      <c r="G276" s="9">
        <v>914</v>
      </c>
      <c r="H276" s="9">
        <v>85</v>
      </c>
      <c r="I276" s="9">
        <v>3</v>
      </c>
    </row>
    <row r="277" spans="1:9" x14ac:dyDescent="0.25">
      <c r="A277" s="3" t="s">
        <v>11</v>
      </c>
      <c r="B277" s="3" t="s">
        <v>12</v>
      </c>
      <c r="C277" s="4">
        <v>41091</v>
      </c>
      <c r="D277" s="5">
        <v>0.79166666666666663</v>
      </c>
      <c r="E277" s="9">
        <v>190</v>
      </c>
      <c r="F277" s="9">
        <v>927</v>
      </c>
      <c r="G277" s="9">
        <v>809</v>
      </c>
      <c r="H277" s="9">
        <v>116</v>
      </c>
      <c r="I277" s="9">
        <v>2</v>
      </c>
    </row>
    <row r="278" spans="1:9" x14ac:dyDescent="0.25">
      <c r="A278" s="3" t="s">
        <v>11</v>
      </c>
      <c r="B278" s="3" t="s">
        <v>12</v>
      </c>
      <c r="C278" s="4">
        <v>41091</v>
      </c>
      <c r="D278" s="5">
        <v>0.8125</v>
      </c>
      <c r="E278" s="9">
        <v>190</v>
      </c>
      <c r="F278" s="9">
        <v>924</v>
      </c>
      <c r="G278" s="9">
        <v>814</v>
      </c>
      <c r="H278" s="9">
        <v>108</v>
      </c>
      <c r="I278" s="9">
        <v>2</v>
      </c>
    </row>
    <row r="279" spans="1:9" x14ac:dyDescent="0.25">
      <c r="A279" s="3" t="s">
        <v>11</v>
      </c>
      <c r="B279" s="3" t="s">
        <v>12</v>
      </c>
      <c r="C279" s="4">
        <v>41092</v>
      </c>
      <c r="D279" s="5">
        <v>0.33333333333333331</v>
      </c>
      <c r="E279" s="9">
        <v>439</v>
      </c>
      <c r="F279" s="9">
        <v>1149</v>
      </c>
      <c r="G279" s="9">
        <v>954</v>
      </c>
      <c r="H279" s="9">
        <v>192</v>
      </c>
      <c r="I279" s="9">
        <v>3</v>
      </c>
    </row>
    <row r="280" spans="1:9" x14ac:dyDescent="0.25">
      <c r="A280" s="3" t="s">
        <v>11</v>
      </c>
      <c r="B280" s="3" t="s">
        <v>12</v>
      </c>
      <c r="C280" s="4">
        <v>41092</v>
      </c>
      <c r="D280" s="5">
        <v>0.35416666666666669</v>
      </c>
      <c r="E280" s="9">
        <v>476</v>
      </c>
      <c r="F280" s="9">
        <v>1773</v>
      </c>
      <c r="G280" s="9">
        <v>1681</v>
      </c>
      <c r="H280" s="9">
        <v>83</v>
      </c>
      <c r="I280" s="9">
        <v>9</v>
      </c>
    </row>
    <row r="281" spans="1:9" x14ac:dyDescent="0.25">
      <c r="A281" s="3" t="s">
        <v>11</v>
      </c>
      <c r="B281" s="3" t="s">
        <v>12</v>
      </c>
      <c r="C281" s="4">
        <v>41092</v>
      </c>
      <c r="D281" s="5">
        <v>0.375</v>
      </c>
      <c r="E281" s="9">
        <v>634</v>
      </c>
      <c r="F281" s="9">
        <v>3462</v>
      </c>
      <c r="G281" s="9">
        <v>3133</v>
      </c>
      <c r="H281" s="9">
        <v>305</v>
      </c>
      <c r="I281" s="9">
        <v>24</v>
      </c>
    </row>
    <row r="282" spans="1:9" x14ac:dyDescent="0.25">
      <c r="A282" s="3" t="s">
        <v>11</v>
      </c>
      <c r="B282" s="3" t="s">
        <v>12</v>
      </c>
      <c r="C282" s="4">
        <v>41092</v>
      </c>
      <c r="D282" s="5">
        <v>0.39583333333333331</v>
      </c>
      <c r="E282" s="9">
        <v>661</v>
      </c>
      <c r="F282" s="9">
        <v>4041</v>
      </c>
      <c r="G282" s="9">
        <v>3604</v>
      </c>
      <c r="H282" s="9">
        <v>413</v>
      </c>
      <c r="I282" s="9">
        <v>24</v>
      </c>
    </row>
    <row r="283" spans="1:9" x14ac:dyDescent="0.25">
      <c r="A283" s="3" t="s">
        <v>11</v>
      </c>
      <c r="B283" s="3" t="s">
        <v>12</v>
      </c>
      <c r="C283" s="4">
        <v>41092</v>
      </c>
      <c r="D283" s="5">
        <v>0.41666666666666669</v>
      </c>
      <c r="E283" s="9">
        <v>638</v>
      </c>
      <c r="F283" s="9">
        <v>4391</v>
      </c>
      <c r="G283" s="9">
        <v>3874</v>
      </c>
      <c r="H283" s="9">
        <v>480</v>
      </c>
      <c r="I283" s="9">
        <v>37</v>
      </c>
    </row>
    <row r="284" spans="1:9" x14ac:dyDescent="0.25">
      <c r="A284" s="3" t="s">
        <v>11</v>
      </c>
      <c r="B284" s="3" t="s">
        <v>12</v>
      </c>
      <c r="C284" s="4">
        <v>41092</v>
      </c>
      <c r="D284" s="5">
        <v>0.4375</v>
      </c>
      <c r="E284" s="9">
        <v>654</v>
      </c>
      <c r="F284" s="9">
        <v>4719</v>
      </c>
      <c r="G284" s="9">
        <v>4240</v>
      </c>
      <c r="H284" s="9">
        <v>449</v>
      </c>
      <c r="I284" s="9">
        <v>30</v>
      </c>
    </row>
    <row r="285" spans="1:9" x14ac:dyDescent="0.25">
      <c r="A285" s="3" t="s">
        <v>11</v>
      </c>
      <c r="B285" s="3" t="s">
        <v>12</v>
      </c>
      <c r="C285" s="4">
        <v>41092</v>
      </c>
      <c r="D285" s="5">
        <v>0.45833333333333331</v>
      </c>
      <c r="E285" s="9">
        <v>661</v>
      </c>
      <c r="F285" s="9">
        <v>4964</v>
      </c>
      <c r="G285" s="9">
        <v>4404</v>
      </c>
      <c r="H285" s="9">
        <v>520</v>
      </c>
      <c r="I285" s="9">
        <v>40</v>
      </c>
    </row>
    <row r="286" spans="1:9" x14ac:dyDescent="0.25">
      <c r="A286" s="3" t="s">
        <v>11</v>
      </c>
      <c r="B286" s="3" t="s">
        <v>12</v>
      </c>
      <c r="C286" s="4">
        <v>41092</v>
      </c>
      <c r="D286" s="5">
        <v>0.47916666666666669</v>
      </c>
      <c r="E286" s="9">
        <v>669</v>
      </c>
      <c r="F286" s="9">
        <v>4872</v>
      </c>
      <c r="G286" s="9">
        <v>4234</v>
      </c>
      <c r="H286" s="9">
        <v>610</v>
      </c>
      <c r="I286" s="9">
        <v>28</v>
      </c>
    </row>
    <row r="287" spans="1:9" x14ac:dyDescent="0.25">
      <c r="A287" s="3" t="s">
        <v>11</v>
      </c>
      <c r="B287" s="3" t="s">
        <v>12</v>
      </c>
      <c r="C287" s="4">
        <v>41092</v>
      </c>
      <c r="D287" s="5">
        <v>0.5</v>
      </c>
      <c r="E287" s="9">
        <v>690</v>
      </c>
      <c r="F287" s="9">
        <v>4378</v>
      </c>
      <c r="G287" s="9">
        <v>3802</v>
      </c>
      <c r="H287" s="9">
        <v>551</v>
      </c>
      <c r="I287" s="9">
        <v>25</v>
      </c>
    </row>
    <row r="288" spans="1:9" x14ac:dyDescent="0.25">
      <c r="A288" s="3" t="s">
        <v>11</v>
      </c>
      <c r="B288" s="3" t="s">
        <v>12</v>
      </c>
      <c r="C288" s="4">
        <v>41092</v>
      </c>
      <c r="D288" s="5">
        <v>0.52083333333333337</v>
      </c>
      <c r="E288" s="9">
        <v>653</v>
      </c>
      <c r="F288" s="9">
        <v>4200</v>
      </c>
      <c r="G288" s="9">
        <v>3625</v>
      </c>
      <c r="H288" s="9">
        <v>540</v>
      </c>
      <c r="I288" s="9">
        <v>35</v>
      </c>
    </row>
    <row r="289" spans="1:9" x14ac:dyDescent="0.25">
      <c r="A289" s="3" t="s">
        <v>11</v>
      </c>
      <c r="B289" s="3" t="s">
        <v>12</v>
      </c>
      <c r="C289" s="4">
        <v>41092</v>
      </c>
      <c r="D289" s="5">
        <v>0.54166666666666663</v>
      </c>
      <c r="E289" s="9">
        <v>636</v>
      </c>
      <c r="F289" s="9">
        <v>3423</v>
      </c>
      <c r="G289" s="9">
        <v>2997</v>
      </c>
      <c r="H289" s="9">
        <v>398</v>
      </c>
      <c r="I289" s="9">
        <v>28</v>
      </c>
    </row>
    <row r="290" spans="1:9" x14ac:dyDescent="0.25">
      <c r="A290" s="3" t="s">
        <v>11</v>
      </c>
      <c r="B290" s="3" t="s">
        <v>12</v>
      </c>
      <c r="C290" s="4">
        <v>41092</v>
      </c>
      <c r="D290" s="5">
        <v>0.5625</v>
      </c>
      <c r="E290" s="9">
        <v>642</v>
      </c>
      <c r="F290" s="9">
        <v>4009</v>
      </c>
      <c r="G290" s="9">
        <v>3334</v>
      </c>
      <c r="H290" s="9">
        <v>646</v>
      </c>
      <c r="I290" s="9">
        <v>29</v>
      </c>
    </row>
    <row r="291" spans="1:9" x14ac:dyDescent="0.25">
      <c r="A291" s="3" t="s">
        <v>11</v>
      </c>
      <c r="B291" s="3" t="s">
        <v>12</v>
      </c>
      <c r="C291" s="4">
        <v>41092</v>
      </c>
      <c r="D291" s="5">
        <v>0.58333333333333337</v>
      </c>
      <c r="E291" s="9">
        <v>668</v>
      </c>
      <c r="F291" s="9">
        <v>5104</v>
      </c>
      <c r="G291" s="9">
        <v>4183</v>
      </c>
      <c r="H291" s="9">
        <v>892</v>
      </c>
      <c r="I291" s="9">
        <v>29</v>
      </c>
    </row>
    <row r="292" spans="1:9" x14ac:dyDescent="0.25">
      <c r="A292" s="3" t="s">
        <v>11</v>
      </c>
      <c r="B292" s="3" t="s">
        <v>12</v>
      </c>
      <c r="C292" s="4">
        <v>41092</v>
      </c>
      <c r="D292" s="5">
        <v>0.60416666666666663</v>
      </c>
      <c r="E292" s="9">
        <v>675</v>
      </c>
      <c r="F292" s="9">
        <v>5228</v>
      </c>
      <c r="G292" s="9">
        <v>4346</v>
      </c>
      <c r="H292" s="9">
        <v>838</v>
      </c>
      <c r="I292" s="9">
        <v>44</v>
      </c>
    </row>
    <row r="293" spans="1:9" x14ac:dyDescent="0.25">
      <c r="A293" s="3" t="s">
        <v>11</v>
      </c>
      <c r="B293" s="3" t="s">
        <v>12</v>
      </c>
      <c r="C293" s="4">
        <v>41092</v>
      </c>
      <c r="D293" s="5">
        <v>0.625</v>
      </c>
      <c r="E293" s="9">
        <v>666</v>
      </c>
      <c r="F293" s="9">
        <v>4242</v>
      </c>
      <c r="G293" s="9">
        <v>3456</v>
      </c>
      <c r="H293" s="9">
        <v>747</v>
      </c>
      <c r="I293" s="9">
        <v>39</v>
      </c>
    </row>
    <row r="294" spans="1:9" x14ac:dyDescent="0.25">
      <c r="A294" s="3" t="s">
        <v>11</v>
      </c>
      <c r="B294" s="3" t="s">
        <v>12</v>
      </c>
      <c r="C294" s="4">
        <v>41092</v>
      </c>
      <c r="D294" s="5">
        <v>0.64583333333333337</v>
      </c>
      <c r="E294" s="9">
        <v>652</v>
      </c>
      <c r="F294" s="9">
        <v>5083</v>
      </c>
      <c r="G294" s="9">
        <v>4276</v>
      </c>
      <c r="H294" s="9">
        <v>787</v>
      </c>
      <c r="I294" s="9">
        <v>20</v>
      </c>
    </row>
    <row r="295" spans="1:9" x14ac:dyDescent="0.25">
      <c r="A295" s="3" t="s">
        <v>11</v>
      </c>
      <c r="B295" s="3" t="s">
        <v>12</v>
      </c>
      <c r="C295" s="4">
        <v>41092</v>
      </c>
      <c r="D295" s="5">
        <v>0.66666666666666663</v>
      </c>
      <c r="E295" s="9">
        <v>625</v>
      </c>
      <c r="F295" s="9">
        <v>5939</v>
      </c>
      <c r="G295" s="9">
        <v>4600</v>
      </c>
      <c r="H295" s="9">
        <v>1319</v>
      </c>
      <c r="I295" s="9">
        <v>20</v>
      </c>
    </row>
    <row r="296" spans="1:9" x14ac:dyDescent="0.25">
      <c r="A296" s="3" t="s">
        <v>11</v>
      </c>
      <c r="B296" s="3" t="s">
        <v>12</v>
      </c>
      <c r="C296" s="4">
        <v>41092</v>
      </c>
      <c r="D296" s="5">
        <v>0.6875</v>
      </c>
      <c r="E296" s="9">
        <v>614</v>
      </c>
      <c r="F296" s="9">
        <v>6178</v>
      </c>
      <c r="G296" s="9">
        <v>4798</v>
      </c>
      <c r="H296" s="9">
        <v>1351</v>
      </c>
      <c r="I296" s="9">
        <v>29</v>
      </c>
    </row>
    <row r="297" spans="1:9" x14ac:dyDescent="0.25">
      <c r="A297" s="3" t="s">
        <v>11</v>
      </c>
      <c r="B297" s="3" t="s">
        <v>12</v>
      </c>
      <c r="C297" s="4">
        <v>41092</v>
      </c>
      <c r="D297" s="5">
        <v>0.70833333333333337</v>
      </c>
      <c r="E297" s="9">
        <v>576</v>
      </c>
      <c r="F297" s="9">
        <v>5518</v>
      </c>
      <c r="G297" s="9">
        <v>4408</v>
      </c>
      <c r="H297" s="9">
        <v>1073</v>
      </c>
      <c r="I297" s="9">
        <v>37</v>
      </c>
    </row>
    <row r="298" spans="1:9" x14ac:dyDescent="0.25">
      <c r="A298" s="3" t="s">
        <v>11</v>
      </c>
      <c r="B298" s="3" t="s">
        <v>12</v>
      </c>
      <c r="C298" s="4">
        <v>41092</v>
      </c>
      <c r="D298" s="5">
        <v>0.72916666666666663</v>
      </c>
      <c r="E298" s="9">
        <v>537</v>
      </c>
      <c r="F298" s="9">
        <v>6549</v>
      </c>
      <c r="G298" s="9">
        <v>4652</v>
      </c>
      <c r="H298" s="9">
        <v>1857</v>
      </c>
      <c r="I298" s="9">
        <v>40</v>
      </c>
    </row>
    <row r="299" spans="1:9" x14ac:dyDescent="0.25">
      <c r="A299" s="3" t="s">
        <v>11</v>
      </c>
      <c r="B299" s="3" t="s">
        <v>12</v>
      </c>
      <c r="C299" s="4">
        <v>41092</v>
      </c>
      <c r="D299" s="5">
        <v>0.75</v>
      </c>
      <c r="E299" s="9">
        <v>432</v>
      </c>
      <c r="F299" s="9">
        <v>3695</v>
      </c>
      <c r="G299" s="9">
        <v>3075</v>
      </c>
      <c r="H299" s="9">
        <v>571</v>
      </c>
      <c r="I299" s="9">
        <v>49</v>
      </c>
    </row>
    <row r="300" spans="1:9" x14ac:dyDescent="0.25">
      <c r="A300" s="3" t="s">
        <v>11</v>
      </c>
      <c r="B300" s="3" t="s">
        <v>12</v>
      </c>
      <c r="C300" s="4">
        <v>41092</v>
      </c>
      <c r="D300" s="5">
        <v>0.77083333333333337</v>
      </c>
      <c r="E300" s="9">
        <v>415</v>
      </c>
      <c r="F300" s="9">
        <v>4508</v>
      </c>
      <c r="G300" s="9">
        <v>3424</v>
      </c>
      <c r="H300" s="9">
        <v>1038</v>
      </c>
      <c r="I300" s="9">
        <v>46</v>
      </c>
    </row>
    <row r="301" spans="1:9" x14ac:dyDescent="0.25">
      <c r="A301" s="3" t="s">
        <v>11</v>
      </c>
      <c r="B301" s="3" t="s">
        <v>12</v>
      </c>
      <c r="C301" s="4">
        <v>41092</v>
      </c>
      <c r="D301" s="5">
        <v>0.79166666666666663</v>
      </c>
      <c r="E301" s="9">
        <v>459</v>
      </c>
      <c r="F301" s="9">
        <v>4536</v>
      </c>
      <c r="G301" s="9">
        <v>3586</v>
      </c>
      <c r="H301" s="9">
        <v>922</v>
      </c>
      <c r="I301" s="9">
        <v>28</v>
      </c>
    </row>
    <row r="302" spans="1:9" x14ac:dyDescent="0.25">
      <c r="A302" s="3" t="s">
        <v>11</v>
      </c>
      <c r="B302" s="3" t="s">
        <v>12</v>
      </c>
      <c r="C302" s="4">
        <v>41092</v>
      </c>
      <c r="D302" s="5">
        <v>0.8125</v>
      </c>
      <c r="E302" s="9">
        <v>446</v>
      </c>
      <c r="F302" s="9">
        <v>4017</v>
      </c>
      <c r="G302" s="9">
        <v>3295</v>
      </c>
      <c r="H302" s="9">
        <v>712</v>
      </c>
      <c r="I302" s="9">
        <v>10</v>
      </c>
    </row>
    <row r="303" spans="1:9" x14ac:dyDescent="0.25">
      <c r="A303" s="3" t="s">
        <v>11</v>
      </c>
      <c r="B303" s="3" t="s">
        <v>12</v>
      </c>
      <c r="C303" s="4">
        <v>41093</v>
      </c>
      <c r="D303" s="5">
        <v>0.33333333333333331</v>
      </c>
      <c r="E303" s="9">
        <v>437</v>
      </c>
      <c r="F303" s="9">
        <v>1165</v>
      </c>
      <c r="G303" s="9">
        <v>1098</v>
      </c>
      <c r="H303" s="9">
        <v>64</v>
      </c>
      <c r="I303" s="9">
        <v>3</v>
      </c>
    </row>
    <row r="304" spans="1:9" x14ac:dyDescent="0.25">
      <c r="A304" s="3" t="s">
        <v>11</v>
      </c>
      <c r="B304" s="3" t="s">
        <v>12</v>
      </c>
      <c r="C304" s="4">
        <v>41093</v>
      </c>
      <c r="D304" s="5">
        <v>0.35416666666666669</v>
      </c>
      <c r="E304" s="9">
        <v>503</v>
      </c>
      <c r="F304" s="9">
        <v>1898</v>
      </c>
      <c r="G304" s="9">
        <v>1747</v>
      </c>
      <c r="H304" s="9">
        <v>130</v>
      </c>
      <c r="I304" s="9">
        <v>21</v>
      </c>
    </row>
    <row r="305" spans="1:9" x14ac:dyDescent="0.25">
      <c r="A305" s="3" t="s">
        <v>11</v>
      </c>
      <c r="B305" s="3" t="s">
        <v>12</v>
      </c>
      <c r="C305" s="4">
        <v>41093</v>
      </c>
      <c r="D305" s="5">
        <v>0.375</v>
      </c>
      <c r="E305" s="9">
        <v>634</v>
      </c>
      <c r="F305" s="9">
        <v>3677</v>
      </c>
      <c r="G305" s="9">
        <v>3283</v>
      </c>
      <c r="H305" s="9">
        <v>364</v>
      </c>
      <c r="I305" s="9">
        <v>30</v>
      </c>
    </row>
    <row r="306" spans="1:9" x14ac:dyDescent="0.25">
      <c r="A306" s="3" t="s">
        <v>11</v>
      </c>
      <c r="B306" s="3" t="s">
        <v>12</v>
      </c>
      <c r="C306" s="4">
        <v>41093</v>
      </c>
      <c r="D306" s="5">
        <v>0.39583333333333331</v>
      </c>
      <c r="E306" s="9">
        <v>663</v>
      </c>
      <c r="F306" s="9">
        <v>4440</v>
      </c>
      <c r="G306" s="9">
        <v>3997</v>
      </c>
      <c r="H306" s="9">
        <v>404</v>
      </c>
      <c r="I306" s="9">
        <v>39</v>
      </c>
    </row>
    <row r="307" spans="1:9" x14ac:dyDescent="0.25">
      <c r="A307" s="3" t="s">
        <v>11</v>
      </c>
      <c r="B307" s="3" t="s">
        <v>12</v>
      </c>
      <c r="C307" s="4">
        <v>41093</v>
      </c>
      <c r="D307" s="5">
        <v>0.41666666666666669</v>
      </c>
      <c r="E307" s="9">
        <v>651</v>
      </c>
      <c r="F307" s="9">
        <v>4405</v>
      </c>
      <c r="G307" s="9">
        <v>3879</v>
      </c>
      <c r="H307" s="9">
        <v>487</v>
      </c>
      <c r="I307" s="9">
        <v>39</v>
      </c>
    </row>
    <row r="308" spans="1:9" x14ac:dyDescent="0.25">
      <c r="A308" s="3" t="s">
        <v>11</v>
      </c>
      <c r="B308" s="3" t="s">
        <v>12</v>
      </c>
      <c r="C308" s="4">
        <v>41093</v>
      </c>
      <c r="D308" s="5">
        <v>0.4375</v>
      </c>
      <c r="E308" s="9">
        <v>638</v>
      </c>
      <c r="F308" s="9">
        <v>4988</v>
      </c>
      <c r="G308" s="9">
        <v>4402</v>
      </c>
      <c r="H308" s="9">
        <v>524</v>
      </c>
      <c r="I308" s="9">
        <v>62</v>
      </c>
    </row>
    <row r="309" spans="1:9" x14ac:dyDescent="0.25">
      <c r="A309" s="3" t="s">
        <v>11</v>
      </c>
      <c r="B309" s="3" t="s">
        <v>12</v>
      </c>
      <c r="C309" s="4">
        <v>41093</v>
      </c>
      <c r="D309" s="5">
        <v>0.45833333333333331</v>
      </c>
      <c r="E309" s="9">
        <v>647</v>
      </c>
      <c r="F309" s="9">
        <v>4733</v>
      </c>
      <c r="G309" s="9">
        <v>4208</v>
      </c>
      <c r="H309" s="9">
        <v>495</v>
      </c>
      <c r="I309" s="9">
        <v>30</v>
      </c>
    </row>
    <row r="310" spans="1:9" x14ac:dyDescent="0.25">
      <c r="A310" s="3" t="s">
        <v>11</v>
      </c>
      <c r="B310" s="3" t="s">
        <v>12</v>
      </c>
      <c r="C310" s="4">
        <v>41093</v>
      </c>
      <c r="D310" s="5">
        <v>0.47916666666666669</v>
      </c>
      <c r="E310" s="9">
        <v>705</v>
      </c>
      <c r="F310" s="9">
        <v>4786</v>
      </c>
      <c r="G310" s="9">
        <v>4200</v>
      </c>
      <c r="H310" s="9">
        <v>535</v>
      </c>
      <c r="I310" s="9">
        <v>51</v>
      </c>
    </row>
    <row r="311" spans="1:9" x14ac:dyDescent="0.25">
      <c r="A311" s="3" t="s">
        <v>11</v>
      </c>
      <c r="B311" s="3" t="s">
        <v>12</v>
      </c>
      <c r="C311" s="4">
        <v>41093</v>
      </c>
      <c r="D311" s="5">
        <v>0.5</v>
      </c>
      <c r="E311" s="9">
        <v>690</v>
      </c>
      <c r="F311" s="9">
        <v>4346</v>
      </c>
      <c r="G311" s="9">
        <v>3810</v>
      </c>
      <c r="H311" s="9">
        <v>496</v>
      </c>
      <c r="I311" s="9">
        <v>40</v>
      </c>
    </row>
    <row r="312" spans="1:9" x14ac:dyDescent="0.25">
      <c r="A312" s="3" t="s">
        <v>11</v>
      </c>
      <c r="B312" s="3" t="s">
        <v>12</v>
      </c>
      <c r="C312" s="4">
        <v>41093</v>
      </c>
      <c r="D312" s="5">
        <v>0.52083333333333337</v>
      </c>
      <c r="E312" s="9">
        <v>648</v>
      </c>
      <c r="F312" s="9">
        <v>4235</v>
      </c>
      <c r="G312" s="9">
        <v>3604</v>
      </c>
      <c r="H312" s="9">
        <v>595</v>
      </c>
      <c r="I312" s="9">
        <v>36</v>
      </c>
    </row>
    <row r="313" spans="1:9" x14ac:dyDescent="0.25">
      <c r="A313" s="3" t="s">
        <v>11</v>
      </c>
      <c r="B313" s="3" t="s">
        <v>12</v>
      </c>
      <c r="C313" s="4">
        <v>41093</v>
      </c>
      <c r="D313" s="5">
        <v>0.54166666666666663</v>
      </c>
      <c r="E313" s="9">
        <v>647</v>
      </c>
      <c r="F313" s="9">
        <v>4348</v>
      </c>
      <c r="G313" s="9">
        <v>3656</v>
      </c>
      <c r="H313" s="9">
        <v>660</v>
      </c>
      <c r="I313" s="9">
        <v>32</v>
      </c>
    </row>
    <row r="314" spans="1:9" x14ac:dyDescent="0.25">
      <c r="A314" s="3" t="s">
        <v>11</v>
      </c>
      <c r="B314" s="3" t="s">
        <v>12</v>
      </c>
      <c r="C314" s="4">
        <v>41093</v>
      </c>
      <c r="D314" s="5">
        <v>0.5625</v>
      </c>
      <c r="E314" s="9">
        <v>659</v>
      </c>
      <c r="F314" s="9">
        <v>4969</v>
      </c>
      <c r="G314" s="9">
        <v>4012</v>
      </c>
      <c r="H314" s="9">
        <v>927</v>
      </c>
      <c r="I314" s="9">
        <v>30</v>
      </c>
    </row>
    <row r="315" spans="1:9" x14ac:dyDescent="0.25">
      <c r="A315" s="3" t="s">
        <v>11</v>
      </c>
      <c r="B315" s="3" t="s">
        <v>12</v>
      </c>
      <c r="C315" s="4">
        <v>41093</v>
      </c>
      <c r="D315" s="5">
        <v>0.58333333333333337</v>
      </c>
      <c r="E315" s="9">
        <v>695</v>
      </c>
      <c r="F315" s="9">
        <v>6212</v>
      </c>
      <c r="G315" s="9">
        <v>4831</v>
      </c>
      <c r="H315" s="9">
        <v>1339</v>
      </c>
      <c r="I315" s="9">
        <v>42</v>
      </c>
    </row>
    <row r="316" spans="1:9" x14ac:dyDescent="0.25">
      <c r="A316" s="3" t="s">
        <v>11</v>
      </c>
      <c r="B316" s="3" t="s">
        <v>12</v>
      </c>
      <c r="C316" s="4">
        <v>41093</v>
      </c>
      <c r="D316" s="5">
        <v>0.60416666666666663</v>
      </c>
      <c r="E316" s="9">
        <v>673</v>
      </c>
      <c r="F316" s="9">
        <v>6094</v>
      </c>
      <c r="G316" s="9">
        <v>4931</v>
      </c>
      <c r="H316" s="9">
        <v>1125</v>
      </c>
      <c r="I316" s="9">
        <v>38</v>
      </c>
    </row>
    <row r="317" spans="1:9" x14ac:dyDescent="0.25">
      <c r="A317" s="3" t="s">
        <v>11</v>
      </c>
      <c r="B317" s="3" t="s">
        <v>12</v>
      </c>
      <c r="C317" s="4">
        <v>41093</v>
      </c>
      <c r="D317" s="5">
        <v>0.625</v>
      </c>
      <c r="E317" s="9">
        <v>682</v>
      </c>
      <c r="F317" s="9">
        <v>4489</v>
      </c>
      <c r="G317" s="9">
        <v>3812</v>
      </c>
      <c r="H317" s="9">
        <v>637</v>
      </c>
      <c r="I317" s="9">
        <v>40</v>
      </c>
    </row>
    <row r="318" spans="1:9" x14ac:dyDescent="0.25">
      <c r="A318" s="3" t="s">
        <v>11</v>
      </c>
      <c r="B318" s="3" t="s">
        <v>12</v>
      </c>
      <c r="C318" s="4">
        <v>41093</v>
      </c>
      <c r="D318" s="5">
        <v>0.64583333333333337</v>
      </c>
      <c r="E318" s="9">
        <v>627</v>
      </c>
      <c r="F318" s="9">
        <v>5780</v>
      </c>
      <c r="G318" s="9">
        <v>4599</v>
      </c>
      <c r="H318" s="9">
        <v>1158</v>
      </c>
      <c r="I318" s="9">
        <v>23</v>
      </c>
    </row>
    <row r="319" spans="1:9" x14ac:dyDescent="0.25">
      <c r="A319" s="3" t="s">
        <v>11</v>
      </c>
      <c r="B319" s="3" t="s">
        <v>12</v>
      </c>
      <c r="C319" s="4">
        <v>41093</v>
      </c>
      <c r="D319" s="5">
        <v>0.66666666666666663</v>
      </c>
      <c r="E319" s="9">
        <v>594</v>
      </c>
      <c r="F319" s="9">
        <v>5990</v>
      </c>
      <c r="G319" s="9">
        <v>4610</v>
      </c>
      <c r="H319" s="9">
        <v>1327</v>
      </c>
      <c r="I319" s="9">
        <v>53</v>
      </c>
    </row>
    <row r="320" spans="1:9" x14ac:dyDescent="0.25">
      <c r="A320" s="3" t="s">
        <v>11</v>
      </c>
      <c r="B320" s="3" t="s">
        <v>12</v>
      </c>
      <c r="C320" s="4">
        <v>41093</v>
      </c>
      <c r="D320" s="5">
        <v>0.6875</v>
      </c>
      <c r="E320" s="9">
        <v>585</v>
      </c>
      <c r="F320" s="9">
        <v>5568</v>
      </c>
      <c r="G320" s="9">
        <v>4498</v>
      </c>
      <c r="H320" s="9">
        <v>1012</v>
      </c>
      <c r="I320" s="9">
        <v>58</v>
      </c>
    </row>
    <row r="321" spans="1:9" x14ac:dyDescent="0.25">
      <c r="A321" s="3" t="s">
        <v>11</v>
      </c>
      <c r="B321" s="3" t="s">
        <v>12</v>
      </c>
      <c r="C321" s="4">
        <v>41093</v>
      </c>
      <c r="D321" s="5">
        <v>0.70833333333333337</v>
      </c>
      <c r="E321" s="9">
        <v>559</v>
      </c>
      <c r="F321" s="9">
        <v>4873</v>
      </c>
      <c r="G321" s="9">
        <v>4060</v>
      </c>
      <c r="H321" s="9">
        <v>770</v>
      </c>
      <c r="I321" s="9">
        <v>43</v>
      </c>
    </row>
    <row r="322" spans="1:9" x14ac:dyDescent="0.25">
      <c r="A322" s="3" t="s">
        <v>11</v>
      </c>
      <c r="B322" s="3" t="s">
        <v>12</v>
      </c>
      <c r="C322" s="4">
        <v>41093</v>
      </c>
      <c r="D322" s="5">
        <v>0.72916666666666663</v>
      </c>
      <c r="E322" s="9">
        <v>549</v>
      </c>
      <c r="F322" s="9">
        <v>4421</v>
      </c>
      <c r="G322" s="9">
        <v>3813</v>
      </c>
      <c r="H322" s="9">
        <v>572</v>
      </c>
      <c r="I322" s="9">
        <v>36</v>
      </c>
    </row>
    <row r="323" spans="1:9" x14ac:dyDescent="0.25">
      <c r="A323" s="3" t="s">
        <v>11</v>
      </c>
      <c r="B323" s="3" t="s">
        <v>12</v>
      </c>
      <c r="C323" s="4">
        <v>41093</v>
      </c>
      <c r="D323" s="5">
        <v>0.75</v>
      </c>
      <c r="E323" s="9">
        <v>457</v>
      </c>
      <c r="F323" s="9">
        <v>4453</v>
      </c>
      <c r="G323" s="9">
        <v>3707</v>
      </c>
      <c r="H323" s="9">
        <v>705</v>
      </c>
      <c r="I323" s="9">
        <v>41</v>
      </c>
    </row>
    <row r="324" spans="1:9" x14ac:dyDescent="0.25">
      <c r="A324" s="3" t="s">
        <v>11</v>
      </c>
      <c r="B324" s="3" t="s">
        <v>12</v>
      </c>
      <c r="C324" s="4">
        <v>41093</v>
      </c>
      <c r="D324" s="5">
        <v>0.77083333333333337</v>
      </c>
      <c r="E324" s="9">
        <v>427</v>
      </c>
      <c r="F324" s="9">
        <v>4692</v>
      </c>
      <c r="G324" s="9">
        <v>3778</v>
      </c>
      <c r="H324" s="9">
        <v>881</v>
      </c>
      <c r="I324" s="9">
        <v>33</v>
      </c>
    </row>
    <row r="325" spans="1:9" x14ac:dyDescent="0.25">
      <c r="A325" s="3" t="s">
        <v>11</v>
      </c>
      <c r="B325" s="3" t="s">
        <v>12</v>
      </c>
      <c r="C325" s="4">
        <v>41093</v>
      </c>
      <c r="D325" s="5">
        <v>0.79166666666666663</v>
      </c>
      <c r="E325" s="9">
        <v>444</v>
      </c>
      <c r="F325" s="9">
        <v>3751</v>
      </c>
      <c r="G325" s="9">
        <v>3208</v>
      </c>
      <c r="H325" s="9">
        <v>525</v>
      </c>
      <c r="I325" s="9">
        <v>18</v>
      </c>
    </row>
    <row r="326" spans="1:9" x14ac:dyDescent="0.25">
      <c r="A326" s="3" t="s">
        <v>11</v>
      </c>
      <c r="B326" s="3" t="s">
        <v>12</v>
      </c>
      <c r="C326" s="4">
        <v>41093</v>
      </c>
      <c r="D326" s="5">
        <v>0.8125</v>
      </c>
      <c r="E326" s="9">
        <v>447</v>
      </c>
      <c r="F326" s="9">
        <v>4241</v>
      </c>
      <c r="G326" s="9">
        <v>3446</v>
      </c>
      <c r="H326" s="9">
        <v>785</v>
      </c>
      <c r="I326" s="9">
        <v>10</v>
      </c>
    </row>
    <row r="327" spans="1:9" x14ac:dyDescent="0.25">
      <c r="A327" s="3" t="s">
        <v>11</v>
      </c>
      <c r="B327" s="3" t="s">
        <v>12</v>
      </c>
      <c r="C327" s="4">
        <v>41094</v>
      </c>
      <c r="D327" s="5">
        <v>0.33333333333333331</v>
      </c>
      <c r="E327" s="9">
        <v>473</v>
      </c>
      <c r="F327" s="9">
        <v>1109</v>
      </c>
      <c r="G327" s="9">
        <v>1048</v>
      </c>
      <c r="H327" s="9">
        <v>54</v>
      </c>
      <c r="I327" s="9">
        <v>7</v>
      </c>
    </row>
    <row r="328" spans="1:9" x14ac:dyDescent="0.25">
      <c r="A328" s="3" t="s">
        <v>11</v>
      </c>
      <c r="B328" s="3" t="s">
        <v>12</v>
      </c>
      <c r="C328" s="4">
        <v>41094</v>
      </c>
      <c r="D328" s="5">
        <v>0.35416666666666669</v>
      </c>
      <c r="E328" s="9">
        <v>505</v>
      </c>
      <c r="F328" s="9">
        <v>1881</v>
      </c>
      <c r="G328" s="9">
        <v>1676</v>
      </c>
      <c r="H328" s="9">
        <v>193</v>
      </c>
      <c r="I328" s="9">
        <v>12</v>
      </c>
    </row>
    <row r="329" spans="1:9" x14ac:dyDescent="0.25">
      <c r="A329" s="3" t="s">
        <v>11</v>
      </c>
      <c r="B329" s="3" t="s">
        <v>12</v>
      </c>
      <c r="C329" s="4">
        <v>41094</v>
      </c>
      <c r="D329" s="5">
        <v>0.375</v>
      </c>
      <c r="E329" s="9">
        <v>654</v>
      </c>
      <c r="F329" s="9">
        <v>3837</v>
      </c>
      <c r="G329" s="9">
        <v>3428</v>
      </c>
      <c r="H329" s="9">
        <v>384</v>
      </c>
      <c r="I329" s="9">
        <v>25</v>
      </c>
    </row>
    <row r="330" spans="1:9" x14ac:dyDescent="0.25">
      <c r="A330" s="3" t="s">
        <v>11</v>
      </c>
      <c r="B330" s="3" t="s">
        <v>12</v>
      </c>
      <c r="C330" s="4">
        <v>41094</v>
      </c>
      <c r="D330" s="5">
        <v>0.39583333333333331</v>
      </c>
      <c r="E330" s="9">
        <v>621</v>
      </c>
      <c r="F330" s="9">
        <v>4660</v>
      </c>
      <c r="G330" s="9">
        <v>4131</v>
      </c>
      <c r="H330" s="9">
        <v>490</v>
      </c>
      <c r="I330" s="9">
        <v>39</v>
      </c>
    </row>
    <row r="331" spans="1:9" x14ac:dyDescent="0.25">
      <c r="A331" s="3" t="s">
        <v>11</v>
      </c>
      <c r="B331" s="3" t="s">
        <v>12</v>
      </c>
      <c r="C331" s="4">
        <v>41094</v>
      </c>
      <c r="D331" s="5">
        <v>0.41666666666666669</v>
      </c>
      <c r="E331" s="9">
        <v>646</v>
      </c>
      <c r="F331" s="9">
        <v>4587</v>
      </c>
      <c r="G331" s="9">
        <v>3993</v>
      </c>
      <c r="H331" s="9">
        <v>557</v>
      </c>
      <c r="I331" s="9">
        <v>37</v>
      </c>
    </row>
    <row r="332" spans="1:9" x14ac:dyDescent="0.25">
      <c r="A332" s="3" t="s">
        <v>11</v>
      </c>
      <c r="B332" s="3" t="s">
        <v>12</v>
      </c>
      <c r="C332" s="4">
        <v>41094</v>
      </c>
      <c r="D332" s="5">
        <v>0.4375</v>
      </c>
      <c r="E332" s="9">
        <v>634</v>
      </c>
      <c r="F332" s="9">
        <v>5014</v>
      </c>
      <c r="G332" s="9">
        <v>4388</v>
      </c>
      <c r="H332" s="9">
        <v>581</v>
      </c>
      <c r="I332" s="9">
        <v>45</v>
      </c>
    </row>
    <row r="333" spans="1:9" x14ac:dyDescent="0.25">
      <c r="A333" s="3" t="s">
        <v>11</v>
      </c>
      <c r="B333" s="3" t="s">
        <v>12</v>
      </c>
      <c r="C333" s="4">
        <v>41094</v>
      </c>
      <c r="D333" s="5">
        <v>0.45833333333333331</v>
      </c>
      <c r="E333" s="9">
        <v>630</v>
      </c>
      <c r="F333" s="9">
        <v>5179</v>
      </c>
      <c r="G333" s="9">
        <v>4435</v>
      </c>
      <c r="H333" s="9">
        <v>684</v>
      </c>
      <c r="I333" s="9">
        <v>60</v>
      </c>
    </row>
    <row r="334" spans="1:9" x14ac:dyDescent="0.25">
      <c r="A334" s="3" t="s">
        <v>11</v>
      </c>
      <c r="B334" s="3" t="s">
        <v>12</v>
      </c>
      <c r="C334" s="4">
        <v>41094</v>
      </c>
      <c r="D334" s="5">
        <v>0.47916666666666669</v>
      </c>
      <c r="E334" s="9">
        <v>633</v>
      </c>
      <c r="F334" s="9">
        <v>4954</v>
      </c>
      <c r="G334" s="9">
        <v>4296</v>
      </c>
      <c r="H334" s="9">
        <v>618</v>
      </c>
      <c r="I334" s="9">
        <v>40</v>
      </c>
    </row>
    <row r="335" spans="1:9" x14ac:dyDescent="0.25">
      <c r="A335" s="3" t="s">
        <v>11</v>
      </c>
      <c r="B335" s="3" t="s">
        <v>12</v>
      </c>
      <c r="C335" s="4">
        <v>41094</v>
      </c>
      <c r="D335" s="5">
        <v>0.5</v>
      </c>
      <c r="E335" s="9">
        <v>672</v>
      </c>
      <c r="F335" s="9">
        <v>4499</v>
      </c>
      <c r="G335" s="9">
        <v>3972</v>
      </c>
      <c r="H335" s="9">
        <v>494</v>
      </c>
      <c r="I335" s="9">
        <v>33</v>
      </c>
    </row>
    <row r="336" spans="1:9" x14ac:dyDescent="0.25">
      <c r="A336" s="3" t="s">
        <v>11</v>
      </c>
      <c r="B336" s="3" t="s">
        <v>12</v>
      </c>
      <c r="C336" s="4">
        <v>41094</v>
      </c>
      <c r="D336" s="5">
        <v>0.52083333333333337</v>
      </c>
      <c r="E336" s="9">
        <v>653</v>
      </c>
      <c r="F336" s="9">
        <v>4380</v>
      </c>
      <c r="G336" s="9">
        <v>3710</v>
      </c>
      <c r="H336" s="9">
        <v>645</v>
      </c>
      <c r="I336" s="9">
        <v>25</v>
      </c>
    </row>
    <row r="337" spans="1:9" x14ac:dyDescent="0.25">
      <c r="A337" s="3" t="s">
        <v>11</v>
      </c>
      <c r="B337" s="3" t="s">
        <v>12</v>
      </c>
      <c r="C337" s="4">
        <v>41094</v>
      </c>
      <c r="D337" s="5">
        <v>0.54166666666666663</v>
      </c>
      <c r="E337" s="9">
        <v>653</v>
      </c>
      <c r="F337" s="9">
        <v>4697</v>
      </c>
      <c r="G337" s="9">
        <v>3951</v>
      </c>
      <c r="H337" s="9">
        <v>723</v>
      </c>
      <c r="I337" s="9">
        <v>23</v>
      </c>
    </row>
    <row r="338" spans="1:9" x14ac:dyDescent="0.25">
      <c r="A338" s="3" t="s">
        <v>11</v>
      </c>
      <c r="B338" s="3" t="s">
        <v>12</v>
      </c>
      <c r="C338" s="4">
        <v>41094</v>
      </c>
      <c r="D338" s="5">
        <v>0.5625</v>
      </c>
      <c r="E338" s="9">
        <v>661</v>
      </c>
      <c r="F338" s="9">
        <v>5471</v>
      </c>
      <c r="G338" s="9">
        <v>4431</v>
      </c>
      <c r="H338" s="9">
        <v>1014</v>
      </c>
      <c r="I338" s="9">
        <v>26</v>
      </c>
    </row>
    <row r="339" spans="1:9" x14ac:dyDescent="0.25">
      <c r="A339" s="3" t="s">
        <v>11</v>
      </c>
      <c r="B339" s="3" t="s">
        <v>12</v>
      </c>
      <c r="C339" s="4">
        <v>41094</v>
      </c>
      <c r="D339" s="5">
        <v>0.58333333333333337</v>
      </c>
      <c r="E339" s="9">
        <v>645</v>
      </c>
      <c r="F339" s="9">
        <v>6057</v>
      </c>
      <c r="G339" s="9">
        <v>4632</v>
      </c>
      <c r="H339" s="9">
        <v>1391</v>
      </c>
      <c r="I339" s="9">
        <v>34</v>
      </c>
    </row>
    <row r="340" spans="1:9" x14ac:dyDescent="0.25">
      <c r="A340" s="3" t="s">
        <v>11</v>
      </c>
      <c r="B340" s="3" t="s">
        <v>12</v>
      </c>
      <c r="C340" s="4">
        <v>41094</v>
      </c>
      <c r="D340" s="5">
        <v>0.60416666666666663</v>
      </c>
      <c r="E340" s="9">
        <v>626</v>
      </c>
      <c r="F340" s="9">
        <v>5651</v>
      </c>
      <c r="G340" s="9">
        <v>4574</v>
      </c>
      <c r="H340" s="9">
        <v>1029</v>
      </c>
      <c r="I340" s="9">
        <v>48</v>
      </c>
    </row>
    <row r="341" spans="1:9" x14ac:dyDescent="0.25">
      <c r="A341" s="3" t="s">
        <v>11</v>
      </c>
      <c r="B341" s="3" t="s">
        <v>12</v>
      </c>
      <c r="C341" s="4">
        <v>41094</v>
      </c>
      <c r="D341" s="5">
        <v>0.625</v>
      </c>
      <c r="E341" s="9">
        <v>674</v>
      </c>
      <c r="F341" s="9">
        <v>5030</v>
      </c>
      <c r="G341" s="9">
        <v>3772</v>
      </c>
      <c r="H341" s="9">
        <v>1202</v>
      </c>
      <c r="I341" s="9">
        <v>56</v>
      </c>
    </row>
    <row r="342" spans="1:9" x14ac:dyDescent="0.25">
      <c r="A342" s="3" t="s">
        <v>11</v>
      </c>
      <c r="B342" s="3" t="s">
        <v>12</v>
      </c>
      <c r="C342" s="4">
        <v>41094</v>
      </c>
      <c r="D342" s="5">
        <v>0.64583333333333337</v>
      </c>
      <c r="E342" s="9">
        <v>684</v>
      </c>
      <c r="F342" s="9">
        <v>5773</v>
      </c>
      <c r="G342" s="9">
        <v>4341</v>
      </c>
      <c r="H342" s="9">
        <v>1396</v>
      </c>
      <c r="I342" s="9">
        <v>36</v>
      </c>
    </row>
    <row r="343" spans="1:9" x14ac:dyDescent="0.25">
      <c r="A343" s="3" t="s">
        <v>11</v>
      </c>
      <c r="B343" s="3" t="s">
        <v>12</v>
      </c>
      <c r="C343" s="4">
        <v>41094</v>
      </c>
      <c r="D343" s="5">
        <v>0.66666666666666663</v>
      </c>
      <c r="E343" s="9">
        <v>622</v>
      </c>
      <c r="F343" s="9">
        <v>5478</v>
      </c>
      <c r="G343" s="9">
        <v>4687</v>
      </c>
      <c r="H343" s="9">
        <v>763</v>
      </c>
      <c r="I343" s="9">
        <v>28</v>
      </c>
    </row>
    <row r="344" spans="1:9" x14ac:dyDescent="0.25">
      <c r="A344" s="3" t="s">
        <v>11</v>
      </c>
      <c r="B344" s="3" t="s">
        <v>12</v>
      </c>
      <c r="C344" s="4">
        <v>41094</v>
      </c>
      <c r="D344" s="5">
        <v>0.6875</v>
      </c>
      <c r="E344" s="9">
        <v>604</v>
      </c>
      <c r="F344" s="9">
        <v>6215</v>
      </c>
      <c r="G344" s="9">
        <v>4832</v>
      </c>
      <c r="H344" s="9">
        <v>1337</v>
      </c>
      <c r="I344" s="9">
        <v>46</v>
      </c>
    </row>
    <row r="345" spans="1:9" x14ac:dyDescent="0.25">
      <c r="A345" s="3" t="s">
        <v>11</v>
      </c>
      <c r="B345" s="3" t="s">
        <v>12</v>
      </c>
      <c r="C345" s="4">
        <v>41094</v>
      </c>
      <c r="D345" s="5">
        <v>0.70833333333333337</v>
      </c>
      <c r="E345" s="9">
        <v>570</v>
      </c>
      <c r="F345" s="9">
        <v>5884</v>
      </c>
      <c r="G345" s="9">
        <v>4462</v>
      </c>
      <c r="H345" s="9">
        <v>1387</v>
      </c>
      <c r="I345" s="9">
        <v>35</v>
      </c>
    </row>
    <row r="346" spans="1:9" x14ac:dyDescent="0.25">
      <c r="A346" s="3" t="s">
        <v>11</v>
      </c>
      <c r="B346" s="3" t="s">
        <v>12</v>
      </c>
      <c r="C346" s="4">
        <v>41094</v>
      </c>
      <c r="D346" s="5">
        <v>0.72916666666666663</v>
      </c>
      <c r="E346" s="9">
        <v>589</v>
      </c>
      <c r="F346" s="9">
        <v>5713</v>
      </c>
      <c r="G346" s="9">
        <v>4528</v>
      </c>
      <c r="H346" s="9">
        <v>1145</v>
      </c>
      <c r="I346" s="9">
        <v>40</v>
      </c>
    </row>
    <row r="347" spans="1:9" x14ac:dyDescent="0.25">
      <c r="A347" s="3" t="s">
        <v>11</v>
      </c>
      <c r="B347" s="3" t="s">
        <v>12</v>
      </c>
      <c r="C347" s="4">
        <v>41094</v>
      </c>
      <c r="D347" s="5">
        <v>0.75</v>
      </c>
      <c r="E347" s="9">
        <v>480</v>
      </c>
      <c r="F347" s="9">
        <v>4445</v>
      </c>
      <c r="G347" s="9">
        <v>3702</v>
      </c>
      <c r="H347" s="9">
        <v>706</v>
      </c>
      <c r="I347" s="9">
        <v>37</v>
      </c>
    </row>
    <row r="348" spans="1:9" x14ac:dyDescent="0.25">
      <c r="A348" s="3" t="s">
        <v>11</v>
      </c>
      <c r="B348" s="3" t="s">
        <v>12</v>
      </c>
      <c r="C348" s="4">
        <v>41094</v>
      </c>
      <c r="D348" s="5">
        <v>0.77083333333333337</v>
      </c>
      <c r="E348" s="9">
        <v>449</v>
      </c>
      <c r="F348" s="9">
        <v>4202</v>
      </c>
      <c r="G348" s="9">
        <v>3312</v>
      </c>
      <c r="H348" s="9">
        <v>870</v>
      </c>
      <c r="I348" s="9">
        <v>20</v>
      </c>
    </row>
    <row r="349" spans="1:9" x14ac:dyDescent="0.25">
      <c r="A349" s="3" t="s">
        <v>11</v>
      </c>
      <c r="B349" s="3" t="s">
        <v>12</v>
      </c>
      <c r="C349" s="4">
        <v>41094</v>
      </c>
      <c r="D349" s="5">
        <v>0.79166666666666663</v>
      </c>
      <c r="E349" s="9">
        <v>432</v>
      </c>
      <c r="F349" s="9">
        <v>3802</v>
      </c>
      <c r="G349" s="9">
        <v>3233</v>
      </c>
      <c r="H349" s="9">
        <v>554</v>
      </c>
      <c r="I349" s="9">
        <v>15</v>
      </c>
    </row>
    <row r="350" spans="1:9" x14ac:dyDescent="0.25">
      <c r="A350" s="3" t="s">
        <v>11</v>
      </c>
      <c r="B350" s="3" t="s">
        <v>12</v>
      </c>
      <c r="C350" s="4">
        <v>41094</v>
      </c>
      <c r="D350" s="5">
        <v>0.8125</v>
      </c>
      <c r="E350" s="9">
        <v>434</v>
      </c>
      <c r="F350" s="9">
        <v>4172</v>
      </c>
      <c r="G350" s="9">
        <v>3236</v>
      </c>
      <c r="H350" s="9">
        <v>929</v>
      </c>
      <c r="I350" s="9">
        <v>7</v>
      </c>
    </row>
    <row r="351" spans="1:9" x14ac:dyDescent="0.25">
      <c r="A351" s="3" t="s">
        <v>11</v>
      </c>
      <c r="B351" s="3" t="s">
        <v>12</v>
      </c>
      <c r="C351" s="4">
        <v>41095</v>
      </c>
      <c r="D351" s="5">
        <v>0.33333333333333331</v>
      </c>
      <c r="E351" s="9">
        <v>473</v>
      </c>
      <c r="F351" s="9">
        <v>1074</v>
      </c>
      <c r="G351" s="9">
        <v>1002</v>
      </c>
      <c r="H351" s="9">
        <v>68</v>
      </c>
      <c r="I351" s="9">
        <v>4</v>
      </c>
    </row>
    <row r="352" spans="1:9" x14ac:dyDescent="0.25">
      <c r="A352" s="3" t="s">
        <v>11</v>
      </c>
      <c r="B352" s="3" t="s">
        <v>12</v>
      </c>
      <c r="C352" s="4">
        <v>41095</v>
      </c>
      <c r="D352" s="5">
        <v>0.35416666666666669</v>
      </c>
      <c r="E352" s="9">
        <v>499</v>
      </c>
      <c r="F352" s="9">
        <v>1632</v>
      </c>
      <c r="G352" s="9">
        <v>1492</v>
      </c>
      <c r="H352" s="9">
        <v>125</v>
      </c>
      <c r="I352" s="9">
        <v>15</v>
      </c>
    </row>
    <row r="353" spans="1:9" x14ac:dyDescent="0.25">
      <c r="A353" s="3" t="s">
        <v>11</v>
      </c>
      <c r="B353" s="3" t="s">
        <v>12</v>
      </c>
      <c r="C353" s="4">
        <v>41095</v>
      </c>
      <c r="D353" s="5">
        <v>0.375</v>
      </c>
      <c r="E353" s="9">
        <v>634</v>
      </c>
      <c r="F353" s="9">
        <v>4471</v>
      </c>
      <c r="G353" s="9">
        <v>3415</v>
      </c>
      <c r="H353" s="9">
        <v>1032</v>
      </c>
      <c r="I353" s="9">
        <v>24</v>
      </c>
    </row>
    <row r="354" spans="1:9" x14ac:dyDescent="0.25">
      <c r="A354" s="3" t="s">
        <v>11</v>
      </c>
      <c r="B354" s="3" t="s">
        <v>12</v>
      </c>
      <c r="C354" s="4">
        <v>41095</v>
      </c>
      <c r="D354" s="5">
        <v>0.39583333333333331</v>
      </c>
      <c r="E354" s="9">
        <v>609</v>
      </c>
      <c r="F354" s="9">
        <v>4486</v>
      </c>
      <c r="G354" s="9">
        <v>3980</v>
      </c>
      <c r="H354" s="9">
        <v>458</v>
      </c>
      <c r="I354" s="9">
        <v>48</v>
      </c>
    </row>
    <row r="355" spans="1:9" x14ac:dyDescent="0.25">
      <c r="A355" s="3" t="s">
        <v>11</v>
      </c>
      <c r="B355" s="3" t="s">
        <v>12</v>
      </c>
      <c r="C355" s="4">
        <v>41095</v>
      </c>
      <c r="D355" s="5">
        <v>0.41666666666666669</v>
      </c>
      <c r="E355" s="9">
        <v>575</v>
      </c>
      <c r="F355" s="9">
        <v>4373</v>
      </c>
      <c r="G355" s="9">
        <v>3939</v>
      </c>
      <c r="H355" s="9">
        <v>403</v>
      </c>
      <c r="I355" s="9">
        <v>31</v>
      </c>
    </row>
    <row r="356" spans="1:9" x14ac:dyDescent="0.25">
      <c r="A356" s="3" t="s">
        <v>11</v>
      </c>
      <c r="B356" s="3" t="s">
        <v>12</v>
      </c>
      <c r="C356" s="4">
        <v>41095</v>
      </c>
      <c r="D356" s="5">
        <v>0.4375</v>
      </c>
      <c r="E356" s="9">
        <v>569</v>
      </c>
      <c r="F356" s="9">
        <v>4675</v>
      </c>
      <c r="G356" s="9">
        <v>4105</v>
      </c>
      <c r="H356" s="9">
        <v>532</v>
      </c>
      <c r="I356" s="9">
        <v>38</v>
      </c>
    </row>
    <row r="357" spans="1:9" x14ac:dyDescent="0.25">
      <c r="A357" s="3" t="s">
        <v>11</v>
      </c>
      <c r="B357" s="3" t="s">
        <v>12</v>
      </c>
      <c r="C357" s="4">
        <v>41095</v>
      </c>
      <c r="D357" s="5">
        <v>0.45833333333333331</v>
      </c>
      <c r="E357" s="9">
        <v>574</v>
      </c>
      <c r="F357" s="9">
        <v>4768</v>
      </c>
      <c r="G357" s="9">
        <v>4219</v>
      </c>
      <c r="H357" s="9">
        <v>504</v>
      </c>
      <c r="I357" s="9">
        <v>45</v>
      </c>
    </row>
    <row r="358" spans="1:9" x14ac:dyDescent="0.25">
      <c r="A358" s="3" t="s">
        <v>11</v>
      </c>
      <c r="B358" s="3" t="s">
        <v>12</v>
      </c>
      <c r="C358" s="4">
        <v>41095</v>
      </c>
      <c r="D358" s="5">
        <v>0.47916666666666669</v>
      </c>
      <c r="E358" s="9">
        <v>645</v>
      </c>
      <c r="F358" s="9">
        <v>4853</v>
      </c>
      <c r="G358" s="9">
        <v>4177</v>
      </c>
      <c r="H358" s="9">
        <v>645</v>
      </c>
      <c r="I358" s="9">
        <v>31</v>
      </c>
    </row>
    <row r="359" spans="1:9" x14ac:dyDescent="0.25">
      <c r="A359" s="3" t="s">
        <v>11</v>
      </c>
      <c r="B359" s="3" t="s">
        <v>12</v>
      </c>
      <c r="C359" s="4">
        <v>41095</v>
      </c>
      <c r="D359" s="5">
        <v>0.5</v>
      </c>
      <c r="E359" s="9">
        <v>641</v>
      </c>
      <c r="F359" s="9">
        <v>4334</v>
      </c>
      <c r="G359" s="9">
        <v>3779</v>
      </c>
      <c r="H359" s="9">
        <v>535</v>
      </c>
      <c r="I359" s="9">
        <v>20</v>
      </c>
    </row>
    <row r="360" spans="1:9" x14ac:dyDescent="0.25">
      <c r="A360" s="3" t="s">
        <v>11</v>
      </c>
      <c r="B360" s="3" t="s">
        <v>12</v>
      </c>
      <c r="C360" s="4">
        <v>41095</v>
      </c>
      <c r="D360" s="5">
        <v>0.52083333333333337</v>
      </c>
      <c r="E360" s="9">
        <v>625</v>
      </c>
      <c r="F360" s="9">
        <v>3866</v>
      </c>
      <c r="G360" s="9">
        <v>3406</v>
      </c>
      <c r="H360" s="9">
        <v>437</v>
      </c>
      <c r="I360" s="9">
        <v>23</v>
      </c>
    </row>
    <row r="361" spans="1:9" x14ac:dyDescent="0.25">
      <c r="A361" s="3" t="s">
        <v>11</v>
      </c>
      <c r="B361" s="3" t="s">
        <v>12</v>
      </c>
      <c r="C361" s="4">
        <v>41095</v>
      </c>
      <c r="D361" s="5">
        <v>0.54166666666666663</v>
      </c>
      <c r="E361" s="9">
        <v>629</v>
      </c>
      <c r="F361" s="9">
        <v>4006</v>
      </c>
      <c r="G361" s="9">
        <v>3514</v>
      </c>
      <c r="H361" s="9">
        <v>472</v>
      </c>
      <c r="I361" s="9">
        <v>20</v>
      </c>
    </row>
    <row r="362" spans="1:9" x14ac:dyDescent="0.25">
      <c r="A362" s="3" t="s">
        <v>11</v>
      </c>
      <c r="B362" s="3" t="s">
        <v>12</v>
      </c>
      <c r="C362" s="4">
        <v>41095</v>
      </c>
      <c r="D362" s="5">
        <v>0.5625</v>
      </c>
      <c r="E362" s="9">
        <v>640</v>
      </c>
      <c r="F362" s="9">
        <v>4412</v>
      </c>
      <c r="G362" s="9">
        <v>3890</v>
      </c>
      <c r="H362" s="9">
        <v>503</v>
      </c>
      <c r="I362" s="9">
        <v>19</v>
      </c>
    </row>
    <row r="363" spans="1:9" x14ac:dyDescent="0.25">
      <c r="A363" s="3" t="s">
        <v>11</v>
      </c>
      <c r="B363" s="3" t="s">
        <v>12</v>
      </c>
      <c r="C363" s="4">
        <v>41095</v>
      </c>
      <c r="D363" s="5">
        <v>0.58333333333333337</v>
      </c>
      <c r="E363" s="9">
        <v>578</v>
      </c>
      <c r="F363" s="9">
        <v>5099</v>
      </c>
      <c r="G363" s="9">
        <v>4364</v>
      </c>
      <c r="H363" s="9">
        <v>696</v>
      </c>
      <c r="I363" s="9">
        <v>39</v>
      </c>
    </row>
    <row r="364" spans="1:9" x14ac:dyDescent="0.25">
      <c r="A364" s="3" t="s">
        <v>11</v>
      </c>
      <c r="B364" s="3" t="s">
        <v>12</v>
      </c>
      <c r="C364" s="4">
        <v>41095</v>
      </c>
      <c r="D364" s="5">
        <v>0.60416666666666663</v>
      </c>
      <c r="E364" s="9">
        <v>666</v>
      </c>
      <c r="F364" s="9">
        <v>4939</v>
      </c>
      <c r="G364" s="9">
        <v>4074</v>
      </c>
      <c r="H364" s="9">
        <v>831</v>
      </c>
      <c r="I364" s="9">
        <v>34</v>
      </c>
    </row>
    <row r="365" spans="1:9" x14ac:dyDescent="0.25">
      <c r="A365" s="3" t="s">
        <v>11</v>
      </c>
      <c r="B365" s="3" t="s">
        <v>12</v>
      </c>
      <c r="C365" s="4">
        <v>41095</v>
      </c>
      <c r="D365" s="5">
        <v>0.625</v>
      </c>
      <c r="E365" s="9">
        <v>724</v>
      </c>
      <c r="F365" s="9">
        <v>4102</v>
      </c>
      <c r="G365" s="9">
        <v>3299</v>
      </c>
      <c r="H365" s="9">
        <v>770</v>
      </c>
      <c r="I365" s="9">
        <v>33</v>
      </c>
    </row>
    <row r="366" spans="1:9" x14ac:dyDescent="0.25">
      <c r="A366" s="3" t="s">
        <v>11</v>
      </c>
      <c r="B366" s="3" t="s">
        <v>12</v>
      </c>
      <c r="C366" s="4">
        <v>41095</v>
      </c>
      <c r="D366" s="5">
        <v>0.64583333333333337</v>
      </c>
      <c r="E366" s="9">
        <v>699</v>
      </c>
      <c r="F366" s="9">
        <v>4967</v>
      </c>
      <c r="G366" s="9">
        <v>3904</v>
      </c>
      <c r="H366" s="9">
        <v>1027</v>
      </c>
      <c r="I366" s="9">
        <v>36</v>
      </c>
    </row>
    <row r="367" spans="1:9" x14ac:dyDescent="0.25">
      <c r="A367" s="3" t="s">
        <v>11</v>
      </c>
      <c r="B367" s="3" t="s">
        <v>12</v>
      </c>
      <c r="C367" s="4">
        <v>41095</v>
      </c>
      <c r="D367" s="5">
        <v>0.66666666666666663</v>
      </c>
      <c r="E367" s="9">
        <v>648</v>
      </c>
      <c r="F367" s="9">
        <v>5178</v>
      </c>
      <c r="G367" s="9">
        <v>4267</v>
      </c>
      <c r="H367" s="9">
        <v>885</v>
      </c>
      <c r="I367" s="9">
        <v>26</v>
      </c>
    </row>
    <row r="368" spans="1:9" x14ac:dyDescent="0.25">
      <c r="A368" s="3" t="s">
        <v>11</v>
      </c>
      <c r="B368" s="3" t="s">
        <v>12</v>
      </c>
      <c r="C368" s="4">
        <v>41095</v>
      </c>
      <c r="D368" s="5">
        <v>0.6875</v>
      </c>
      <c r="E368" s="9">
        <v>617</v>
      </c>
      <c r="F368" s="9">
        <v>5487</v>
      </c>
      <c r="G368" s="9">
        <v>4409</v>
      </c>
      <c r="H368" s="9">
        <v>1033</v>
      </c>
      <c r="I368" s="9">
        <v>45</v>
      </c>
    </row>
    <row r="369" spans="1:9" x14ac:dyDescent="0.25">
      <c r="A369" s="3" t="s">
        <v>11</v>
      </c>
      <c r="B369" s="3" t="s">
        <v>12</v>
      </c>
      <c r="C369" s="4">
        <v>41095</v>
      </c>
      <c r="D369" s="5">
        <v>0.70833333333333337</v>
      </c>
      <c r="E369" s="9">
        <v>591</v>
      </c>
      <c r="F369" s="9">
        <v>5291</v>
      </c>
      <c r="G369" s="9">
        <v>4202</v>
      </c>
      <c r="H369" s="9">
        <v>1061</v>
      </c>
      <c r="I369" s="9">
        <v>28</v>
      </c>
    </row>
    <row r="370" spans="1:9" x14ac:dyDescent="0.25">
      <c r="A370" s="3" t="s">
        <v>11</v>
      </c>
      <c r="B370" s="3" t="s">
        <v>12</v>
      </c>
      <c r="C370" s="4">
        <v>41095</v>
      </c>
      <c r="D370" s="5">
        <v>0.72916666666666663</v>
      </c>
      <c r="E370" s="9">
        <v>569</v>
      </c>
      <c r="F370" s="9">
        <v>5332</v>
      </c>
      <c r="G370" s="9">
        <v>4288</v>
      </c>
      <c r="H370" s="9">
        <v>1018</v>
      </c>
      <c r="I370" s="9">
        <v>26</v>
      </c>
    </row>
    <row r="371" spans="1:9" x14ac:dyDescent="0.25">
      <c r="A371" s="3" t="s">
        <v>11</v>
      </c>
      <c r="B371" s="3" t="s">
        <v>12</v>
      </c>
      <c r="C371" s="4">
        <v>41095</v>
      </c>
      <c r="D371" s="5">
        <v>0.75</v>
      </c>
      <c r="E371" s="9">
        <v>498</v>
      </c>
      <c r="F371" s="9">
        <v>4446</v>
      </c>
      <c r="G371" s="9">
        <v>3741</v>
      </c>
      <c r="H371" s="9">
        <v>671</v>
      </c>
      <c r="I371" s="9">
        <v>34</v>
      </c>
    </row>
    <row r="372" spans="1:9" x14ac:dyDescent="0.25">
      <c r="A372" s="3" t="s">
        <v>11</v>
      </c>
      <c r="B372" s="3" t="s">
        <v>12</v>
      </c>
      <c r="C372" s="4">
        <v>41095</v>
      </c>
      <c r="D372" s="5">
        <v>0.77083333333333337</v>
      </c>
      <c r="E372" s="9">
        <v>455</v>
      </c>
      <c r="F372" s="9">
        <v>4425</v>
      </c>
      <c r="G372" s="9">
        <v>3626</v>
      </c>
      <c r="H372" s="9">
        <v>784</v>
      </c>
      <c r="I372" s="9">
        <v>15</v>
      </c>
    </row>
    <row r="373" spans="1:9" x14ac:dyDescent="0.25">
      <c r="A373" s="3" t="s">
        <v>11</v>
      </c>
      <c r="B373" s="3" t="s">
        <v>12</v>
      </c>
      <c r="C373" s="4">
        <v>41095</v>
      </c>
      <c r="D373" s="5">
        <v>0.79166666666666663</v>
      </c>
      <c r="E373" s="9">
        <v>467</v>
      </c>
      <c r="F373" s="9">
        <v>3867</v>
      </c>
      <c r="G373" s="9">
        <v>3078</v>
      </c>
      <c r="H373" s="9">
        <v>777</v>
      </c>
      <c r="I373" s="9">
        <v>12</v>
      </c>
    </row>
    <row r="374" spans="1:9" x14ac:dyDescent="0.25">
      <c r="A374" s="3" t="s">
        <v>11</v>
      </c>
      <c r="B374" s="3" t="s">
        <v>12</v>
      </c>
      <c r="C374" s="4">
        <v>41095</v>
      </c>
      <c r="D374" s="5">
        <v>0.8125</v>
      </c>
      <c r="E374" s="9">
        <v>458</v>
      </c>
      <c r="F374" s="9">
        <v>3882</v>
      </c>
      <c r="G374" s="9">
        <v>3042</v>
      </c>
      <c r="H374" s="9">
        <v>831</v>
      </c>
      <c r="I374" s="9">
        <v>9</v>
      </c>
    </row>
    <row r="375" spans="1:9" x14ac:dyDescent="0.25">
      <c r="A375" s="3" t="s">
        <v>13</v>
      </c>
      <c r="B375" s="3" t="s">
        <v>14</v>
      </c>
      <c r="C375" s="4">
        <v>41091</v>
      </c>
      <c r="D375" s="5">
        <v>0.33333333333333331</v>
      </c>
      <c r="E375" s="9">
        <v>193</v>
      </c>
      <c r="F375" s="9">
        <v>5</v>
      </c>
      <c r="G375" s="9">
        <v>5</v>
      </c>
      <c r="H375" s="9">
        <v>0</v>
      </c>
      <c r="I375" s="9">
        <v>0</v>
      </c>
    </row>
    <row r="376" spans="1:9" x14ac:dyDescent="0.25">
      <c r="A376" s="3" t="s">
        <v>13</v>
      </c>
      <c r="B376" s="3" t="s">
        <v>14</v>
      </c>
      <c r="C376" s="4">
        <v>41091</v>
      </c>
      <c r="D376" s="5">
        <v>0.35416666666666669</v>
      </c>
      <c r="E376" s="9">
        <v>214</v>
      </c>
      <c r="F376" s="9">
        <v>1</v>
      </c>
      <c r="G376" s="9">
        <v>1</v>
      </c>
      <c r="H376" s="9">
        <v>0</v>
      </c>
      <c r="I376" s="9">
        <v>0</v>
      </c>
    </row>
    <row r="377" spans="1:9" x14ac:dyDescent="0.25">
      <c r="A377" s="3" t="s">
        <v>13</v>
      </c>
      <c r="B377" s="3" t="s">
        <v>14</v>
      </c>
      <c r="C377" s="4">
        <v>41091</v>
      </c>
      <c r="D377" s="5">
        <v>0.375</v>
      </c>
      <c r="E377" s="9">
        <v>281</v>
      </c>
      <c r="F377" s="9">
        <v>5</v>
      </c>
      <c r="G377" s="9">
        <v>5</v>
      </c>
      <c r="H377" s="9">
        <v>0</v>
      </c>
      <c r="I377" s="9">
        <v>0</v>
      </c>
    </row>
    <row r="378" spans="1:9" x14ac:dyDescent="0.25">
      <c r="A378" s="3" t="s">
        <v>13</v>
      </c>
      <c r="B378" s="3" t="s">
        <v>14</v>
      </c>
      <c r="C378" s="4">
        <v>41091</v>
      </c>
      <c r="D378" s="5">
        <v>0.39583333333333331</v>
      </c>
      <c r="E378" s="9">
        <v>301</v>
      </c>
      <c r="F378" s="9">
        <v>6</v>
      </c>
      <c r="G378" s="9">
        <v>6</v>
      </c>
      <c r="H378" s="9">
        <v>0</v>
      </c>
      <c r="I378" s="9">
        <v>0</v>
      </c>
    </row>
    <row r="379" spans="1:9" x14ac:dyDescent="0.25">
      <c r="A379" s="3" t="s">
        <v>13</v>
      </c>
      <c r="B379" s="3" t="s">
        <v>14</v>
      </c>
      <c r="C379" s="4">
        <v>41091</v>
      </c>
      <c r="D379" s="5">
        <v>0.41666666666666669</v>
      </c>
      <c r="E379" s="9">
        <v>295</v>
      </c>
      <c r="F379" s="9">
        <v>4</v>
      </c>
      <c r="G379" s="9">
        <v>4</v>
      </c>
      <c r="H379" s="9">
        <v>0</v>
      </c>
      <c r="I379" s="9">
        <v>0</v>
      </c>
    </row>
    <row r="380" spans="1:9" x14ac:dyDescent="0.25">
      <c r="A380" s="3" t="s">
        <v>13</v>
      </c>
      <c r="B380" s="3" t="s">
        <v>14</v>
      </c>
      <c r="C380" s="4">
        <v>41091</v>
      </c>
      <c r="D380" s="5">
        <v>0.4375</v>
      </c>
      <c r="E380" s="9">
        <v>300</v>
      </c>
      <c r="F380" s="9">
        <v>3</v>
      </c>
      <c r="G380" s="9">
        <v>3</v>
      </c>
      <c r="H380" s="9">
        <v>0</v>
      </c>
      <c r="I380" s="9">
        <v>0</v>
      </c>
    </row>
    <row r="381" spans="1:9" x14ac:dyDescent="0.25">
      <c r="A381" s="3" t="s">
        <v>13</v>
      </c>
      <c r="B381" s="3" t="s">
        <v>14</v>
      </c>
      <c r="C381" s="4">
        <v>41091</v>
      </c>
      <c r="D381" s="5">
        <v>0.45833333333333331</v>
      </c>
      <c r="E381" s="9">
        <v>320</v>
      </c>
      <c r="F381" s="9">
        <v>2</v>
      </c>
      <c r="G381" s="9">
        <v>2</v>
      </c>
      <c r="H381" s="9">
        <v>0</v>
      </c>
      <c r="I381" s="9">
        <v>0</v>
      </c>
    </row>
    <row r="382" spans="1:9" x14ac:dyDescent="0.25">
      <c r="A382" s="3" t="s">
        <v>13</v>
      </c>
      <c r="B382" s="3" t="s">
        <v>14</v>
      </c>
      <c r="C382" s="4">
        <v>41091</v>
      </c>
      <c r="D382" s="5">
        <v>0.47916666666666669</v>
      </c>
      <c r="E382" s="9">
        <v>316</v>
      </c>
      <c r="F382" s="9">
        <v>6</v>
      </c>
      <c r="G382" s="9">
        <v>6</v>
      </c>
      <c r="H382" s="9">
        <v>0</v>
      </c>
      <c r="I382" s="9">
        <v>0</v>
      </c>
    </row>
    <row r="383" spans="1:9" x14ac:dyDescent="0.25">
      <c r="A383" s="3" t="s">
        <v>13</v>
      </c>
      <c r="B383" s="3" t="s">
        <v>14</v>
      </c>
      <c r="C383" s="4">
        <v>41091</v>
      </c>
      <c r="D383" s="5">
        <v>0.5</v>
      </c>
      <c r="E383" s="9">
        <v>294</v>
      </c>
      <c r="F383" s="9">
        <v>4</v>
      </c>
      <c r="G383" s="9">
        <v>4</v>
      </c>
      <c r="H383" s="9">
        <v>0</v>
      </c>
      <c r="I383" s="9">
        <v>0</v>
      </c>
    </row>
    <row r="384" spans="1:9" x14ac:dyDescent="0.25">
      <c r="A384" s="3" t="s">
        <v>13</v>
      </c>
      <c r="B384" s="3" t="s">
        <v>14</v>
      </c>
      <c r="C384" s="4">
        <v>41091</v>
      </c>
      <c r="D384" s="5">
        <v>0.52083333333333337</v>
      </c>
      <c r="E384" s="9">
        <v>279</v>
      </c>
      <c r="F384" s="9">
        <v>9</v>
      </c>
      <c r="G384" s="9">
        <v>9</v>
      </c>
      <c r="H384" s="9">
        <v>0</v>
      </c>
      <c r="I384" s="9">
        <v>0</v>
      </c>
    </row>
    <row r="385" spans="1:9" x14ac:dyDescent="0.25">
      <c r="A385" s="3" t="s">
        <v>13</v>
      </c>
      <c r="B385" s="3" t="s">
        <v>14</v>
      </c>
      <c r="C385" s="4">
        <v>41091</v>
      </c>
      <c r="D385" s="5">
        <v>0.54166666666666663</v>
      </c>
      <c r="E385" s="9">
        <v>293</v>
      </c>
      <c r="F385" s="9">
        <v>5</v>
      </c>
      <c r="G385" s="9">
        <v>1</v>
      </c>
      <c r="H385" s="9">
        <v>4</v>
      </c>
      <c r="I385" s="9">
        <v>0</v>
      </c>
    </row>
    <row r="386" spans="1:9" x14ac:dyDescent="0.25">
      <c r="A386" s="3" t="s">
        <v>13</v>
      </c>
      <c r="B386" s="3" t="s">
        <v>14</v>
      </c>
      <c r="C386" s="4">
        <v>41091</v>
      </c>
      <c r="D386" s="5">
        <v>0.5625</v>
      </c>
      <c r="E386" s="9">
        <v>311</v>
      </c>
      <c r="F386" s="9">
        <v>5</v>
      </c>
      <c r="G386" s="9">
        <v>5</v>
      </c>
      <c r="H386" s="9">
        <v>0</v>
      </c>
      <c r="I386" s="9">
        <v>0</v>
      </c>
    </row>
    <row r="387" spans="1:9" x14ac:dyDescent="0.25">
      <c r="A387" s="3" t="s">
        <v>13</v>
      </c>
      <c r="B387" s="3" t="s">
        <v>14</v>
      </c>
      <c r="C387" s="4">
        <v>41091</v>
      </c>
      <c r="D387" s="5">
        <v>0.58333333333333337</v>
      </c>
      <c r="E387" s="9">
        <v>324</v>
      </c>
      <c r="F387" s="9">
        <v>1</v>
      </c>
      <c r="G387" s="9">
        <v>1</v>
      </c>
      <c r="H387" s="9">
        <v>0</v>
      </c>
      <c r="I387" s="9">
        <v>0</v>
      </c>
    </row>
    <row r="388" spans="1:9" x14ac:dyDescent="0.25">
      <c r="A388" s="3" t="s">
        <v>13</v>
      </c>
      <c r="B388" s="3" t="s">
        <v>14</v>
      </c>
      <c r="C388" s="4">
        <v>41091</v>
      </c>
      <c r="D388" s="5">
        <v>0.60416666666666663</v>
      </c>
      <c r="E388" s="9">
        <v>356</v>
      </c>
      <c r="F388" s="9">
        <v>1</v>
      </c>
      <c r="G388" s="9">
        <v>1</v>
      </c>
      <c r="H388" s="9">
        <v>0</v>
      </c>
      <c r="I388" s="9">
        <v>0</v>
      </c>
    </row>
    <row r="389" spans="1:9" x14ac:dyDescent="0.25">
      <c r="A389" s="3" t="s">
        <v>13</v>
      </c>
      <c r="B389" s="3" t="s">
        <v>14</v>
      </c>
      <c r="C389" s="4">
        <v>41091</v>
      </c>
      <c r="D389" s="5">
        <v>0.625</v>
      </c>
      <c r="E389" s="9">
        <v>213</v>
      </c>
      <c r="F389" s="9">
        <v>1</v>
      </c>
      <c r="G389" s="9">
        <v>1</v>
      </c>
      <c r="H389" s="9">
        <v>0</v>
      </c>
      <c r="I389" s="9">
        <v>0</v>
      </c>
    </row>
    <row r="390" spans="1:9" x14ac:dyDescent="0.25">
      <c r="A390" s="3" t="s">
        <v>13</v>
      </c>
      <c r="B390" s="3" t="s">
        <v>14</v>
      </c>
      <c r="C390" s="4">
        <v>41091</v>
      </c>
      <c r="D390" s="5">
        <v>0.64583333333333337</v>
      </c>
      <c r="E390" s="9">
        <v>206</v>
      </c>
      <c r="F390" s="9">
        <v>1</v>
      </c>
      <c r="G390" s="9">
        <v>1</v>
      </c>
      <c r="H390" s="9">
        <v>0</v>
      </c>
      <c r="I390" s="9">
        <v>0</v>
      </c>
    </row>
    <row r="391" spans="1:9" x14ac:dyDescent="0.25">
      <c r="A391" s="3" t="s">
        <v>13</v>
      </c>
      <c r="B391" s="3" t="s">
        <v>14</v>
      </c>
      <c r="C391" s="4">
        <v>41091</v>
      </c>
      <c r="D391" s="5">
        <v>0.66666666666666663</v>
      </c>
      <c r="E391" s="9">
        <v>210</v>
      </c>
      <c r="F391" s="9">
        <v>2</v>
      </c>
      <c r="G391" s="9">
        <v>2</v>
      </c>
      <c r="H391" s="9">
        <v>0</v>
      </c>
      <c r="I391" s="9">
        <v>0</v>
      </c>
    </row>
    <row r="392" spans="1:9" x14ac:dyDescent="0.25">
      <c r="A392" s="3" t="s">
        <v>13</v>
      </c>
      <c r="B392" s="3" t="s">
        <v>14</v>
      </c>
      <c r="C392" s="4">
        <v>41091</v>
      </c>
      <c r="D392" s="5">
        <v>0.6875</v>
      </c>
      <c r="E392" s="9">
        <v>217</v>
      </c>
      <c r="F392" s="9">
        <v>3</v>
      </c>
      <c r="G392" s="9">
        <v>3</v>
      </c>
      <c r="H392" s="9">
        <v>0</v>
      </c>
      <c r="I392" s="9">
        <v>0</v>
      </c>
    </row>
    <row r="393" spans="1:9" x14ac:dyDescent="0.25">
      <c r="A393" s="3" t="s">
        <v>13</v>
      </c>
      <c r="B393" s="3" t="s">
        <v>14</v>
      </c>
      <c r="C393" s="4">
        <v>41091</v>
      </c>
      <c r="D393" s="5">
        <v>0.70833333333333337</v>
      </c>
      <c r="E393" s="9">
        <v>221</v>
      </c>
      <c r="F393" s="9">
        <v>5</v>
      </c>
      <c r="G393" s="9">
        <v>5</v>
      </c>
      <c r="H393" s="9">
        <v>0</v>
      </c>
      <c r="I393" s="9">
        <v>0</v>
      </c>
    </row>
    <row r="394" spans="1:9" x14ac:dyDescent="0.25">
      <c r="A394" s="3" t="s">
        <v>13</v>
      </c>
      <c r="B394" s="3" t="s">
        <v>14</v>
      </c>
      <c r="C394" s="4">
        <v>41091</v>
      </c>
      <c r="D394" s="5">
        <v>0.72916666666666663</v>
      </c>
      <c r="E394" s="9">
        <v>227</v>
      </c>
      <c r="F394" s="9">
        <v>2</v>
      </c>
      <c r="G394" s="9">
        <v>2</v>
      </c>
      <c r="H394" s="9">
        <v>0</v>
      </c>
      <c r="I394" s="9">
        <v>0</v>
      </c>
    </row>
    <row r="395" spans="1:9" x14ac:dyDescent="0.25">
      <c r="A395" s="3" t="s">
        <v>13</v>
      </c>
      <c r="B395" s="3" t="s">
        <v>14</v>
      </c>
      <c r="C395" s="4">
        <v>41091</v>
      </c>
      <c r="D395" s="5">
        <v>0.75</v>
      </c>
      <c r="E395" s="9">
        <v>235</v>
      </c>
      <c r="F395" s="9">
        <v>3</v>
      </c>
      <c r="G395" s="9">
        <v>3</v>
      </c>
      <c r="H395" s="9">
        <v>0</v>
      </c>
      <c r="I395" s="9">
        <v>0</v>
      </c>
    </row>
    <row r="396" spans="1:9" x14ac:dyDescent="0.25">
      <c r="A396" s="3" t="s">
        <v>13</v>
      </c>
      <c r="B396" s="3" t="s">
        <v>14</v>
      </c>
      <c r="C396" s="4">
        <v>41091</v>
      </c>
      <c r="D396" s="5">
        <v>0.77083333333333337</v>
      </c>
      <c r="E396" s="9">
        <v>235</v>
      </c>
      <c r="F396" s="9">
        <v>7</v>
      </c>
      <c r="G396" s="9">
        <v>5</v>
      </c>
      <c r="H396" s="9">
        <v>2</v>
      </c>
      <c r="I396" s="9">
        <v>0</v>
      </c>
    </row>
    <row r="397" spans="1:9" x14ac:dyDescent="0.25">
      <c r="A397" s="3" t="s">
        <v>13</v>
      </c>
      <c r="B397" s="3" t="s">
        <v>14</v>
      </c>
      <c r="C397" s="4">
        <v>41091</v>
      </c>
      <c r="D397" s="5">
        <v>0.79166666666666663</v>
      </c>
      <c r="E397" s="9">
        <v>235</v>
      </c>
      <c r="F397" s="9">
        <v>4</v>
      </c>
      <c r="G397" s="9">
        <v>3</v>
      </c>
      <c r="H397" s="9">
        <v>1</v>
      </c>
      <c r="I397" s="9">
        <v>0</v>
      </c>
    </row>
    <row r="398" spans="1:9" x14ac:dyDescent="0.25">
      <c r="A398" s="3" t="s">
        <v>13</v>
      </c>
      <c r="B398" s="3" t="s">
        <v>14</v>
      </c>
      <c r="C398" s="4">
        <v>41091</v>
      </c>
      <c r="D398" s="5">
        <v>0.8125</v>
      </c>
      <c r="E398" s="9">
        <v>227</v>
      </c>
      <c r="F398" s="9">
        <v>5</v>
      </c>
      <c r="G398" s="9">
        <v>5</v>
      </c>
      <c r="H398" s="9">
        <v>0</v>
      </c>
      <c r="I398" s="9">
        <v>0</v>
      </c>
    </row>
    <row r="399" spans="1:9" x14ac:dyDescent="0.25">
      <c r="A399" s="3" t="s">
        <v>13</v>
      </c>
      <c r="B399" s="3" t="s">
        <v>14</v>
      </c>
      <c r="C399" s="4">
        <v>41092</v>
      </c>
      <c r="D399" s="5">
        <v>0.33333333333333331</v>
      </c>
      <c r="E399" s="9">
        <v>341</v>
      </c>
      <c r="F399" s="9">
        <v>81</v>
      </c>
      <c r="G399" s="9">
        <v>81</v>
      </c>
      <c r="H399" s="9">
        <v>0</v>
      </c>
      <c r="I399" s="9">
        <v>0</v>
      </c>
    </row>
    <row r="400" spans="1:9" x14ac:dyDescent="0.25">
      <c r="A400" s="3" t="s">
        <v>13</v>
      </c>
      <c r="B400" s="3" t="s">
        <v>14</v>
      </c>
      <c r="C400" s="4">
        <v>41092</v>
      </c>
      <c r="D400" s="5">
        <v>0.35416666666666669</v>
      </c>
      <c r="E400" s="9">
        <v>417</v>
      </c>
      <c r="F400" s="9">
        <v>153</v>
      </c>
      <c r="G400" s="9">
        <v>150</v>
      </c>
      <c r="H400" s="9">
        <v>3</v>
      </c>
      <c r="I400" s="9">
        <v>0</v>
      </c>
    </row>
    <row r="401" spans="1:9" x14ac:dyDescent="0.25">
      <c r="A401" s="3" t="s">
        <v>13</v>
      </c>
      <c r="B401" s="3" t="s">
        <v>14</v>
      </c>
      <c r="C401" s="4">
        <v>41092</v>
      </c>
      <c r="D401" s="5">
        <v>0.375</v>
      </c>
      <c r="E401" s="9">
        <v>430</v>
      </c>
      <c r="F401" s="9">
        <v>280</v>
      </c>
      <c r="G401" s="9">
        <v>248</v>
      </c>
      <c r="H401" s="9">
        <v>32</v>
      </c>
      <c r="I401" s="9">
        <v>0</v>
      </c>
    </row>
    <row r="402" spans="1:9" x14ac:dyDescent="0.25">
      <c r="A402" s="3" t="s">
        <v>13</v>
      </c>
      <c r="B402" s="3" t="s">
        <v>14</v>
      </c>
      <c r="C402" s="4">
        <v>41092</v>
      </c>
      <c r="D402" s="5">
        <v>0.39583333333333331</v>
      </c>
      <c r="E402" s="9">
        <v>470</v>
      </c>
      <c r="F402" s="9">
        <v>380</v>
      </c>
      <c r="G402" s="9">
        <v>291</v>
      </c>
      <c r="H402" s="9">
        <v>89</v>
      </c>
      <c r="I402" s="9">
        <v>0</v>
      </c>
    </row>
    <row r="403" spans="1:9" x14ac:dyDescent="0.25">
      <c r="A403" s="3" t="s">
        <v>13</v>
      </c>
      <c r="B403" s="3" t="s">
        <v>14</v>
      </c>
      <c r="C403" s="4">
        <v>41092</v>
      </c>
      <c r="D403" s="5">
        <v>0.41666666666666669</v>
      </c>
      <c r="E403" s="9">
        <v>510</v>
      </c>
      <c r="F403" s="9">
        <v>436</v>
      </c>
      <c r="G403" s="9">
        <v>349</v>
      </c>
      <c r="H403" s="9">
        <v>87</v>
      </c>
      <c r="I403" s="9">
        <v>0</v>
      </c>
    </row>
    <row r="404" spans="1:9" x14ac:dyDescent="0.25">
      <c r="A404" s="3" t="s">
        <v>13</v>
      </c>
      <c r="B404" s="3" t="s">
        <v>14</v>
      </c>
      <c r="C404" s="4">
        <v>41092</v>
      </c>
      <c r="D404" s="5">
        <v>0.4375</v>
      </c>
      <c r="E404" s="9">
        <v>517</v>
      </c>
      <c r="F404" s="9">
        <v>442</v>
      </c>
      <c r="G404" s="9">
        <v>344</v>
      </c>
      <c r="H404" s="9">
        <v>98</v>
      </c>
      <c r="I404" s="9">
        <v>0</v>
      </c>
    </row>
    <row r="405" spans="1:9" x14ac:dyDescent="0.25">
      <c r="A405" s="3" t="s">
        <v>13</v>
      </c>
      <c r="B405" s="3" t="s">
        <v>14</v>
      </c>
      <c r="C405" s="4">
        <v>41092</v>
      </c>
      <c r="D405" s="5">
        <v>0.45833333333333331</v>
      </c>
      <c r="E405" s="9">
        <v>537</v>
      </c>
      <c r="F405" s="9">
        <v>513</v>
      </c>
      <c r="G405" s="9">
        <v>380</v>
      </c>
      <c r="H405" s="9">
        <v>133</v>
      </c>
      <c r="I405" s="9">
        <v>0</v>
      </c>
    </row>
    <row r="406" spans="1:9" x14ac:dyDescent="0.25">
      <c r="A406" s="3" t="s">
        <v>13</v>
      </c>
      <c r="B406" s="3" t="s">
        <v>14</v>
      </c>
      <c r="C406" s="4">
        <v>41092</v>
      </c>
      <c r="D406" s="5">
        <v>0.47916666666666669</v>
      </c>
      <c r="E406" s="9">
        <v>540</v>
      </c>
      <c r="F406" s="9">
        <v>421</v>
      </c>
      <c r="G406" s="9">
        <v>337</v>
      </c>
      <c r="H406" s="9">
        <v>84</v>
      </c>
      <c r="I406" s="9">
        <v>0</v>
      </c>
    </row>
    <row r="407" spans="1:9" x14ac:dyDescent="0.25">
      <c r="A407" s="3" t="s">
        <v>13</v>
      </c>
      <c r="B407" s="3" t="s">
        <v>14</v>
      </c>
      <c r="C407" s="4">
        <v>41092</v>
      </c>
      <c r="D407" s="5">
        <v>0.5</v>
      </c>
      <c r="E407" s="9">
        <v>530</v>
      </c>
      <c r="F407" s="9">
        <v>298</v>
      </c>
      <c r="G407" s="9">
        <v>254</v>
      </c>
      <c r="H407" s="9">
        <v>44</v>
      </c>
      <c r="I407" s="9">
        <v>0</v>
      </c>
    </row>
    <row r="408" spans="1:9" x14ac:dyDescent="0.25">
      <c r="A408" s="3" t="s">
        <v>13</v>
      </c>
      <c r="B408" s="3" t="s">
        <v>14</v>
      </c>
      <c r="C408" s="4">
        <v>41092</v>
      </c>
      <c r="D408" s="5">
        <v>0.52083333333333337</v>
      </c>
      <c r="E408" s="9">
        <v>499</v>
      </c>
      <c r="F408" s="9">
        <v>279</v>
      </c>
      <c r="G408" s="9">
        <v>271</v>
      </c>
      <c r="H408" s="9">
        <v>8</v>
      </c>
      <c r="I408" s="9">
        <v>0</v>
      </c>
    </row>
    <row r="409" spans="1:9" x14ac:dyDescent="0.25">
      <c r="A409" s="3" t="s">
        <v>13</v>
      </c>
      <c r="B409" s="3" t="s">
        <v>14</v>
      </c>
      <c r="C409" s="4">
        <v>41092</v>
      </c>
      <c r="D409" s="5">
        <v>0.54166666666666663</v>
      </c>
      <c r="E409" s="9">
        <v>508</v>
      </c>
      <c r="F409" s="9">
        <v>266</v>
      </c>
      <c r="G409" s="9">
        <v>266</v>
      </c>
      <c r="H409" s="9">
        <v>0</v>
      </c>
      <c r="I409" s="9">
        <v>0</v>
      </c>
    </row>
    <row r="410" spans="1:9" x14ac:dyDescent="0.25">
      <c r="A410" s="3" t="s">
        <v>13</v>
      </c>
      <c r="B410" s="3" t="s">
        <v>14</v>
      </c>
      <c r="C410" s="4">
        <v>41092</v>
      </c>
      <c r="D410" s="5">
        <v>0.5625</v>
      </c>
      <c r="E410" s="9">
        <v>538</v>
      </c>
      <c r="F410" s="9">
        <v>317</v>
      </c>
      <c r="G410" s="9">
        <v>278</v>
      </c>
      <c r="H410" s="9">
        <v>39</v>
      </c>
      <c r="I410" s="9">
        <v>0</v>
      </c>
    </row>
    <row r="411" spans="1:9" x14ac:dyDescent="0.25">
      <c r="A411" s="3" t="s">
        <v>13</v>
      </c>
      <c r="B411" s="3" t="s">
        <v>14</v>
      </c>
      <c r="C411" s="4">
        <v>41092</v>
      </c>
      <c r="D411" s="5">
        <v>0.58333333333333337</v>
      </c>
      <c r="E411" s="9">
        <v>538</v>
      </c>
      <c r="F411" s="9">
        <v>386</v>
      </c>
      <c r="G411" s="9">
        <v>288</v>
      </c>
      <c r="H411" s="9">
        <v>98</v>
      </c>
      <c r="I411" s="9">
        <v>0</v>
      </c>
    </row>
    <row r="412" spans="1:9" x14ac:dyDescent="0.25">
      <c r="A412" s="3" t="s">
        <v>13</v>
      </c>
      <c r="B412" s="3" t="s">
        <v>14</v>
      </c>
      <c r="C412" s="4">
        <v>41092</v>
      </c>
      <c r="D412" s="5">
        <v>0.60416666666666663</v>
      </c>
      <c r="E412" s="9">
        <v>423</v>
      </c>
      <c r="F412" s="9">
        <v>445</v>
      </c>
      <c r="G412" s="9">
        <v>342</v>
      </c>
      <c r="H412" s="9">
        <v>103</v>
      </c>
      <c r="I412" s="9">
        <v>0</v>
      </c>
    </row>
    <row r="413" spans="1:9" x14ac:dyDescent="0.25">
      <c r="A413" s="3" t="s">
        <v>13</v>
      </c>
      <c r="B413" s="3" t="s">
        <v>14</v>
      </c>
      <c r="C413" s="4">
        <v>41092</v>
      </c>
      <c r="D413" s="5">
        <v>0.625</v>
      </c>
      <c r="E413" s="9">
        <v>401</v>
      </c>
      <c r="F413" s="9">
        <v>483</v>
      </c>
      <c r="G413" s="9">
        <v>391</v>
      </c>
      <c r="H413" s="9">
        <v>92</v>
      </c>
      <c r="I413" s="9">
        <v>0</v>
      </c>
    </row>
    <row r="414" spans="1:9" x14ac:dyDescent="0.25">
      <c r="A414" s="3" t="s">
        <v>13</v>
      </c>
      <c r="B414" s="3" t="s">
        <v>14</v>
      </c>
      <c r="C414" s="4">
        <v>41092</v>
      </c>
      <c r="D414" s="5">
        <v>0.64583333333333337</v>
      </c>
      <c r="E414" s="9">
        <v>390</v>
      </c>
      <c r="F414" s="9">
        <v>456</v>
      </c>
      <c r="G414" s="9">
        <v>366</v>
      </c>
      <c r="H414" s="9">
        <v>90</v>
      </c>
      <c r="I414" s="9">
        <v>0</v>
      </c>
    </row>
    <row r="415" spans="1:9" x14ac:dyDescent="0.25">
      <c r="A415" s="3" t="s">
        <v>13</v>
      </c>
      <c r="B415" s="3" t="s">
        <v>14</v>
      </c>
      <c r="C415" s="4">
        <v>41092</v>
      </c>
      <c r="D415" s="5">
        <v>0.66666666666666663</v>
      </c>
      <c r="E415" s="9">
        <v>351</v>
      </c>
      <c r="F415" s="9">
        <v>500</v>
      </c>
      <c r="G415" s="9">
        <v>359</v>
      </c>
      <c r="H415" s="9">
        <v>141</v>
      </c>
      <c r="I415" s="9">
        <v>0</v>
      </c>
    </row>
    <row r="416" spans="1:9" x14ac:dyDescent="0.25">
      <c r="A416" s="3" t="s">
        <v>13</v>
      </c>
      <c r="B416" s="3" t="s">
        <v>14</v>
      </c>
      <c r="C416" s="4">
        <v>41092</v>
      </c>
      <c r="D416" s="5">
        <v>0.6875</v>
      </c>
      <c r="E416" s="9">
        <v>336</v>
      </c>
      <c r="F416" s="9">
        <v>464</v>
      </c>
      <c r="G416" s="9">
        <v>300</v>
      </c>
      <c r="H416" s="9">
        <v>164</v>
      </c>
      <c r="I416" s="9">
        <v>0</v>
      </c>
    </row>
    <row r="417" spans="1:9" x14ac:dyDescent="0.25">
      <c r="A417" s="3" t="s">
        <v>13</v>
      </c>
      <c r="B417" s="3" t="s">
        <v>14</v>
      </c>
      <c r="C417" s="4">
        <v>41092</v>
      </c>
      <c r="D417" s="5">
        <v>0.70833333333333337</v>
      </c>
      <c r="E417" s="9">
        <v>320</v>
      </c>
      <c r="F417" s="9">
        <v>379</v>
      </c>
      <c r="G417" s="9">
        <v>263</v>
      </c>
      <c r="H417" s="9">
        <v>116</v>
      </c>
      <c r="I417" s="9">
        <v>0</v>
      </c>
    </row>
    <row r="418" spans="1:9" x14ac:dyDescent="0.25">
      <c r="A418" s="3" t="s">
        <v>13</v>
      </c>
      <c r="B418" s="3" t="s">
        <v>14</v>
      </c>
      <c r="C418" s="4">
        <v>41092</v>
      </c>
      <c r="D418" s="5">
        <v>0.72916666666666663</v>
      </c>
      <c r="E418" s="9">
        <v>317</v>
      </c>
      <c r="F418" s="9">
        <v>247</v>
      </c>
      <c r="G418" s="9">
        <v>181</v>
      </c>
      <c r="H418" s="9">
        <v>66</v>
      </c>
      <c r="I418" s="9">
        <v>0</v>
      </c>
    </row>
    <row r="419" spans="1:9" x14ac:dyDescent="0.25">
      <c r="A419" s="3" t="s">
        <v>13</v>
      </c>
      <c r="B419" s="3" t="s">
        <v>14</v>
      </c>
      <c r="C419" s="4">
        <v>41092</v>
      </c>
      <c r="D419" s="5">
        <v>0.75</v>
      </c>
      <c r="E419" s="9">
        <v>240</v>
      </c>
      <c r="F419" s="9">
        <v>132</v>
      </c>
      <c r="G419" s="9">
        <v>98</v>
      </c>
      <c r="H419" s="9">
        <v>34</v>
      </c>
      <c r="I419" s="9">
        <v>0</v>
      </c>
    </row>
    <row r="420" spans="1:9" x14ac:dyDescent="0.25">
      <c r="A420" s="3" t="s">
        <v>13</v>
      </c>
      <c r="B420" s="3" t="s">
        <v>14</v>
      </c>
      <c r="C420" s="4">
        <v>41092</v>
      </c>
      <c r="D420" s="5">
        <v>0.77083333333333337</v>
      </c>
      <c r="E420" s="9">
        <v>221</v>
      </c>
      <c r="F420" s="9">
        <v>68</v>
      </c>
      <c r="G420" s="9">
        <v>68</v>
      </c>
      <c r="H420" s="9">
        <v>0</v>
      </c>
      <c r="I420" s="9">
        <v>0</v>
      </c>
    </row>
    <row r="421" spans="1:9" x14ac:dyDescent="0.25">
      <c r="A421" s="3" t="s">
        <v>13</v>
      </c>
      <c r="B421" s="3" t="s">
        <v>14</v>
      </c>
      <c r="C421" s="4">
        <v>41092</v>
      </c>
      <c r="D421" s="5">
        <v>0.79166666666666663</v>
      </c>
      <c r="E421" s="9">
        <v>211</v>
      </c>
      <c r="F421" s="9">
        <v>41</v>
      </c>
      <c r="G421" s="9">
        <v>39</v>
      </c>
      <c r="H421" s="9">
        <v>2</v>
      </c>
      <c r="I421" s="9">
        <v>0</v>
      </c>
    </row>
    <row r="422" spans="1:9" x14ac:dyDescent="0.25">
      <c r="A422" s="3" t="s">
        <v>13</v>
      </c>
      <c r="B422" s="3" t="s">
        <v>14</v>
      </c>
      <c r="C422" s="4">
        <v>41092</v>
      </c>
      <c r="D422" s="5">
        <v>0.8125</v>
      </c>
      <c r="E422" s="9">
        <v>192</v>
      </c>
      <c r="F422" s="9">
        <v>48</v>
      </c>
      <c r="G422" s="9">
        <v>48</v>
      </c>
      <c r="H422" s="9">
        <v>0</v>
      </c>
      <c r="I422" s="9">
        <v>0</v>
      </c>
    </row>
    <row r="423" spans="1:9" x14ac:dyDescent="0.25">
      <c r="A423" s="3" t="s">
        <v>13</v>
      </c>
      <c r="B423" s="3" t="s">
        <v>14</v>
      </c>
      <c r="C423" s="4">
        <v>41093</v>
      </c>
      <c r="D423" s="5">
        <v>0.33333333333333331</v>
      </c>
      <c r="E423" s="9">
        <v>350</v>
      </c>
      <c r="F423" s="9">
        <v>135</v>
      </c>
      <c r="G423" s="9">
        <v>129</v>
      </c>
      <c r="H423" s="9">
        <v>6</v>
      </c>
      <c r="I423" s="9">
        <v>0</v>
      </c>
    </row>
    <row r="424" spans="1:9" x14ac:dyDescent="0.25">
      <c r="A424" s="3" t="s">
        <v>13</v>
      </c>
      <c r="B424" s="3" t="s">
        <v>14</v>
      </c>
      <c r="C424" s="4">
        <v>41093</v>
      </c>
      <c r="D424" s="5">
        <v>0.35416666666666669</v>
      </c>
      <c r="E424" s="9">
        <v>419</v>
      </c>
      <c r="F424" s="9">
        <v>216</v>
      </c>
      <c r="G424" s="9">
        <v>165</v>
      </c>
      <c r="H424" s="9">
        <v>51</v>
      </c>
      <c r="I424" s="9">
        <v>0</v>
      </c>
    </row>
    <row r="425" spans="1:9" x14ac:dyDescent="0.25">
      <c r="A425" s="3" t="s">
        <v>13</v>
      </c>
      <c r="B425" s="3" t="s">
        <v>14</v>
      </c>
      <c r="C425" s="4">
        <v>41093</v>
      </c>
      <c r="D425" s="5">
        <v>0.375</v>
      </c>
      <c r="E425" s="9">
        <v>432</v>
      </c>
      <c r="F425" s="9">
        <v>352</v>
      </c>
      <c r="G425" s="9">
        <v>269</v>
      </c>
      <c r="H425" s="9">
        <v>83</v>
      </c>
      <c r="I425" s="9">
        <v>0</v>
      </c>
    </row>
    <row r="426" spans="1:9" x14ac:dyDescent="0.25">
      <c r="A426" s="3" t="s">
        <v>13</v>
      </c>
      <c r="B426" s="3" t="s">
        <v>14</v>
      </c>
      <c r="C426" s="4">
        <v>41093</v>
      </c>
      <c r="D426" s="5">
        <v>0.39583333333333331</v>
      </c>
      <c r="E426" s="9">
        <v>448</v>
      </c>
      <c r="F426" s="9">
        <v>480</v>
      </c>
      <c r="G426" s="9">
        <v>347</v>
      </c>
      <c r="H426" s="9">
        <v>133</v>
      </c>
      <c r="I426" s="9">
        <v>0</v>
      </c>
    </row>
    <row r="427" spans="1:9" x14ac:dyDescent="0.25">
      <c r="A427" s="3" t="s">
        <v>13</v>
      </c>
      <c r="B427" s="3" t="s">
        <v>14</v>
      </c>
      <c r="C427" s="4">
        <v>41093</v>
      </c>
      <c r="D427" s="5">
        <v>0.41666666666666669</v>
      </c>
      <c r="E427" s="9">
        <v>505</v>
      </c>
      <c r="F427" s="9">
        <v>492</v>
      </c>
      <c r="G427" s="9">
        <v>394</v>
      </c>
      <c r="H427" s="9">
        <v>98</v>
      </c>
      <c r="I427" s="9">
        <v>0</v>
      </c>
    </row>
    <row r="428" spans="1:9" x14ac:dyDescent="0.25">
      <c r="A428" s="3" t="s">
        <v>13</v>
      </c>
      <c r="B428" s="3" t="s">
        <v>14</v>
      </c>
      <c r="C428" s="4">
        <v>41093</v>
      </c>
      <c r="D428" s="5">
        <v>0.4375</v>
      </c>
      <c r="E428" s="9">
        <v>514</v>
      </c>
      <c r="F428" s="9">
        <v>494</v>
      </c>
      <c r="G428" s="9">
        <v>400</v>
      </c>
      <c r="H428" s="9">
        <v>94</v>
      </c>
      <c r="I428" s="9">
        <v>0</v>
      </c>
    </row>
    <row r="429" spans="1:9" x14ac:dyDescent="0.25">
      <c r="A429" s="3" t="s">
        <v>13</v>
      </c>
      <c r="B429" s="3" t="s">
        <v>14</v>
      </c>
      <c r="C429" s="4">
        <v>41093</v>
      </c>
      <c r="D429" s="5">
        <v>0.45833333333333331</v>
      </c>
      <c r="E429" s="9">
        <v>528</v>
      </c>
      <c r="F429" s="9">
        <v>513</v>
      </c>
      <c r="G429" s="9">
        <v>380</v>
      </c>
      <c r="H429" s="9">
        <v>133</v>
      </c>
      <c r="I429" s="9">
        <v>0</v>
      </c>
    </row>
    <row r="430" spans="1:9" x14ac:dyDescent="0.25">
      <c r="A430" s="3" t="s">
        <v>13</v>
      </c>
      <c r="B430" s="3" t="s">
        <v>14</v>
      </c>
      <c r="C430" s="4">
        <v>41093</v>
      </c>
      <c r="D430" s="5">
        <v>0.47916666666666669</v>
      </c>
      <c r="E430" s="9">
        <v>532</v>
      </c>
      <c r="F430" s="9">
        <v>470</v>
      </c>
      <c r="G430" s="9">
        <v>368</v>
      </c>
      <c r="H430" s="9">
        <v>102</v>
      </c>
      <c r="I430" s="9">
        <v>0</v>
      </c>
    </row>
    <row r="431" spans="1:9" x14ac:dyDescent="0.25">
      <c r="A431" s="3" t="s">
        <v>13</v>
      </c>
      <c r="B431" s="3" t="s">
        <v>14</v>
      </c>
      <c r="C431" s="4">
        <v>41093</v>
      </c>
      <c r="D431" s="5">
        <v>0.5</v>
      </c>
      <c r="E431" s="9">
        <v>516</v>
      </c>
      <c r="F431" s="9">
        <v>361</v>
      </c>
      <c r="G431" s="9">
        <v>321</v>
      </c>
      <c r="H431" s="9">
        <v>40</v>
      </c>
      <c r="I431" s="9">
        <v>0</v>
      </c>
    </row>
    <row r="432" spans="1:9" x14ac:dyDescent="0.25">
      <c r="A432" s="3" t="s">
        <v>13</v>
      </c>
      <c r="B432" s="3" t="s">
        <v>14</v>
      </c>
      <c r="C432" s="4">
        <v>41093</v>
      </c>
      <c r="D432" s="5">
        <v>0.52083333333333337</v>
      </c>
      <c r="E432" s="9">
        <v>478</v>
      </c>
      <c r="F432" s="9">
        <v>289</v>
      </c>
      <c r="G432" s="9">
        <v>289</v>
      </c>
      <c r="H432" s="9">
        <v>0</v>
      </c>
      <c r="I432" s="9">
        <v>0</v>
      </c>
    </row>
    <row r="433" spans="1:9" x14ac:dyDescent="0.25">
      <c r="A433" s="3" t="s">
        <v>13</v>
      </c>
      <c r="B433" s="3" t="s">
        <v>14</v>
      </c>
      <c r="C433" s="4">
        <v>41093</v>
      </c>
      <c r="D433" s="5">
        <v>0.54166666666666663</v>
      </c>
      <c r="E433" s="9">
        <v>492</v>
      </c>
      <c r="F433" s="9">
        <v>301</v>
      </c>
      <c r="G433" s="9">
        <v>301</v>
      </c>
      <c r="H433" s="9">
        <v>0</v>
      </c>
      <c r="I433" s="9">
        <v>0</v>
      </c>
    </row>
    <row r="434" spans="1:9" x14ac:dyDescent="0.25">
      <c r="A434" s="3" t="s">
        <v>13</v>
      </c>
      <c r="B434" s="3" t="s">
        <v>14</v>
      </c>
      <c r="C434" s="4">
        <v>41093</v>
      </c>
      <c r="D434" s="5">
        <v>0.5625</v>
      </c>
      <c r="E434" s="9">
        <v>512</v>
      </c>
      <c r="F434" s="9">
        <v>359</v>
      </c>
      <c r="G434" s="9">
        <v>348</v>
      </c>
      <c r="H434" s="9">
        <v>11</v>
      </c>
      <c r="I434" s="9">
        <v>0</v>
      </c>
    </row>
    <row r="435" spans="1:9" x14ac:dyDescent="0.25">
      <c r="A435" s="3" t="s">
        <v>13</v>
      </c>
      <c r="B435" s="3" t="s">
        <v>14</v>
      </c>
      <c r="C435" s="4">
        <v>41093</v>
      </c>
      <c r="D435" s="5">
        <v>0.58333333333333337</v>
      </c>
      <c r="E435" s="9">
        <v>526</v>
      </c>
      <c r="F435" s="9">
        <v>374</v>
      </c>
      <c r="G435" s="9">
        <v>291</v>
      </c>
      <c r="H435" s="9">
        <v>83</v>
      </c>
      <c r="I435" s="9">
        <v>0</v>
      </c>
    </row>
    <row r="436" spans="1:9" x14ac:dyDescent="0.25">
      <c r="A436" s="3" t="s">
        <v>13</v>
      </c>
      <c r="B436" s="3" t="s">
        <v>14</v>
      </c>
      <c r="C436" s="4">
        <v>41093</v>
      </c>
      <c r="D436" s="5">
        <v>0.60416666666666663</v>
      </c>
      <c r="E436" s="9">
        <v>416</v>
      </c>
      <c r="F436" s="9">
        <v>431</v>
      </c>
      <c r="G436" s="9">
        <v>346</v>
      </c>
      <c r="H436" s="9">
        <v>85</v>
      </c>
      <c r="I436" s="9">
        <v>0</v>
      </c>
    </row>
    <row r="437" spans="1:9" x14ac:dyDescent="0.25">
      <c r="A437" s="3" t="s">
        <v>13</v>
      </c>
      <c r="B437" s="3" t="s">
        <v>14</v>
      </c>
      <c r="C437" s="4">
        <v>41093</v>
      </c>
      <c r="D437" s="5">
        <v>0.625</v>
      </c>
      <c r="E437" s="9">
        <v>409</v>
      </c>
      <c r="F437" s="9">
        <v>448</v>
      </c>
      <c r="G437" s="9">
        <v>331</v>
      </c>
      <c r="H437" s="9">
        <v>117</v>
      </c>
      <c r="I437" s="9">
        <v>0</v>
      </c>
    </row>
    <row r="438" spans="1:9" x14ac:dyDescent="0.25">
      <c r="A438" s="3" t="s">
        <v>13</v>
      </c>
      <c r="B438" s="3" t="s">
        <v>14</v>
      </c>
      <c r="C438" s="4">
        <v>41093</v>
      </c>
      <c r="D438" s="5">
        <v>0.64583333333333337</v>
      </c>
      <c r="E438" s="9">
        <v>397</v>
      </c>
      <c r="F438" s="9">
        <v>443</v>
      </c>
      <c r="G438" s="9">
        <v>362</v>
      </c>
      <c r="H438" s="9">
        <v>81</v>
      </c>
      <c r="I438" s="9">
        <v>0</v>
      </c>
    </row>
    <row r="439" spans="1:9" x14ac:dyDescent="0.25">
      <c r="A439" s="3" t="s">
        <v>13</v>
      </c>
      <c r="B439" s="3" t="s">
        <v>14</v>
      </c>
      <c r="C439" s="4">
        <v>41093</v>
      </c>
      <c r="D439" s="5">
        <v>0.66666666666666663</v>
      </c>
      <c r="E439" s="9">
        <v>339</v>
      </c>
      <c r="F439" s="9">
        <v>450</v>
      </c>
      <c r="G439" s="9">
        <v>361</v>
      </c>
      <c r="H439" s="9">
        <v>89</v>
      </c>
      <c r="I439" s="9">
        <v>0</v>
      </c>
    </row>
    <row r="440" spans="1:9" x14ac:dyDescent="0.25">
      <c r="A440" s="3" t="s">
        <v>13</v>
      </c>
      <c r="B440" s="3" t="s">
        <v>14</v>
      </c>
      <c r="C440" s="4">
        <v>41093</v>
      </c>
      <c r="D440" s="5">
        <v>0.6875</v>
      </c>
      <c r="E440" s="9">
        <v>336</v>
      </c>
      <c r="F440" s="9">
        <v>402</v>
      </c>
      <c r="G440" s="9">
        <v>299</v>
      </c>
      <c r="H440" s="9">
        <v>103</v>
      </c>
      <c r="I440" s="9">
        <v>0</v>
      </c>
    </row>
    <row r="441" spans="1:9" x14ac:dyDescent="0.25">
      <c r="A441" s="3" t="s">
        <v>13</v>
      </c>
      <c r="B441" s="3" t="s">
        <v>14</v>
      </c>
      <c r="C441" s="4">
        <v>41093</v>
      </c>
      <c r="D441" s="5">
        <v>0.70833333333333337</v>
      </c>
      <c r="E441" s="9">
        <v>325</v>
      </c>
      <c r="F441" s="9">
        <v>395</v>
      </c>
      <c r="G441" s="9">
        <v>254</v>
      </c>
      <c r="H441" s="9">
        <v>141</v>
      </c>
      <c r="I441" s="9">
        <v>0</v>
      </c>
    </row>
    <row r="442" spans="1:9" x14ac:dyDescent="0.25">
      <c r="A442" s="3" t="s">
        <v>13</v>
      </c>
      <c r="B442" s="3" t="s">
        <v>14</v>
      </c>
      <c r="C442" s="4">
        <v>41093</v>
      </c>
      <c r="D442" s="5">
        <v>0.72916666666666663</v>
      </c>
      <c r="E442" s="9">
        <v>272</v>
      </c>
      <c r="F442" s="9">
        <v>329</v>
      </c>
      <c r="G442" s="9">
        <v>208</v>
      </c>
      <c r="H442" s="9">
        <v>121</v>
      </c>
      <c r="I442" s="9">
        <v>0</v>
      </c>
    </row>
    <row r="443" spans="1:9" x14ac:dyDescent="0.25">
      <c r="A443" s="3" t="s">
        <v>13</v>
      </c>
      <c r="B443" s="3" t="s">
        <v>14</v>
      </c>
      <c r="C443" s="4">
        <v>41093</v>
      </c>
      <c r="D443" s="5">
        <v>0.75</v>
      </c>
      <c r="E443" s="9">
        <v>228</v>
      </c>
      <c r="F443" s="9">
        <v>146</v>
      </c>
      <c r="G443" s="9">
        <v>95</v>
      </c>
      <c r="H443" s="9">
        <v>51</v>
      </c>
      <c r="I443" s="9">
        <v>0</v>
      </c>
    </row>
    <row r="444" spans="1:9" x14ac:dyDescent="0.25">
      <c r="A444" s="3" t="s">
        <v>13</v>
      </c>
      <c r="B444" s="3" t="s">
        <v>14</v>
      </c>
      <c r="C444" s="4">
        <v>41093</v>
      </c>
      <c r="D444" s="5">
        <v>0.77083333333333337</v>
      </c>
      <c r="E444" s="9">
        <v>220</v>
      </c>
      <c r="F444" s="9">
        <v>85</v>
      </c>
      <c r="G444" s="9">
        <v>68</v>
      </c>
      <c r="H444" s="9">
        <v>17</v>
      </c>
      <c r="I444" s="9">
        <v>0</v>
      </c>
    </row>
    <row r="445" spans="1:9" x14ac:dyDescent="0.25">
      <c r="A445" s="3" t="s">
        <v>13</v>
      </c>
      <c r="B445" s="3" t="s">
        <v>14</v>
      </c>
      <c r="C445" s="4">
        <v>41093</v>
      </c>
      <c r="D445" s="5">
        <v>0.79166666666666663</v>
      </c>
      <c r="E445" s="9">
        <v>217</v>
      </c>
      <c r="F445" s="9">
        <v>42</v>
      </c>
      <c r="G445" s="9">
        <v>41</v>
      </c>
      <c r="H445" s="9">
        <v>1</v>
      </c>
      <c r="I445" s="9">
        <v>0</v>
      </c>
    </row>
    <row r="446" spans="1:9" x14ac:dyDescent="0.25">
      <c r="A446" s="3" t="s">
        <v>13</v>
      </c>
      <c r="B446" s="3" t="s">
        <v>14</v>
      </c>
      <c r="C446" s="4">
        <v>41093</v>
      </c>
      <c r="D446" s="5">
        <v>0.8125</v>
      </c>
      <c r="E446" s="9">
        <v>221</v>
      </c>
      <c r="F446" s="9">
        <v>37</v>
      </c>
      <c r="G446" s="9">
        <v>37</v>
      </c>
      <c r="H446" s="9">
        <v>0</v>
      </c>
      <c r="I446" s="9">
        <v>0</v>
      </c>
    </row>
    <row r="447" spans="1:9" x14ac:dyDescent="0.25">
      <c r="A447" s="3" t="s">
        <v>13</v>
      </c>
      <c r="B447" s="3" t="s">
        <v>14</v>
      </c>
      <c r="C447" s="4">
        <v>41094</v>
      </c>
      <c r="D447" s="5">
        <v>0.33333333333333331</v>
      </c>
      <c r="E447" s="9">
        <v>359</v>
      </c>
      <c r="F447" s="9">
        <v>140</v>
      </c>
      <c r="G447" s="9">
        <v>138</v>
      </c>
      <c r="H447" s="9">
        <v>2</v>
      </c>
      <c r="I447" s="9">
        <v>0</v>
      </c>
    </row>
    <row r="448" spans="1:9" x14ac:dyDescent="0.25">
      <c r="A448" s="3" t="s">
        <v>13</v>
      </c>
      <c r="B448" s="3" t="s">
        <v>14</v>
      </c>
      <c r="C448" s="4">
        <v>41094</v>
      </c>
      <c r="D448" s="5">
        <v>0.35416666666666669</v>
      </c>
      <c r="E448" s="9">
        <v>390</v>
      </c>
      <c r="F448" s="9">
        <v>251</v>
      </c>
      <c r="G448" s="9">
        <v>209</v>
      </c>
      <c r="H448" s="9">
        <v>42</v>
      </c>
      <c r="I448" s="9">
        <v>0</v>
      </c>
    </row>
    <row r="449" spans="1:9" x14ac:dyDescent="0.25">
      <c r="A449" s="3" t="s">
        <v>13</v>
      </c>
      <c r="B449" s="3" t="s">
        <v>14</v>
      </c>
      <c r="C449" s="4">
        <v>41094</v>
      </c>
      <c r="D449" s="5">
        <v>0.375</v>
      </c>
      <c r="E449" s="9">
        <v>418</v>
      </c>
      <c r="F449" s="9">
        <v>421</v>
      </c>
      <c r="G449" s="9">
        <v>330</v>
      </c>
      <c r="H449" s="9">
        <v>91</v>
      </c>
      <c r="I449" s="9">
        <v>0</v>
      </c>
    </row>
    <row r="450" spans="1:9" x14ac:dyDescent="0.25">
      <c r="A450" s="3" t="s">
        <v>13</v>
      </c>
      <c r="B450" s="3" t="s">
        <v>14</v>
      </c>
      <c r="C450" s="4">
        <v>41094</v>
      </c>
      <c r="D450" s="5">
        <v>0.39583333333333331</v>
      </c>
      <c r="E450" s="9">
        <v>439</v>
      </c>
      <c r="F450" s="9">
        <v>485</v>
      </c>
      <c r="G450" s="9">
        <v>374</v>
      </c>
      <c r="H450" s="9">
        <v>111</v>
      </c>
      <c r="I450" s="9">
        <v>0</v>
      </c>
    </row>
    <row r="451" spans="1:9" x14ac:dyDescent="0.25">
      <c r="A451" s="3" t="s">
        <v>13</v>
      </c>
      <c r="B451" s="3" t="s">
        <v>14</v>
      </c>
      <c r="C451" s="4">
        <v>41094</v>
      </c>
      <c r="D451" s="5">
        <v>0.41666666666666669</v>
      </c>
      <c r="E451" s="9">
        <v>498</v>
      </c>
      <c r="F451" s="9">
        <v>551</v>
      </c>
      <c r="G451" s="9">
        <v>398</v>
      </c>
      <c r="H451" s="9">
        <v>153</v>
      </c>
      <c r="I451" s="9">
        <v>0</v>
      </c>
    </row>
    <row r="452" spans="1:9" x14ac:dyDescent="0.25">
      <c r="A452" s="3" t="s">
        <v>13</v>
      </c>
      <c r="B452" s="3" t="s">
        <v>14</v>
      </c>
      <c r="C452" s="4">
        <v>41094</v>
      </c>
      <c r="D452" s="5">
        <v>0.4375</v>
      </c>
      <c r="E452" s="9">
        <v>509</v>
      </c>
      <c r="F452" s="9">
        <v>575</v>
      </c>
      <c r="G452" s="9">
        <v>412</v>
      </c>
      <c r="H452" s="9">
        <v>163</v>
      </c>
      <c r="I452" s="9">
        <v>0</v>
      </c>
    </row>
    <row r="453" spans="1:9" x14ac:dyDescent="0.25">
      <c r="A453" s="3" t="s">
        <v>13</v>
      </c>
      <c r="B453" s="3" t="s">
        <v>14</v>
      </c>
      <c r="C453" s="4">
        <v>41094</v>
      </c>
      <c r="D453" s="5">
        <v>0.45833333333333331</v>
      </c>
      <c r="E453" s="9">
        <v>417</v>
      </c>
      <c r="F453" s="9">
        <v>557</v>
      </c>
      <c r="G453" s="9">
        <v>390</v>
      </c>
      <c r="H453" s="9">
        <v>167</v>
      </c>
      <c r="I453" s="9">
        <v>0</v>
      </c>
    </row>
    <row r="454" spans="1:9" x14ac:dyDescent="0.25">
      <c r="A454" s="3" t="s">
        <v>13</v>
      </c>
      <c r="B454" s="3" t="s">
        <v>14</v>
      </c>
      <c r="C454" s="4">
        <v>41094</v>
      </c>
      <c r="D454" s="5">
        <v>0.47916666666666669</v>
      </c>
      <c r="E454" s="9">
        <v>419</v>
      </c>
      <c r="F454" s="9">
        <v>503</v>
      </c>
      <c r="G454" s="9">
        <v>383</v>
      </c>
      <c r="H454" s="9">
        <v>120</v>
      </c>
      <c r="I454" s="9">
        <v>0</v>
      </c>
    </row>
    <row r="455" spans="1:9" x14ac:dyDescent="0.25">
      <c r="A455" s="3" t="s">
        <v>13</v>
      </c>
      <c r="B455" s="3" t="s">
        <v>14</v>
      </c>
      <c r="C455" s="4">
        <v>41094</v>
      </c>
      <c r="D455" s="5">
        <v>0.5</v>
      </c>
      <c r="E455" s="9">
        <v>518</v>
      </c>
      <c r="F455" s="9">
        <v>394</v>
      </c>
      <c r="G455" s="9">
        <v>345</v>
      </c>
      <c r="H455" s="9">
        <v>49</v>
      </c>
      <c r="I455" s="9">
        <v>0</v>
      </c>
    </row>
    <row r="456" spans="1:9" x14ac:dyDescent="0.25">
      <c r="A456" s="3" t="s">
        <v>13</v>
      </c>
      <c r="B456" s="3" t="s">
        <v>14</v>
      </c>
      <c r="C456" s="4">
        <v>41094</v>
      </c>
      <c r="D456" s="5">
        <v>0.52083333333333337</v>
      </c>
      <c r="E456" s="9">
        <v>480</v>
      </c>
      <c r="F456" s="9">
        <v>315</v>
      </c>
      <c r="G456" s="9">
        <v>313</v>
      </c>
      <c r="H456" s="9">
        <v>2</v>
      </c>
      <c r="I456" s="9">
        <v>0</v>
      </c>
    </row>
    <row r="457" spans="1:9" x14ac:dyDescent="0.25">
      <c r="A457" s="3" t="s">
        <v>13</v>
      </c>
      <c r="B457" s="3" t="s">
        <v>14</v>
      </c>
      <c r="C457" s="4">
        <v>41094</v>
      </c>
      <c r="D457" s="5">
        <v>0.54166666666666663</v>
      </c>
      <c r="E457" s="9">
        <v>525</v>
      </c>
      <c r="F457" s="9">
        <v>330</v>
      </c>
      <c r="G457" s="9">
        <v>316</v>
      </c>
      <c r="H457" s="9">
        <v>14</v>
      </c>
      <c r="I457" s="9">
        <v>0</v>
      </c>
    </row>
    <row r="458" spans="1:9" x14ac:dyDescent="0.25">
      <c r="A458" s="3" t="s">
        <v>13</v>
      </c>
      <c r="B458" s="3" t="s">
        <v>14</v>
      </c>
      <c r="C458" s="4">
        <v>41094</v>
      </c>
      <c r="D458" s="5">
        <v>0.5625</v>
      </c>
      <c r="E458" s="9">
        <v>254</v>
      </c>
      <c r="F458" s="9">
        <v>319</v>
      </c>
      <c r="G458" s="9">
        <v>270</v>
      </c>
      <c r="H458" s="9">
        <v>49</v>
      </c>
      <c r="I458" s="9">
        <v>0</v>
      </c>
    </row>
    <row r="459" spans="1:9" x14ac:dyDescent="0.25">
      <c r="A459" s="3" t="s">
        <v>13</v>
      </c>
      <c r="B459" s="3" t="s">
        <v>14</v>
      </c>
      <c r="C459" s="4">
        <v>41094</v>
      </c>
      <c r="D459" s="5">
        <v>0.58333333333333337</v>
      </c>
      <c r="E459" s="9">
        <v>263</v>
      </c>
      <c r="F459" s="9">
        <v>383</v>
      </c>
      <c r="G459" s="9">
        <v>333</v>
      </c>
      <c r="H459" s="9">
        <v>50</v>
      </c>
      <c r="I459" s="9">
        <v>0</v>
      </c>
    </row>
    <row r="460" spans="1:9" x14ac:dyDescent="0.25">
      <c r="A460" s="3" t="s">
        <v>13</v>
      </c>
      <c r="B460" s="3" t="s">
        <v>14</v>
      </c>
      <c r="C460" s="4">
        <v>41094</v>
      </c>
      <c r="D460" s="5">
        <v>0.60416666666666663</v>
      </c>
      <c r="E460" s="9">
        <v>245</v>
      </c>
      <c r="F460" s="9">
        <v>460</v>
      </c>
      <c r="G460" s="9">
        <v>391</v>
      </c>
      <c r="H460" s="9">
        <v>69</v>
      </c>
      <c r="I460" s="9">
        <v>0</v>
      </c>
    </row>
    <row r="461" spans="1:9" x14ac:dyDescent="0.25">
      <c r="A461" s="3" t="s">
        <v>13</v>
      </c>
      <c r="B461" s="3" t="s">
        <v>14</v>
      </c>
      <c r="C461" s="4">
        <v>41094</v>
      </c>
      <c r="D461" s="5">
        <v>0.625</v>
      </c>
      <c r="E461" s="9">
        <v>242</v>
      </c>
      <c r="F461" s="9">
        <v>435</v>
      </c>
      <c r="G461" s="9">
        <v>374</v>
      </c>
      <c r="H461" s="9">
        <v>61</v>
      </c>
      <c r="I461" s="9">
        <v>0</v>
      </c>
    </row>
    <row r="462" spans="1:9" x14ac:dyDescent="0.25">
      <c r="A462" s="3" t="s">
        <v>13</v>
      </c>
      <c r="B462" s="3" t="s">
        <v>14</v>
      </c>
      <c r="C462" s="4">
        <v>41094</v>
      </c>
      <c r="D462" s="5">
        <v>0.64583333333333337</v>
      </c>
      <c r="E462" s="9">
        <v>247</v>
      </c>
      <c r="F462" s="9">
        <v>431</v>
      </c>
      <c r="G462" s="9">
        <v>357</v>
      </c>
      <c r="H462" s="9">
        <v>74</v>
      </c>
      <c r="I462" s="9">
        <v>0</v>
      </c>
    </row>
    <row r="463" spans="1:9" x14ac:dyDescent="0.25">
      <c r="A463" s="3" t="s">
        <v>13</v>
      </c>
      <c r="B463" s="3" t="s">
        <v>14</v>
      </c>
      <c r="C463" s="4">
        <v>41094</v>
      </c>
      <c r="D463" s="5">
        <v>0.66666666666666663</v>
      </c>
      <c r="E463" s="9">
        <v>446</v>
      </c>
      <c r="F463" s="9">
        <v>406</v>
      </c>
      <c r="G463" s="9">
        <v>318</v>
      </c>
      <c r="H463" s="9">
        <v>88</v>
      </c>
      <c r="I463" s="9">
        <v>0</v>
      </c>
    </row>
    <row r="464" spans="1:9" x14ac:dyDescent="0.25">
      <c r="A464" s="3" t="s">
        <v>13</v>
      </c>
      <c r="B464" s="3" t="s">
        <v>14</v>
      </c>
      <c r="C464" s="4">
        <v>41094</v>
      </c>
      <c r="D464" s="5">
        <v>0.6875</v>
      </c>
      <c r="E464" s="9">
        <v>412</v>
      </c>
      <c r="F464" s="9">
        <v>469</v>
      </c>
      <c r="G464" s="9">
        <v>327</v>
      </c>
      <c r="H464" s="9">
        <v>142</v>
      </c>
      <c r="I464" s="9">
        <v>0</v>
      </c>
    </row>
    <row r="465" spans="1:9" x14ac:dyDescent="0.25">
      <c r="A465" s="3" t="s">
        <v>13</v>
      </c>
      <c r="B465" s="3" t="s">
        <v>14</v>
      </c>
      <c r="C465" s="4">
        <v>41094</v>
      </c>
      <c r="D465" s="5">
        <v>0.70833333333333337</v>
      </c>
      <c r="E465" s="9">
        <v>328</v>
      </c>
      <c r="F465" s="9">
        <v>413</v>
      </c>
      <c r="G465" s="9">
        <v>286</v>
      </c>
      <c r="H465" s="9">
        <v>127</v>
      </c>
      <c r="I465" s="9">
        <v>0</v>
      </c>
    </row>
    <row r="466" spans="1:9" x14ac:dyDescent="0.25">
      <c r="A466" s="3" t="s">
        <v>13</v>
      </c>
      <c r="B466" s="3" t="s">
        <v>14</v>
      </c>
      <c r="C466" s="4">
        <v>41094</v>
      </c>
      <c r="D466" s="5">
        <v>0.72916666666666663</v>
      </c>
      <c r="E466" s="9">
        <v>330</v>
      </c>
      <c r="F466" s="9">
        <v>299</v>
      </c>
      <c r="G466" s="9">
        <v>201</v>
      </c>
      <c r="H466" s="9">
        <v>98</v>
      </c>
      <c r="I466" s="9">
        <v>0</v>
      </c>
    </row>
    <row r="467" spans="1:9" x14ac:dyDescent="0.25">
      <c r="A467" s="3" t="s">
        <v>13</v>
      </c>
      <c r="B467" s="3" t="s">
        <v>14</v>
      </c>
      <c r="C467" s="4">
        <v>41094</v>
      </c>
      <c r="D467" s="5">
        <v>0.75</v>
      </c>
      <c r="E467" s="9">
        <v>246</v>
      </c>
      <c r="F467" s="9">
        <v>150</v>
      </c>
      <c r="G467" s="9">
        <v>124</v>
      </c>
      <c r="H467" s="9">
        <v>26</v>
      </c>
      <c r="I467" s="9">
        <v>0</v>
      </c>
    </row>
    <row r="468" spans="1:9" x14ac:dyDescent="0.25">
      <c r="A468" s="3" t="s">
        <v>13</v>
      </c>
      <c r="B468" s="3" t="s">
        <v>14</v>
      </c>
      <c r="C468" s="4">
        <v>41094</v>
      </c>
      <c r="D468" s="5">
        <v>0.77083333333333337</v>
      </c>
      <c r="E468" s="9">
        <v>227</v>
      </c>
      <c r="F468" s="9">
        <v>69</v>
      </c>
      <c r="G468" s="9">
        <v>66</v>
      </c>
      <c r="H468" s="9">
        <v>3</v>
      </c>
      <c r="I468" s="9">
        <v>0</v>
      </c>
    </row>
    <row r="469" spans="1:9" x14ac:dyDescent="0.25">
      <c r="A469" s="3" t="s">
        <v>13</v>
      </c>
      <c r="B469" s="3" t="s">
        <v>14</v>
      </c>
      <c r="C469" s="4">
        <v>41094</v>
      </c>
      <c r="D469" s="5">
        <v>0.79166666666666663</v>
      </c>
      <c r="E469" s="9">
        <v>229</v>
      </c>
      <c r="F469" s="9">
        <v>60</v>
      </c>
      <c r="G469" s="9">
        <v>60</v>
      </c>
      <c r="H469" s="9">
        <v>0</v>
      </c>
      <c r="I469" s="9">
        <v>0</v>
      </c>
    </row>
    <row r="470" spans="1:9" x14ac:dyDescent="0.25">
      <c r="A470" s="3" t="s">
        <v>13</v>
      </c>
      <c r="B470" s="3" t="s">
        <v>14</v>
      </c>
      <c r="C470" s="4">
        <v>41094</v>
      </c>
      <c r="D470" s="5">
        <v>0.8125</v>
      </c>
      <c r="E470" s="9">
        <v>221</v>
      </c>
      <c r="F470" s="9">
        <v>43</v>
      </c>
      <c r="G470" s="9">
        <v>43</v>
      </c>
      <c r="H470" s="9">
        <v>0</v>
      </c>
      <c r="I470" s="9">
        <v>0</v>
      </c>
    </row>
    <row r="471" spans="1:9" x14ac:dyDescent="0.25">
      <c r="A471" s="3" t="s">
        <v>13</v>
      </c>
      <c r="B471" s="3" t="s">
        <v>14</v>
      </c>
      <c r="C471" s="4">
        <v>41095</v>
      </c>
      <c r="D471" s="5">
        <v>0.33333333333333331</v>
      </c>
      <c r="E471" s="9">
        <v>386</v>
      </c>
      <c r="F471" s="9">
        <v>111</v>
      </c>
      <c r="G471" s="9">
        <v>100</v>
      </c>
      <c r="H471" s="9">
        <v>11</v>
      </c>
      <c r="I471" s="9">
        <v>0</v>
      </c>
    </row>
    <row r="472" spans="1:9" x14ac:dyDescent="0.25">
      <c r="A472" s="3" t="s">
        <v>13</v>
      </c>
      <c r="B472" s="3" t="s">
        <v>14</v>
      </c>
      <c r="C472" s="4">
        <v>41095</v>
      </c>
      <c r="D472" s="5">
        <v>0.35416666666666669</v>
      </c>
      <c r="E472" s="9">
        <v>412</v>
      </c>
      <c r="F472" s="9">
        <v>209</v>
      </c>
      <c r="G472" s="9">
        <v>184</v>
      </c>
      <c r="H472" s="9">
        <v>25</v>
      </c>
      <c r="I472" s="9">
        <v>0</v>
      </c>
    </row>
    <row r="473" spans="1:9" x14ac:dyDescent="0.25">
      <c r="A473" s="3" t="s">
        <v>13</v>
      </c>
      <c r="B473" s="3" t="s">
        <v>14</v>
      </c>
      <c r="C473" s="4">
        <v>41095</v>
      </c>
      <c r="D473" s="5">
        <v>0.375</v>
      </c>
      <c r="E473" s="9">
        <v>469</v>
      </c>
      <c r="F473" s="9">
        <v>291</v>
      </c>
      <c r="G473" s="9">
        <v>235</v>
      </c>
      <c r="H473" s="9">
        <v>56</v>
      </c>
      <c r="I473" s="9">
        <v>0</v>
      </c>
    </row>
    <row r="474" spans="1:9" x14ac:dyDescent="0.25">
      <c r="A474" s="3" t="s">
        <v>13</v>
      </c>
      <c r="B474" s="3" t="s">
        <v>14</v>
      </c>
      <c r="C474" s="4">
        <v>41095</v>
      </c>
      <c r="D474" s="5">
        <v>0.39583333333333331</v>
      </c>
      <c r="E474" s="9">
        <v>511</v>
      </c>
      <c r="F474" s="9">
        <v>412</v>
      </c>
      <c r="G474" s="9">
        <v>327</v>
      </c>
      <c r="H474" s="9">
        <v>85</v>
      </c>
      <c r="I474" s="9">
        <v>0</v>
      </c>
    </row>
    <row r="475" spans="1:9" x14ac:dyDescent="0.25">
      <c r="A475" s="3" t="s">
        <v>13</v>
      </c>
      <c r="B475" s="3" t="s">
        <v>14</v>
      </c>
      <c r="C475" s="4">
        <v>41095</v>
      </c>
      <c r="D475" s="5">
        <v>0.41666666666666669</v>
      </c>
      <c r="E475" s="9">
        <v>337</v>
      </c>
      <c r="F475" s="9">
        <v>471</v>
      </c>
      <c r="G475" s="9">
        <v>395</v>
      </c>
      <c r="H475" s="9">
        <v>76</v>
      </c>
      <c r="I475" s="9">
        <v>0</v>
      </c>
    </row>
    <row r="476" spans="1:9" x14ac:dyDescent="0.25">
      <c r="A476" s="3" t="s">
        <v>13</v>
      </c>
      <c r="B476" s="3" t="s">
        <v>14</v>
      </c>
      <c r="C476" s="4">
        <v>41095</v>
      </c>
      <c r="D476" s="5">
        <v>0.4375</v>
      </c>
      <c r="E476" s="9">
        <v>339</v>
      </c>
      <c r="F476" s="9">
        <v>473</v>
      </c>
      <c r="G476" s="9">
        <v>395</v>
      </c>
      <c r="H476" s="9">
        <v>78</v>
      </c>
      <c r="I476" s="9">
        <v>0</v>
      </c>
    </row>
    <row r="477" spans="1:9" x14ac:dyDescent="0.25">
      <c r="A477" s="3" t="s">
        <v>13</v>
      </c>
      <c r="B477" s="3" t="s">
        <v>14</v>
      </c>
      <c r="C477" s="4">
        <v>41095</v>
      </c>
      <c r="D477" s="5">
        <v>0.45833333333333331</v>
      </c>
      <c r="E477" s="9">
        <v>353</v>
      </c>
      <c r="F477" s="9">
        <v>505</v>
      </c>
      <c r="G477" s="9">
        <v>377</v>
      </c>
      <c r="H477" s="9">
        <v>128</v>
      </c>
      <c r="I477" s="9">
        <v>0</v>
      </c>
    </row>
    <row r="478" spans="1:9" x14ac:dyDescent="0.25">
      <c r="A478" s="3" t="s">
        <v>13</v>
      </c>
      <c r="B478" s="3" t="s">
        <v>14</v>
      </c>
      <c r="C478" s="4">
        <v>41095</v>
      </c>
      <c r="D478" s="5">
        <v>0.47916666666666669</v>
      </c>
      <c r="E478" s="9">
        <v>564</v>
      </c>
      <c r="F478" s="9">
        <v>437</v>
      </c>
      <c r="G478" s="9">
        <v>361</v>
      </c>
      <c r="H478" s="9">
        <v>76</v>
      </c>
      <c r="I478" s="9">
        <v>0</v>
      </c>
    </row>
    <row r="479" spans="1:9" x14ac:dyDescent="0.25">
      <c r="A479" s="3" t="s">
        <v>13</v>
      </c>
      <c r="B479" s="3" t="s">
        <v>14</v>
      </c>
      <c r="C479" s="4">
        <v>41095</v>
      </c>
      <c r="D479" s="5">
        <v>0.5</v>
      </c>
      <c r="E479" s="9">
        <v>510</v>
      </c>
      <c r="F479" s="9">
        <v>354</v>
      </c>
      <c r="G479" s="9">
        <v>328</v>
      </c>
      <c r="H479" s="9">
        <v>26</v>
      </c>
      <c r="I479" s="9">
        <v>0</v>
      </c>
    </row>
    <row r="480" spans="1:9" x14ac:dyDescent="0.25">
      <c r="A480" s="3" t="s">
        <v>13</v>
      </c>
      <c r="B480" s="3" t="s">
        <v>14</v>
      </c>
      <c r="C480" s="4">
        <v>41095</v>
      </c>
      <c r="D480" s="5">
        <v>0.52083333333333337</v>
      </c>
      <c r="E480" s="9">
        <v>477</v>
      </c>
      <c r="F480" s="9">
        <v>244</v>
      </c>
      <c r="G480" s="9">
        <v>244</v>
      </c>
      <c r="H480" s="9">
        <v>0</v>
      </c>
      <c r="I480" s="9">
        <v>0</v>
      </c>
    </row>
    <row r="481" spans="1:9" x14ac:dyDescent="0.25">
      <c r="A481" s="3" t="s">
        <v>13</v>
      </c>
      <c r="B481" s="3" t="s">
        <v>14</v>
      </c>
      <c r="C481" s="4">
        <v>41095</v>
      </c>
      <c r="D481" s="5">
        <v>0.54166666666666663</v>
      </c>
      <c r="E481" s="9">
        <v>489</v>
      </c>
      <c r="F481" s="9">
        <v>249</v>
      </c>
      <c r="G481" s="9">
        <v>246</v>
      </c>
      <c r="H481" s="9">
        <v>3</v>
      </c>
      <c r="I481" s="9">
        <v>0</v>
      </c>
    </row>
    <row r="482" spans="1:9" x14ac:dyDescent="0.25">
      <c r="A482" s="3" t="s">
        <v>13</v>
      </c>
      <c r="B482" s="3" t="s">
        <v>14</v>
      </c>
      <c r="C482" s="4">
        <v>41095</v>
      </c>
      <c r="D482" s="5">
        <v>0.5625</v>
      </c>
      <c r="E482" s="9">
        <v>516</v>
      </c>
      <c r="F482" s="9">
        <v>280</v>
      </c>
      <c r="G482" s="9">
        <v>263</v>
      </c>
      <c r="H482" s="9">
        <v>17</v>
      </c>
      <c r="I482" s="9">
        <v>0</v>
      </c>
    </row>
    <row r="483" spans="1:9" x14ac:dyDescent="0.25">
      <c r="A483" s="3" t="s">
        <v>13</v>
      </c>
      <c r="B483" s="3" t="s">
        <v>14</v>
      </c>
      <c r="C483" s="4">
        <v>41095</v>
      </c>
      <c r="D483" s="5">
        <v>0.58333333333333337</v>
      </c>
      <c r="E483" s="9">
        <v>522</v>
      </c>
      <c r="F483" s="9">
        <v>365</v>
      </c>
      <c r="G483" s="9">
        <v>284</v>
      </c>
      <c r="H483" s="9">
        <v>81</v>
      </c>
      <c r="I483" s="9">
        <v>0</v>
      </c>
    </row>
    <row r="484" spans="1:9" x14ac:dyDescent="0.25">
      <c r="A484" s="3" t="s">
        <v>13</v>
      </c>
      <c r="B484" s="3" t="s">
        <v>14</v>
      </c>
      <c r="C484" s="4">
        <v>41095</v>
      </c>
      <c r="D484" s="5">
        <v>0.60416666666666663</v>
      </c>
      <c r="E484" s="9">
        <v>513</v>
      </c>
      <c r="F484" s="9">
        <v>347</v>
      </c>
      <c r="G484" s="9">
        <v>315</v>
      </c>
      <c r="H484" s="9">
        <v>32</v>
      </c>
      <c r="I484" s="9">
        <v>0</v>
      </c>
    </row>
    <row r="485" spans="1:9" x14ac:dyDescent="0.25">
      <c r="A485" s="3" t="s">
        <v>13</v>
      </c>
      <c r="B485" s="3" t="s">
        <v>14</v>
      </c>
      <c r="C485" s="4">
        <v>41095</v>
      </c>
      <c r="D485" s="5">
        <v>0.625</v>
      </c>
      <c r="E485" s="9">
        <v>507</v>
      </c>
      <c r="F485" s="9">
        <v>383</v>
      </c>
      <c r="G485" s="9">
        <v>344</v>
      </c>
      <c r="H485" s="9">
        <v>39</v>
      </c>
      <c r="I485" s="9">
        <v>0</v>
      </c>
    </row>
    <row r="486" spans="1:9" x14ac:dyDescent="0.25">
      <c r="A486" s="3" t="s">
        <v>13</v>
      </c>
      <c r="B486" s="3" t="s">
        <v>14</v>
      </c>
      <c r="C486" s="4">
        <v>41095</v>
      </c>
      <c r="D486" s="5">
        <v>0.64583333333333337</v>
      </c>
      <c r="E486" s="9">
        <v>403</v>
      </c>
      <c r="F486" s="9">
        <v>403</v>
      </c>
      <c r="G486" s="9">
        <v>332</v>
      </c>
      <c r="H486" s="9">
        <v>71</v>
      </c>
      <c r="I486" s="9">
        <v>0</v>
      </c>
    </row>
    <row r="487" spans="1:9" x14ac:dyDescent="0.25">
      <c r="A487" s="3" t="s">
        <v>13</v>
      </c>
      <c r="B487" s="3" t="s">
        <v>14</v>
      </c>
      <c r="C487" s="4">
        <v>41095</v>
      </c>
      <c r="D487" s="5">
        <v>0.66666666666666663</v>
      </c>
      <c r="E487" s="9">
        <v>351</v>
      </c>
      <c r="F487" s="9">
        <v>425</v>
      </c>
      <c r="G487" s="9">
        <v>330</v>
      </c>
      <c r="H487" s="9">
        <v>95</v>
      </c>
      <c r="I487" s="9">
        <v>0</v>
      </c>
    </row>
    <row r="488" spans="1:9" x14ac:dyDescent="0.25">
      <c r="A488" s="3" t="s">
        <v>13</v>
      </c>
      <c r="B488" s="3" t="s">
        <v>14</v>
      </c>
      <c r="C488" s="4">
        <v>41095</v>
      </c>
      <c r="D488" s="5">
        <v>0.6875</v>
      </c>
      <c r="E488" s="9">
        <v>337</v>
      </c>
      <c r="F488" s="9">
        <v>423</v>
      </c>
      <c r="G488" s="9">
        <v>296</v>
      </c>
      <c r="H488" s="9">
        <v>127</v>
      </c>
      <c r="I488" s="9">
        <v>0</v>
      </c>
    </row>
    <row r="489" spans="1:9" x14ac:dyDescent="0.25">
      <c r="A489" s="3" t="s">
        <v>13</v>
      </c>
      <c r="B489" s="3" t="s">
        <v>14</v>
      </c>
      <c r="C489" s="4">
        <v>41095</v>
      </c>
      <c r="D489" s="5">
        <v>0.70833333333333337</v>
      </c>
      <c r="E489" s="9">
        <v>292</v>
      </c>
      <c r="F489" s="9">
        <v>383</v>
      </c>
      <c r="G489" s="9">
        <v>252</v>
      </c>
      <c r="H489" s="9">
        <v>131</v>
      </c>
      <c r="I489" s="9">
        <v>0</v>
      </c>
    </row>
    <row r="490" spans="1:9" x14ac:dyDescent="0.25">
      <c r="A490" s="3" t="s">
        <v>13</v>
      </c>
      <c r="B490" s="3" t="s">
        <v>14</v>
      </c>
      <c r="C490" s="4">
        <v>41095</v>
      </c>
      <c r="D490" s="5">
        <v>0.72916666666666663</v>
      </c>
      <c r="E490" s="9">
        <v>308</v>
      </c>
      <c r="F490" s="9">
        <v>293</v>
      </c>
      <c r="G490" s="9">
        <v>191</v>
      </c>
      <c r="H490" s="9">
        <v>102</v>
      </c>
      <c r="I490" s="9">
        <v>0</v>
      </c>
    </row>
    <row r="491" spans="1:9" x14ac:dyDescent="0.25">
      <c r="A491" s="3" t="s">
        <v>13</v>
      </c>
      <c r="B491" s="3" t="s">
        <v>14</v>
      </c>
      <c r="C491" s="4">
        <v>41095</v>
      </c>
      <c r="D491" s="5">
        <v>0.75</v>
      </c>
      <c r="E491" s="9">
        <v>248</v>
      </c>
      <c r="F491" s="9">
        <v>135</v>
      </c>
      <c r="G491" s="9">
        <v>104</v>
      </c>
      <c r="H491" s="9">
        <v>31</v>
      </c>
      <c r="I491" s="9">
        <v>0</v>
      </c>
    </row>
    <row r="492" spans="1:9" x14ac:dyDescent="0.25">
      <c r="A492" s="3" t="s">
        <v>13</v>
      </c>
      <c r="B492" s="3" t="s">
        <v>14</v>
      </c>
      <c r="C492" s="4">
        <v>41095</v>
      </c>
      <c r="D492" s="5">
        <v>0.77083333333333337</v>
      </c>
      <c r="E492" s="9">
        <v>239</v>
      </c>
      <c r="F492" s="9">
        <v>71</v>
      </c>
      <c r="G492" s="9">
        <v>66</v>
      </c>
      <c r="H492" s="9">
        <v>5</v>
      </c>
      <c r="I492" s="9">
        <v>0</v>
      </c>
    </row>
    <row r="493" spans="1:9" x14ac:dyDescent="0.25">
      <c r="A493" s="3" t="s">
        <v>13</v>
      </c>
      <c r="B493" s="3" t="s">
        <v>14</v>
      </c>
      <c r="C493" s="4">
        <v>41095</v>
      </c>
      <c r="D493" s="5">
        <v>0.79166666666666663</v>
      </c>
      <c r="E493" s="9">
        <v>239</v>
      </c>
      <c r="F493" s="9">
        <v>47</v>
      </c>
      <c r="G493" s="9">
        <v>44</v>
      </c>
      <c r="H493" s="9">
        <v>3</v>
      </c>
      <c r="I493" s="9">
        <v>0</v>
      </c>
    </row>
    <row r="494" spans="1:9" x14ac:dyDescent="0.25">
      <c r="A494" s="3" t="s">
        <v>13</v>
      </c>
      <c r="B494" s="3" t="s">
        <v>14</v>
      </c>
      <c r="C494" s="4">
        <v>41095</v>
      </c>
      <c r="D494" s="5">
        <v>0.8125</v>
      </c>
      <c r="E494" s="9">
        <v>223</v>
      </c>
      <c r="F494" s="9">
        <v>38</v>
      </c>
      <c r="G494" s="9">
        <v>37</v>
      </c>
      <c r="H494" s="9">
        <v>1</v>
      </c>
      <c r="I494" s="9">
        <v>0</v>
      </c>
    </row>
  </sheetData>
  <mergeCells count="2">
    <mergeCell ref="A4:I4"/>
    <mergeCell ref="A1:I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10">
    <tabColor theme="5" tint="0.59999389629810485"/>
  </sheetPr>
  <dimension ref="A1:S1330"/>
  <sheetViews>
    <sheetView showGridLines="0" workbookViewId="0">
      <selection sqref="A1:O1"/>
    </sheetView>
  </sheetViews>
  <sheetFormatPr defaultRowHeight="15" x14ac:dyDescent="0.25"/>
  <cols>
    <col min="1" max="2" width="18" bestFit="1" customWidth="1"/>
    <col min="3" max="3" width="4.7109375" bestFit="1" customWidth="1"/>
    <col min="4" max="4" width="16.42578125" bestFit="1" customWidth="1"/>
    <col min="5" max="5" width="5.7109375" customWidth="1"/>
    <col min="6" max="6" width="11.85546875" bestFit="1" customWidth="1"/>
    <col min="7" max="7" width="5.5703125" bestFit="1" customWidth="1"/>
    <col min="8" max="8" width="26.85546875" bestFit="1" customWidth="1"/>
    <col min="9" max="9" width="5.7109375" customWidth="1"/>
    <col min="10" max="10" width="11.85546875" bestFit="1" customWidth="1"/>
    <col min="11" max="11" width="5.5703125" bestFit="1" customWidth="1"/>
    <col min="12" max="12" width="11" bestFit="1" customWidth="1"/>
    <col min="13" max="13" width="14.140625" bestFit="1" customWidth="1"/>
    <col min="14" max="14" width="5.7109375" customWidth="1"/>
    <col min="15" max="15" width="12" bestFit="1" customWidth="1"/>
    <col min="16" max="16" width="16.42578125" bestFit="1" customWidth="1"/>
    <col min="17" max="17" width="24.42578125" bestFit="1" customWidth="1"/>
    <col min="18" max="18" width="11" bestFit="1" customWidth="1"/>
    <col min="19" max="19" width="14.140625" bestFit="1" customWidth="1"/>
  </cols>
  <sheetData>
    <row r="1" spans="1:19" ht="57" customHeight="1" thickBot="1" x14ac:dyDescent="0.3">
      <c r="A1" s="163" t="s">
        <v>1431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5"/>
    </row>
    <row r="3" spans="1:19" ht="15.75" thickBot="1" x14ac:dyDescent="0.3">
      <c r="A3" s="13" t="s">
        <v>18</v>
      </c>
    </row>
    <row r="4" spans="1:19" ht="68.25" customHeight="1" thickBot="1" x14ac:dyDescent="0.3">
      <c r="A4" s="157" t="s">
        <v>1445</v>
      </c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9"/>
    </row>
    <row r="6" spans="1:19" x14ac:dyDescent="0.25">
      <c r="A6" s="13" t="s">
        <v>17</v>
      </c>
      <c r="F6" s="13" t="s">
        <v>1351</v>
      </c>
      <c r="J6" s="13" t="s">
        <v>1352</v>
      </c>
      <c r="O6" s="13" t="s">
        <v>1353</v>
      </c>
    </row>
    <row r="7" spans="1:19" x14ac:dyDescent="0.25">
      <c r="A7" s="27" t="s">
        <v>45</v>
      </c>
      <c r="B7" s="27" t="s">
        <v>46</v>
      </c>
      <c r="C7" s="27" t="s">
        <v>44</v>
      </c>
      <c r="D7" s="27" t="s">
        <v>1</v>
      </c>
      <c r="F7" s="27" t="s">
        <v>45</v>
      </c>
      <c r="G7" s="27" t="s">
        <v>47</v>
      </c>
      <c r="H7" s="27" t="s">
        <v>48</v>
      </c>
      <c r="J7" s="27" t="s">
        <v>45</v>
      </c>
      <c r="K7" s="27" t="s">
        <v>47</v>
      </c>
      <c r="L7" s="27" t="s">
        <v>9</v>
      </c>
      <c r="M7" s="27" t="s">
        <v>2</v>
      </c>
      <c r="O7" s="27" t="s">
        <v>0</v>
      </c>
      <c r="P7" s="27" t="s">
        <v>1</v>
      </c>
      <c r="Q7" s="27" t="s">
        <v>48</v>
      </c>
      <c r="R7" s="27" t="s">
        <v>9</v>
      </c>
      <c r="S7" s="27" t="s">
        <v>2</v>
      </c>
    </row>
    <row r="8" spans="1:19" x14ac:dyDescent="0.25">
      <c r="A8" s="32">
        <v>1</v>
      </c>
      <c r="B8" s="32">
        <v>1</v>
      </c>
      <c r="C8" s="32">
        <v>1</v>
      </c>
      <c r="D8" s="28" t="s">
        <v>7</v>
      </c>
      <c r="F8" s="32">
        <v>1</v>
      </c>
      <c r="G8" s="32">
        <v>1</v>
      </c>
      <c r="H8" s="28" t="s">
        <v>49</v>
      </c>
      <c r="J8" s="29">
        <v>1</v>
      </c>
      <c r="K8" s="29">
        <v>12</v>
      </c>
      <c r="L8" s="30">
        <v>41172</v>
      </c>
      <c r="M8" s="31">
        <v>3383</v>
      </c>
      <c r="O8" s="28" t="s">
        <v>6</v>
      </c>
      <c r="P8" s="28" t="s">
        <v>7</v>
      </c>
      <c r="Q8" s="28" t="s">
        <v>253</v>
      </c>
      <c r="R8" s="30">
        <v>41172</v>
      </c>
      <c r="S8" s="31">
        <v>4682</v>
      </c>
    </row>
    <row r="9" spans="1:19" x14ac:dyDescent="0.25">
      <c r="A9" s="32">
        <v>2</v>
      </c>
      <c r="B9" s="32">
        <v>1</v>
      </c>
      <c r="C9" s="32">
        <v>2</v>
      </c>
      <c r="D9" s="28" t="s">
        <v>8</v>
      </c>
      <c r="F9" s="32">
        <v>1</v>
      </c>
      <c r="G9" s="32">
        <v>2</v>
      </c>
      <c r="H9" s="28" t="s">
        <v>50</v>
      </c>
      <c r="J9" s="29">
        <v>1</v>
      </c>
      <c r="K9" s="29">
        <v>266</v>
      </c>
      <c r="L9" s="30">
        <v>41172</v>
      </c>
      <c r="M9" s="31">
        <v>4674</v>
      </c>
      <c r="O9" s="28" t="s">
        <v>6</v>
      </c>
      <c r="P9" s="28" t="s">
        <v>7</v>
      </c>
      <c r="Q9" s="28" t="s">
        <v>250</v>
      </c>
      <c r="R9" s="30">
        <v>41172</v>
      </c>
      <c r="S9" s="31">
        <v>4773</v>
      </c>
    </row>
    <row r="10" spans="1:19" x14ac:dyDescent="0.25">
      <c r="A10" s="32">
        <v>3</v>
      </c>
      <c r="B10" s="32">
        <v>2</v>
      </c>
      <c r="C10" s="32">
        <v>1</v>
      </c>
      <c r="D10" s="28" t="s">
        <v>12</v>
      </c>
      <c r="F10" s="32">
        <v>1</v>
      </c>
      <c r="G10" s="32">
        <v>3</v>
      </c>
      <c r="H10" s="28" t="s">
        <v>51</v>
      </c>
      <c r="J10" s="29">
        <v>1</v>
      </c>
      <c r="K10" s="29">
        <v>325</v>
      </c>
      <c r="L10" s="30">
        <v>41172</v>
      </c>
      <c r="M10" s="31">
        <v>3389</v>
      </c>
      <c r="O10" s="28" t="s">
        <v>6</v>
      </c>
      <c r="P10" s="28" t="s">
        <v>7</v>
      </c>
      <c r="Q10" s="28" t="s">
        <v>251</v>
      </c>
      <c r="R10" s="30">
        <v>41172</v>
      </c>
      <c r="S10" s="31">
        <v>5101</v>
      </c>
    </row>
    <row r="11" spans="1:19" x14ac:dyDescent="0.25">
      <c r="A11" s="32">
        <v>4</v>
      </c>
      <c r="B11" s="32">
        <v>3</v>
      </c>
      <c r="C11" s="32">
        <v>1</v>
      </c>
      <c r="D11" s="28" t="s">
        <v>14</v>
      </c>
      <c r="F11" s="32">
        <v>1</v>
      </c>
      <c r="G11" s="32">
        <v>4</v>
      </c>
      <c r="H11" s="28" t="s">
        <v>52</v>
      </c>
      <c r="J11" s="29">
        <v>1</v>
      </c>
      <c r="K11" s="29">
        <v>466</v>
      </c>
      <c r="L11" s="30">
        <v>41172</v>
      </c>
      <c r="M11" s="31">
        <v>13589</v>
      </c>
      <c r="O11" s="28" t="s">
        <v>6</v>
      </c>
      <c r="P11" s="28" t="s">
        <v>7</v>
      </c>
      <c r="Q11" s="28" t="s">
        <v>201</v>
      </c>
      <c r="R11" s="30">
        <v>41172</v>
      </c>
      <c r="S11" s="31">
        <v>5049</v>
      </c>
    </row>
    <row r="12" spans="1:19" x14ac:dyDescent="0.25">
      <c r="F12" s="32">
        <v>1</v>
      </c>
      <c r="G12" s="32">
        <v>5</v>
      </c>
      <c r="H12" s="28" t="s">
        <v>53</v>
      </c>
      <c r="J12" s="29">
        <v>1</v>
      </c>
      <c r="K12" s="29">
        <v>471</v>
      </c>
      <c r="L12" s="30">
        <v>41172</v>
      </c>
      <c r="M12" s="31">
        <v>14197</v>
      </c>
      <c r="O12" s="28" t="s">
        <v>6</v>
      </c>
      <c r="P12" s="28" t="s">
        <v>7</v>
      </c>
      <c r="Q12" s="28" t="s">
        <v>178</v>
      </c>
      <c r="R12" s="30">
        <v>41172</v>
      </c>
      <c r="S12" s="31">
        <v>14197</v>
      </c>
    </row>
    <row r="13" spans="1:19" x14ac:dyDescent="0.25">
      <c r="F13" s="32">
        <v>1</v>
      </c>
      <c r="G13" s="32">
        <v>6</v>
      </c>
      <c r="H13" s="28" t="s">
        <v>54</v>
      </c>
      <c r="J13" s="29">
        <v>1</v>
      </c>
      <c r="K13" s="29">
        <v>473</v>
      </c>
      <c r="L13" s="30">
        <v>41172</v>
      </c>
      <c r="M13" s="31">
        <v>5613</v>
      </c>
      <c r="O13" s="28" t="s">
        <v>6</v>
      </c>
      <c r="P13" s="28" t="s">
        <v>7</v>
      </c>
      <c r="Q13" s="28" t="s">
        <v>180</v>
      </c>
      <c r="R13" s="30">
        <v>41172</v>
      </c>
      <c r="S13" s="31">
        <v>5613</v>
      </c>
    </row>
    <row r="14" spans="1:19" x14ac:dyDescent="0.25">
      <c r="F14" s="32">
        <v>1</v>
      </c>
      <c r="G14" s="32">
        <v>7</v>
      </c>
      <c r="H14" s="28" t="s">
        <v>55</v>
      </c>
      <c r="J14" s="29">
        <v>1</v>
      </c>
      <c r="K14" s="29">
        <v>474</v>
      </c>
      <c r="L14" s="30">
        <v>41172</v>
      </c>
      <c r="M14" s="31">
        <v>12441</v>
      </c>
      <c r="O14" s="28" t="s">
        <v>6</v>
      </c>
      <c r="P14" s="28" t="s">
        <v>7</v>
      </c>
      <c r="Q14" s="28" t="s">
        <v>181</v>
      </c>
      <c r="R14" s="30">
        <v>41172</v>
      </c>
      <c r="S14" s="31">
        <v>12441</v>
      </c>
    </row>
    <row r="15" spans="1:19" x14ac:dyDescent="0.25">
      <c r="A15" s="13" t="s">
        <v>16</v>
      </c>
      <c r="F15" s="32">
        <v>1</v>
      </c>
      <c r="G15" s="32">
        <v>8</v>
      </c>
      <c r="H15" s="28" t="s">
        <v>56</v>
      </c>
      <c r="J15" s="29">
        <v>1</v>
      </c>
      <c r="K15" s="29">
        <v>477</v>
      </c>
      <c r="L15" s="30">
        <v>41172</v>
      </c>
      <c r="M15" s="31">
        <v>4029</v>
      </c>
      <c r="O15" s="28" t="s">
        <v>6</v>
      </c>
      <c r="P15" s="28" t="s">
        <v>7</v>
      </c>
      <c r="Q15" s="28" t="s">
        <v>185</v>
      </c>
      <c r="R15" s="30">
        <v>41172</v>
      </c>
      <c r="S15" s="31">
        <v>5107</v>
      </c>
    </row>
    <row r="16" spans="1:19" x14ac:dyDescent="0.25">
      <c r="A16" s="27" t="s">
        <v>46</v>
      </c>
      <c r="B16" s="27" t="s">
        <v>0</v>
      </c>
      <c r="F16" s="32">
        <v>1</v>
      </c>
      <c r="G16" s="32">
        <v>9</v>
      </c>
      <c r="H16" s="28" t="s">
        <v>57</v>
      </c>
      <c r="J16" s="29">
        <v>1</v>
      </c>
      <c r="K16" s="29">
        <v>478</v>
      </c>
      <c r="L16" s="30">
        <v>41172</v>
      </c>
      <c r="M16" s="31">
        <v>5107</v>
      </c>
      <c r="O16" s="28" t="s">
        <v>6</v>
      </c>
      <c r="P16" s="28" t="s">
        <v>7</v>
      </c>
      <c r="Q16" s="28" t="s">
        <v>175</v>
      </c>
      <c r="R16" s="30">
        <v>41172</v>
      </c>
      <c r="S16" s="31">
        <v>13589</v>
      </c>
    </row>
    <row r="17" spans="1:19" x14ac:dyDescent="0.25">
      <c r="A17" s="32">
        <v>1</v>
      </c>
      <c r="B17" s="28" t="s">
        <v>6</v>
      </c>
      <c r="F17" s="32">
        <v>1</v>
      </c>
      <c r="G17" s="32">
        <v>10</v>
      </c>
      <c r="H17" s="28" t="s">
        <v>58</v>
      </c>
      <c r="J17" s="29">
        <v>1</v>
      </c>
      <c r="K17" s="29">
        <v>482</v>
      </c>
      <c r="L17" s="30">
        <v>41172</v>
      </c>
      <c r="M17" s="31">
        <v>6807</v>
      </c>
      <c r="O17" s="28" t="s">
        <v>6</v>
      </c>
      <c r="P17" s="28" t="s">
        <v>7</v>
      </c>
      <c r="Q17" s="28" t="s">
        <v>184</v>
      </c>
      <c r="R17" s="30">
        <v>41172</v>
      </c>
      <c r="S17" s="31">
        <v>4029</v>
      </c>
    </row>
    <row r="18" spans="1:19" x14ac:dyDescent="0.25">
      <c r="A18" s="32">
        <v>2</v>
      </c>
      <c r="B18" s="28" t="s">
        <v>11</v>
      </c>
      <c r="F18" s="32">
        <v>1</v>
      </c>
      <c r="G18" s="32">
        <v>11</v>
      </c>
      <c r="H18" s="28" t="s">
        <v>59</v>
      </c>
      <c r="J18" s="29">
        <v>1</v>
      </c>
      <c r="K18" s="29">
        <v>506</v>
      </c>
      <c r="L18" s="30">
        <v>41172</v>
      </c>
      <c r="M18" s="31">
        <v>5049</v>
      </c>
      <c r="O18" s="28" t="s">
        <v>6</v>
      </c>
      <c r="P18" s="28" t="s">
        <v>7</v>
      </c>
      <c r="Q18" s="28" t="s">
        <v>189</v>
      </c>
      <c r="R18" s="30">
        <v>41172</v>
      </c>
      <c r="S18" s="31">
        <v>6807</v>
      </c>
    </row>
    <row r="19" spans="1:19" x14ac:dyDescent="0.25">
      <c r="A19" s="32">
        <v>3</v>
      </c>
      <c r="B19" s="28" t="s">
        <v>13</v>
      </c>
      <c r="F19" s="32">
        <v>1</v>
      </c>
      <c r="G19" s="32">
        <v>12</v>
      </c>
      <c r="H19" s="28" t="s">
        <v>60</v>
      </c>
      <c r="J19" s="29">
        <v>1</v>
      </c>
      <c r="K19" s="29">
        <v>614</v>
      </c>
      <c r="L19" s="30">
        <v>41172</v>
      </c>
      <c r="M19" s="31">
        <v>4773</v>
      </c>
      <c r="O19" s="28" t="s">
        <v>6</v>
      </c>
      <c r="P19" s="28" t="s">
        <v>7</v>
      </c>
      <c r="Q19" s="28" t="s">
        <v>290</v>
      </c>
      <c r="R19" s="30">
        <v>41172</v>
      </c>
      <c r="S19" s="31">
        <v>7631</v>
      </c>
    </row>
    <row r="20" spans="1:19" x14ac:dyDescent="0.25">
      <c r="F20" s="32">
        <v>1</v>
      </c>
      <c r="G20" s="32">
        <v>13</v>
      </c>
      <c r="H20" s="28" t="s">
        <v>61</v>
      </c>
      <c r="J20" s="29">
        <v>1</v>
      </c>
      <c r="K20" s="29">
        <v>615</v>
      </c>
      <c r="L20" s="30">
        <v>41172</v>
      </c>
      <c r="M20" s="31">
        <v>5101</v>
      </c>
      <c r="O20" s="28" t="s">
        <v>6</v>
      </c>
      <c r="P20" s="28" t="s">
        <v>7</v>
      </c>
      <c r="Q20" s="28" t="s">
        <v>145</v>
      </c>
      <c r="R20" s="30">
        <v>41172</v>
      </c>
      <c r="S20" s="31">
        <v>4674</v>
      </c>
    </row>
    <row r="21" spans="1:19" x14ac:dyDescent="0.25">
      <c r="F21" s="32">
        <v>1</v>
      </c>
      <c r="G21" s="32">
        <v>14</v>
      </c>
      <c r="H21" s="28" t="s">
        <v>62</v>
      </c>
      <c r="J21" s="29">
        <v>1</v>
      </c>
      <c r="K21" s="29">
        <v>617</v>
      </c>
      <c r="L21" s="30">
        <v>41172</v>
      </c>
      <c r="M21" s="31">
        <v>4682</v>
      </c>
      <c r="O21" s="28" t="s">
        <v>6</v>
      </c>
      <c r="P21" s="28" t="s">
        <v>7</v>
      </c>
      <c r="Q21" s="28" t="s">
        <v>60</v>
      </c>
      <c r="R21" s="30">
        <v>41172</v>
      </c>
      <c r="S21" s="31">
        <v>3383</v>
      </c>
    </row>
    <row r="22" spans="1:19" x14ac:dyDescent="0.25">
      <c r="F22" s="32">
        <v>1</v>
      </c>
      <c r="G22" s="32">
        <v>16</v>
      </c>
      <c r="H22" s="28" t="s">
        <v>63</v>
      </c>
      <c r="J22" s="29">
        <v>1</v>
      </c>
      <c r="K22" s="29">
        <v>937</v>
      </c>
      <c r="L22" s="30">
        <v>41172</v>
      </c>
      <c r="M22" s="31">
        <v>7631</v>
      </c>
      <c r="O22" s="28" t="s">
        <v>6</v>
      </c>
      <c r="P22" s="28" t="s">
        <v>7</v>
      </c>
      <c r="Q22" s="28" t="s">
        <v>168</v>
      </c>
      <c r="R22" s="30">
        <v>41172</v>
      </c>
      <c r="S22" s="31">
        <v>3389</v>
      </c>
    </row>
    <row r="23" spans="1:19" x14ac:dyDescent="0.25">
      <c r="F23" s="32">
        <v>1</v>
      </c>
      <c r="G23" s="32">
        <v>18</v>
      </c>
      <c r="H23" s="28" t="s">
        <v>64</v>
      </c>
      <c r="J23" s="29">
        <v>2</v>
      </c>
      <c r="K23" s="29">
        <v>319</v>
      </c>
      <c r="L23" s="30">
        <v>41172</v>
      </c>
      <c r="M23" s="31">
        <v>3295</v>
      </c>
      <c r="O23" s="28" t="s">
        <v>6</v>
      </c>
      <c r="P23" s="28" t="s">
        <v>8</v>
      </c>
      <c r="Q23" s="28" t="s">
        <v>607</v>
      </c>
      <c r="R23" s="30">
        <v>41172</v>
      </c>
      <c r="S23" s="31">
        <v>4404</v>
      </c>
    </row>
    <row r="24" spans="1:19" x14ac:dyDescent="0.25">
      <c r="F24" s="32">
        <v>1</v>
      </c>
      <c r="G24" s="32">
        <v>21</v>
      </c>
      <c r="H24" s="28" t="s">
        <v>65</v>
      </c>
      <c r="J24" s="29">
        <v>2</v>
      </c>
      <c r="K24" s="29">
        <v>426</v>
      </c>
      <c r="L24" s="30">
        <v>41172</v>
      </c>
      <c r="M24" s="31">
        <v>3993</v>
      </c>
      <c r="O24" s="28" t="s">
        <v>6</v>
      </c>
      <c r="P24" s="28" t="s">
        <v>8</v>
      </c>
      <c r="Q24" s="28" t="s">
        <v>707</v>
      </c>
      <c r="R24" s="30">
        <v>41172</v>
      </c>
      <c r="S24" s="31">
        <v>7046</v>
      </c>
    </row>
    <row r="25" spans="1:19" x14ac:dyDescent="0.25">
      <c r="F25" s="32">
        <v>1</v>
      </c>
      <c r="G25" s="32">
        <v>22</v>
      </c>
      <c r="H25" s="28" t="s">
        <v>66</v>
      </c>
      <c r="J25" s="29">
        <v>2</v>
      </c>
      <c r="K25" s="29">
        <v>525</v>
      </c>
      <c r="L25" s="30">
        <v>41172</v>
      </c>
      <c r="M25" s="31">
        <v>7393</v>
      </c>
      <c r="O25" s="28" t="s">
        <v>6</v>
      </c>
      <c r="P25" s="28" t="s">
        <v>8</v>
      </c>
      <c r="Q25" s="28" t="s">
        <v>618</v>
      </c>
      <c r="R25" s="30">
        <v>41172</v>
      </c>
      <c r="S25" s="31">
        <v>7405</v>
      </c>
    </row>
    <row r="26" spans="1:19" x14ac:dyDescent="0.25">
      <c r="F26" s="32">
        <v>1</v>
      </c>
      <c r="G26" s="32">
        <v>23</v>
      </c>
      <c r="H26" s="28" t="s">
        <v>67</v>
      </c>
      <c r="J26" s="29">
        <v>2</v>
      </c>
      <c r="K26" s="29">
        <v>530</v>
      </c>
      <c r="L26" s="30">
        <v>41172</v>
      </c>
      <c r="M26" s="31">
        <v>4404</v>
      </c>
      <c r="O26" s="28" t="s">
        <v>6</v>
      </c>
      <c r="P26" s="28" t="s">
        <v>8</v>
      </c>
      <c r="Q26" s="28" t="s">
        <v>631</v>
      </c>
      <c r="R26" s="30">
        <v>41172</v>
      </c>
      <c r="S26" s="31">
        <v>3938</v>
      </c>
    </row>
    <row r="27" spans="1:19" x14ac:dyDescent="0.25">
      <c r="F27" s="32">
        <v>1</v>
      </c>
      <c r="G27" s="32">
        <v>24</v>
      </c>
      <c r="H27" s="28" t="s">
        <v>68</v>
      </c>
      <c r="J27" s="29">
        <v>2</v>
      </c>
      <c r="K27" s="29">
        <v>546</v>
      </c>
      <c r="L27" s="30">
        <v>41172</v>
      </c>
      <c r="M27" s="31">
        <v>7405</v>
      </c>
      <c r="O27" s="28" t="s">
        <v>6</v>
      </c>
      <c r="P27" s="28" t="s">
        <v>8</v>
      </c>
      <c r="Q27" s="28" t="s">
        <v>638</v>
      </c>
      <c r="R27" s="30">
        <v>41172</v>
      </c>
      <c r="S27" s="31">
        <v>3866</v>
      </c>
    </row>
    <row r="28" spans="1:19" x14ac:dyDescent="0.25">
      <c r="F28" s="32">
        <v>1</v>
      </c>
      <c r="G28" s="32">
        <v>25</v>
      </c>
      <c r="H28" s="28" t="s">
        <v>69</v>
      </c>
      <c r="J28" s="29">
        <v>2</v>
      </c>
      <c r="K28" s="29">
        <v>557</v>
      </c>
      <c r="L28" s="30">
        <v>41172</v>
      </c>
      <c r="M28" s="31">
        <v>37177</v>
      </c>
      <c r="O28" s="28" t="s">
        <v>6</v>
      </c>
      <c r="P28" s="28" t="s">
        <v>8</v>
      </c>
      <c r="Q28" s="28" t="s">
        <v>469</v>
      </c>
      <c r="R28" s="30">
        <v>41172</v>
      </c>
      <c r="S28" s="31">
        <v>3295</v>
      </c>
    </row>
    <row r="29" spans="1:19" x14ac:dyDescent="0.25">
      <c r="F29" s="32">
        <v>1</v>
      </c>
      <c r="G29" s="32">
        <v>32</v>
      </c>
      <c r="H29" s="28" t="s">
        <v>70</v>
      </c>
      <c r="J29" s="29">
        <v>2</v>
      </c>
      <c r="K29" s="29">
        <v>560</v>
      </c>
      <c r="L29" s="30">
        <v>41172</v>
      </c>
      <c r="M29" s="31">
        <v>3938</v>
      </c>
      <c r="O29" s="28" t="s">
        <v>6</v>
      </c>
      <c r="P29" s="28" t="s">
        <v>8</v>
      </c>
      <c r="Q29" s="28" t="s">
        <v>628</v>
      </c>
      <c r="R29" s="30">
        <v>41172</v>
      </c>
      <c r="S29" s="31">
        <v>37177</v>
      </c>
    </row>
    <row r="30" spans="1:19" x14ac:dyDescent="0.25">
      <c r="F30" s="32">
        <v>1</v>
      </c>
      <c r="G30" s="32">
        <v>34</v>
      </c>
      <c r="H30" s="28" t="s">
        <v>71</v>
      </c>
      <c r="J30" s="29">
        <v>2</v>
      </c>
      <c r="K30" s="29">
        <v>569</v>
      </c>
      <c r="L30" s="30">
        <v>41172</v>
      </c>
      <c r="M30" s="31">
        <v>3866</v>
      </c>
      <c r="O30" s="28" t="s">
        <v>6</v>
      </c>
      <c r="P30" s="28" t="s">
        <v>8</v>
      </c>
      <c r="Q30" s="28" t="s">
        <v>533</v>
      </c>
      <c r="R30" s="30">
        <v>41172</v>
      </c>
      <c r="S30" s="31">
        <v>3993</v>
      </c>
    </row>
    <row r="31" spans="1:19" x14ac:dyDescent="0.25">
      <c r="F31" s="32">
        <v>1</v>
      </c>
      <c r="G31" s="32">
        <v>35</v>
      </c>
      <c r="H31" s="28" t="s">
        <v>72</v>
      </c>
      <c r="J31" s="29">
        <v>2</v>
      </c>
      <c r="K31" s="29">
        <v>653</v>
      </c>
      <c r="L31" s="30">
        <v>41172</v>
      </c>
      <c r="M31" s="31">
        <v>7046</v>
      </c>
      <c r="O31" s="28" t="s">
        <v>6</v>
      </c>
      <c r="P31" s="28" t="s">
        <v>8</v>
      </c>
      <c r="Q31" s="28" t="s">
        <v>602</v>
      </c>
      <c r="R31" s="30">
        <v>41172</v>
      </c>
      <c r="S31" s="31">
        <v>7393</v>
      </c>
    </row>
    <row r="32" spans="1:19" x14ac:dyDescent="0.25">
      <c r="F32" s="32">
        <v>1</v>
      </c>
      <c r="G32" s="32">
        <v>36</v>
      </c>
      <c r="H32" s="28" t="s">
        <v>73</v>
      </c>
      <c r="J32" s="29">
        <v>3</v>
      </c>
      <c r="K32" s="29">
        <v>323</v>
      </c>
      <c r="L32" s="30">
        <v>41172</v>
      </c>
      <c r="M32" s="31">
        <v>4075</v>
      </c>
      <c r="O32" s="28" t="s">
        <v>11</v>
      </c>
      <c r="P32" s="28" t="s">
        <v>12</v>
      </c>
      <c r="Q32" s="28" t="s">
        <v>871</v>
      </c>
      <c r="R32" s="30">
        <v>41172</v>
      </c>
      <c r="S32" s="31">
        <v>3764</v>
      </c>
    </row>
    <row r="33" spans="6:19" x14ac:dyDescent="0.25">
      <c r="F33" s="32">
        <v>1</v>
      </c>
      <c r="G33" s="32">
        <v>38</v>
      </c>
      <c r="H33" s="28" t="s">
        <v>74</v>
      </c>
      <c r="J33" s="29">
        <v>3</v>
      </c>
      <c r="K33" s="29">
        <v>324</v>
      </c>
      <c r="L33" s="30">
        <v>41172</v>
      </c>
      <c r="M33" s="31">
        <v>12156</v>
      </c>
      <c r="O33" s="28" t="s">
        <v>11</v>
      </c>
      <c r="P33" s="28" t="s">
        <v>12</v>
      </c>
      <c r="Q33" s="28" t="s">
        <v>876</v>
      </c>
      <c r="R33" s="30">
        <v>41172</v>
      </c>
      <c r="S33" s="31">
        <v>5367</v>
      </c>
    </row>
    <row r="34" spans="6:19" x14ac:dyDescent="0.25">
      <c r="F34" s="32">
        <v>1</v>
      </c>
      <c r="G34" s="32">
        <v>39</v>
      </c>
      <c r="H34" s="28" t="s">
        <v>75</v>
      </c>
      <c r="J34" s="29">
        <v>3</v>
      </c>
      <c r="K34" s="29">
        <v>528</v>
      </c>
      <c r="L34" s="30">
        <v>41172</v>
      </c>
      <c r="M34" s="31">
        <v>3764</v>
      </c>
      <c r="O34" s="28" t="s">
        <v>11</v>
      </c>
      <c r="P34" s="28" t="s">
        <v>12</v>
      </c>
      <c r="Q34" s="28" t="s">
        <v>925</v>
      </c>
      <c r="R34" s="30">
        <v>41172</v>
      </c>
      <c r="S34" s="31">
        <v>23819</v>
      </c>
    </row>
    <row r="35" spans="6:19" x14ac:dyDescent="0.25">
      <c r="F35" s="32">
        <v>1</v>
      </c>
      <c r="G35" s="32">
        <v>40</v>
      </c>
      <c r="H35" s="28" t="s">
        <v>76</v>
      </c>
      <c r="J35" s="29">
        <v>3</v>
      </c>
      <c r="K35" s="29">
        <v>533</v>
      </c>
      <c r="L35" s="30">
        <v>41172</v>
      </c>
      <c r="M35" s="31">
        <v>5367</v>
      </c>
      <c r="O35" s="28" t="s">
        <v>11</v>
      </c>
      <c r="P35" s="28" t="s">
        <v>12</v>
      </c>
      <c r="Q35" s="28" t="s">
        <v>846</v>
      </c>
      <c r="R35" s="30">
        <v>41172</v>
      </c>
      <c r="S35" s="31">
        <v>4075</v>
      </c>
    </row>
    <row r="36" spans="6:19" x14ac:dyDescent="0.25">
      <c r="F36" s="32">
        <v>1</v>
      </c>
      <c r="G36" s="32">
        <v>42</v>
      </c>
      <c r="H36" s="28" t="s">
        <v>77</v>
      </c>
      <c r="J36" s="29">
        <v>3</v>
      </c>
      <c r="K36" s="29">
        <v>600</v>
      </c>
      <c r="L36" s="30">
        <v>41172</v>
      </c>
      <c r="M36" s="31">
        <v>23819</v>
      </c>
      <c r="O36" s="28" t="s">
        <v>11</v>
      </c>
      <c r="P36" s="28" t="s">
        <v>12</v>
      </c>
      <c r="Q36" s="28" t="s">
        <v>847</v>
      </c>
      <c r="R36" s="30">
        <v>41172</v>
      </c>
      <c r="S36" s="31">
        <v>12156</v>
      </c>
    </row>
    <row r="37" spans="6:19" x14ac:dyDescent="0.25">
      <c r="F37" s="32">
        <v>1</v>
      </c>
      <c r="G37" s="32">
        <v>45</v>
      </c>
      <c r="H37" s="28" t="s">
        <v>78</v>
      </c>
      <c r="J37" s="29">
        <v>4</v>
      </c>
      <c r="K37" s="29">
        <v>542</v>
      </c>
      <c r="L37" s="30">
        <v>41172</v>
      </c>
      <c r="M37" s="31">
        <v>3118</v>
      </c>
      <c r="O37" s="28" t="s">
        <v>13</v>
      </c>
      <c r="P37" s="28" t="s">
        <v>14</v>
      </c>
      <c r="Q37" s="28" t="s">
        <v>1346</v>
      </c>
      <c r="R37" s="30">
        <v>41172</v>
      </c>
      <c r="S37" s="31">
        <v>3118</v>
      </c>
    </row>
    <row r="38" spans="6:19" x14ac:dyDescent="0.25">
      <c r="F38" s="32">
        <v>1</v>
      </c>
      <c r="G38" s="32">
        <v>47</v>
      </c>
      <c r="H38" s="28" t="s">
        <v>79</v>
      </c>
    </row>
    <row r="39" spans="6:19" x14ac:dyDescent="0.25">
      <c r="F39" s="32">
        <v>1</v>
      </c>
      <c r="G39" s="32">
        <v>49</v>
      </c>
      <c r="H39" s="28" t="s">
        <v>80</v>
      </c>
      <c r="O39" s="111"/>
      <c r="P39" s="111"/>
      <c r="Q39" s="111"/>
      <c r="R39" s="111"/>
      <c r="S39" s="111"/>
    </row>
    <row r="40" spans="6:19" x14ac:dyDescent="0.25">
      <c r="F40" s="32">
        <v>1</v>
      </c>
      <c r="G40" s="32">
        <v>50</v>
      </c>
      <c r="H40" s="28" t="s">
        <v>81</v>
      </c>
      <c r="O40" s="112"/>
      <c r="P40" s="112"/>
      <c r="Q40" s="112"/>
      <c r="R40" s="113"/>
      <c r="S40" s="114"/>
    </row>
    <row r="41" spans="6:19" x14ac:dyDescent="0.25">
      <c r="F41" s="32">
        <v>1</v>
      </c>
      <c r="G41" s="32">
        <v>53</v>
      </c>
      <c r="H41" s="28" t="s">
        <v>82</v>
      </c>
      <c r="O41" s="112"/>
      <c r="P41" s="112"/>
      <c r="Q41" s="112"/>
      <c r="R41" s="113"/>
      <c r="S41" s="114"/>
    </row>
    <row r="42" spans="6:19" x14ac:dyDescent="0.25">
      <c r="F42" s="32">
        <v>1</v>
      </c>
      <c r="G42" s="32">
        <v>54</v>
      </c>
      <c r="H42" s="28" t="s">
        <v>83</v>
      </c>
      <c r="O42" s="112"/>
      <c r="P42" s="112"/>
      <c r="Q42" s="112"/>
      <c r="R42" s="113"/>
      <c r="S42" s="114"/>
    </row>
    <row r="43" spans="6:19" x14ac:dyDescent="0.25">
      <c r="F43" s="32">
        <v>1</v>
      </c>
      <c r="G43" s="32">
        <v>57</v>
      </c>
      <c r="H43" s="28" t="s">
        <v>84</v>
      </c>
      <c r="O43" s="112"/>
      <c r="P43" s="112"/>
      <c r="Q43" s="112"/>
      <c r="R43" s="113"/>
      <c r="S43" s="114"/>
    </row>
    <row r="44" spans="6:19" x14ac:dyDescent="0.25">
      <c r="F44" s="32">
        <v>1</v>
      </c>
      <c r="G44" s="32">
        <v>59</v>
      </c>
      <c r="H44" s="28" t="s">
        <v>85</v>
      </c>
      <c r="O44" s="112"/>
      <c r="P44" s="112"/>
      <c r="Q44" s="112"/>
      <c r="R44" s="113"/>
      <c r="S44" s="114"/>
    </row>
    <row r="45" spans="6:19" x14ac:dyDescent="0.25">
      <c r="F45" s="32">
        <v>1</v>
      </c>
      <c r="G45" s="32">
        <v>60</v>
      </c>
      <c r="H45" s="28" t="s">
        <v>86</v>
      </c>
      <c r="O45" s="112"/>
      <c r="P45" s="112"/>
      <c r="Q45" s="112"/>
      <c r="R45" s="113"/>
      <c r="S45" s="114"/>
    </row>
    <row r="46" spans="6:19" x14ac:dyDescent="0.25">
      <c r="F46" s="32">
        <v>1</v>
      </c>
      <c r="G46" s="32">
        <v>61</v>
      </c>
      <c r="H46" s="28" t="s">
        <v>87</v>
      </c>
      <c r="O46" s="112"/>
      <c r="P46" s="112"/>
      <c r="Q46" s="112"/>
      <c r="R46" s="113"/>
      <c r="S46" s="114"/>
    </row>
    <row r="47" spans="6:19" x14ac:dyDescent="0.25">
      <c r="F47" s="32">
        <v>1</v>
      </c>
      <c r="G47" s="32">
        <v>62</v>
      </c>
      <c r="H47" s="28" t="s">
        <v>88</v>
      </c>
      <c r="O47" s="112"/>
      <c r="P47" s="112"/>
      <c r="Q47" s="112"/>
      <c r="R47" s="113"/>
      <c r="S47" s="114"/>
    </row>
    <row r="48" spans="6:19" x14ac:dyDescent="0.25">
      <c r="F48" s="32">
        <v>1</v>
      </c>
      <c r="G48" s="32">
        <v>63</v>
      </c>
      <c r="H48" s="28" t="s">
        <v>89</v>
      </c>
      <c r="O48" s="112"/>
      <c r="P48" s="112"/>
      <c r="Q48" s="112"/>
      <c r="R48" s="113"/>
      <c r="S48" s="114"/>
    </row>
    <row r="49" spans="6:19" x14ac:dyDescent="0.25">
      <c r="F49" s="32">
        <v>1</v>
      </c>
      <c r="G49" s="32">
        <v>64</v>
      </c>
      <c r="H49" s="28" t="s">
        <v>90</v>
      </c>
      <c r="O49" s="112"/>
      <c r="P49" s="112"/>
      <c r="Q49" s="112"/>
      <c r="R49" s="113"/>
      <c r="S49" s="114"/>
    </row>
    <row r="50" spans="6:19" x14ac:dyDescent="0.25">
      <c r="F50" s="32">
        <v>1</v>
      </c>
      <c r="G50" s="32">
        <v>65</v>
      </c>
      <c r="H50" s="28" t="s">
        <v>91</v>
      </c>
      <c r="O50" s="112"/>
      <c r="P50" s="112"/>
      <c r="Q50" s="112"/>
      <c r="R50" s="113"/>
      <c r="S50" s="114"/>
    </row>
    <row r="51" spans="6:19" x14ac:dyDescent="0.25">
      <c r="F51" s="32">
        <v>1</v>
      </c>
      <c r="G51" s="32">
        <v>66</v>
      </c>
      <c r="H51" s="28" t="s">
        <v>92</v>
      </c>
      <c r="O51" s="112"/>
      <c r="P51" s="112"/>
      <c r="Q51" s="112"/>
      <c r="R51" s="113"/>
      <c r="S51" s="114"/>
    </row>
    <row r="52" spans="6:19" x14ac:dyDescent="0.25">
      <c r="F52" s="32">
        <v>1</v>
      </c>
      <c r="G52" s="32">
        <v>67</v>
      </c>
      <c r="H52" s="28" t="s">
        <v>93</v>
      </c>
      <c r="O52" s="112"/>
      <c r="P52" s="112"/>
      <c r="Q52" s="112"/>
      <c r="R52" s="113"/>
      <c r="S52" s="114"/>
    </row>
    <row r="53" spans="6:19" x14ac:dyDescent="0.25">
      <c r="F53" s="32">
        <v>1</v>
      </c>
      <c r="G53" s="32">
        <v>68</v>
      </c>
      <c r="H53" s="28" t="s">
        <v>94</v>
      </c>
      <c r="O53" s="112"/>
      <c r="P53" s="112"/>
      <c r="Q53" s="112"/>
      <c r="R53" s="113"/>
      <c r="S53" s="114"/>
    </row>
    <row r="54" spans="6:19" x14ac:dyDescent="0.25">
      <c r="F54" s="32">
        <v>1</v>
      </c>
      <c r="G54" s="32">
        <v>69</v>
      </c>
      <c r="H54" s="28" t="s">
        <v>95</v>
      </c>
      <c r="O54" s="112"/>
      <c r="P54" s="112"/>
      <c r="Q54" s="112"/>
      <c r="R54" s="113"/>
      <c r="S54" s="114"/>
    </row>
    <row r="55" spans="6:19" x14ac:dyDescent="0.25">
      <c r="F55" s="32">
        <v>1</v>
      </c>
      <c r="G55" s="32">
        <v>70</v>
      </c>
      <c r="H55" s="28" t="s">
        <v>96</v>
      </c>
      <c r="O55" s="112"/>
      <c r="P55" s="112"/>
      <c r="Q55" s="112"/>
      <c r="R55" s="113"/>
      <c r="S55" s="114"/>
    </row>
    <row r="56" spans="6:19" x14ac:dyDescent="0.25">
      <c r="F56" s="32">
        <v>1</v>
      </c>
      <c r="G56" s="32">
        <v>73</v>
      </c>
      <c r="H56" s="28" t="s">
        <v>97</v>
      </c>
      <c r="O56" s="112"/>
      <c r="P56" s="112"/>
      <c r="Q56" s="112"/>
      <c r="R56" s="113"/>
      <c r="S56" s="114"/>
    </row>
    <row r="57" spans="6:19" x14ac:dyDescent="0.25">
      <c r="F57" s="32">
        <v>1</v>
      </c>
      <c r="G57" s="32">
        <v>74</v>
      </c>
      <c r="H57" s="28" t="s">
        <v>98</v>
      </c>
      <c r="O57" s="112"/>
      <c r="P57" s="112"/>
      <c r="Q57" s="112"/>
      <c r="R57" s="113"/>
      <c r="S57" s="114"/>
    </row>
    <row r="58" spans="6:19" x14ac:dyDescent="0.25">
      <c r="F58" s="32">
        <v>1</v>
      </c>
      <c r="G58" s="32">
        <v>81</v>
      </c>
      <c r="H58" s="28" t="s">
        <v>99</v>
      </c>
      <c r="O58" s="112"/>
      <c r="P58" s="112"/>
      <c r="Q58" s="112"/>
      <c r="R58" s="113"/>
      <c r="S58" s="114"/>
    </row>
    <row r="59" spans="6:19" x14ac:dyDescent="0.25">
      <c r="F59" s="32">
        <v>1</v>
      </c>
      <c r="G59" s="32">
        <v>85</v>
      </c>
      <c r="H59" s="28" t="s">
        <v>100</v>
      </c>
      <c r="O59" s="112"/>
      <c r="P59" s="112"/>
      <c r="Q59" s="112"/>
      <c r="R59" s="113"/>
      <c r="S59" s="114"/>
    </row>
    <row r="60" spans="6:19" x14ac:dyDescent="0.25">
      <c r="F60" s="32">
        <v>1</v>
      </c>
      <c r="G60" s="32">
        <v>91</v>
      </c>
      <c r="H60" s="28" t="s">
        <v>101</v>
      </c>
      <c r="O60" s="112"/>
      <c r="P60" s="112"/>
      <c r="Q60" s="112"/>
      <c r="R60" s="113"/>
      <c r="S60" s="114"/>
    </row>
    <row r="61" spans="6:19" x14ac:dyDescent="0.25">
      <c r="F61" s="32">
        <v>1</v>
      </c>
      <c r="G61" s="32">
        <v>94</v>
      </c>
      <c r="H61" s="28" t="s">
        <v>102</v>
      </c>
      <c r="O61" s="112"/>
      <c r="P61" s="112"/>
      <c r="Q61" s="112"/>
      <c r="R61" s="113"/>
      <c r="S61" s="114"/>
    </row>
    <row r="62" spans="6:19" x14ac:dyDescent="0.25">
      <c r="F62" s="32">
        <v>1</v>
      </c>
      <c r="G62" s="32">
        <v>99</v>
      </c>
      <c r="H62" s="28" t="s">
        <v>103</v>
      </c>
      <c r="O62" s="112"/>
      <c r="P62" s="112"/>
      <c r="Q62" s="112"/>
      <c r="R62" s="113"/>
      <c r="S62" s="114"/>
    </row>
    <row r="63" spans="6:19" x14ac:dyDescent="0.25">
      <c r="F63" s="32">
        <v>1</v>
      </c>
      <c r="G63" s="32">
        <v>100</v>
      </c>
      <c r="H63" s="28" t="s">
        <v>104</v>
      </c>
      <c r="O63" s="112"/>
      <c r="P63" s="112"/>
      <c r="Q63" s="112"/>
      <c r="R63" s="113"/>
      <c r="S63" s="114"/>
    </row>
    <row r="64" spans="6:19" x14ac:dyDescent="0.25">
      <c r="F64" s="32">
        <v>1</v>
      </c>
      <c r="G64" s="32">
        <v>101</v>
      </c>
      <c r="H64" s="28" t="s">
        <v>105</v>
      </c>
      <c r="O64" s="112"/>
      <c r="P64" s="112"/>
      <c r="Q64" s="112"/>
      <c r="R64" s="113"/>
      <c r="S64" s="114"/>
    </row>
    <row r="65" spans="6:19" x14ac:dyDescent="0.25">
      <c r="F65" s="32">
        <v>1</v>
      </c>
      <c r="G65" s="32">
        <v>102</v>
      </c>
      <c r="H65" s="28" t="s">
        <v>106</v>
      </c>
      <c r="O65" s="112"/>
      <c r="P65" s="112"/>
      <c r="Q65" s="112"/>
      <c r="R65" s="113"/>
      <c r="S65" s="114"/>
    </row>
    <row r="66" spans="6:19" x14ac:dyDescent="0.25">
      <c r="F66" s="32">
        <v>1</v>
      </c>
      <c r="G66" s="32">
        <v>103</v>
      </c>
      <c r="H66" s="28" t="s">
        <v>107</v>
      </c>
      <c r="O66" s="112"/>
      <c r="P66" s="112"/>
      <c r="Q66" s="112"/>
      <c r="R66" s="113"/>
      <c r="S66" s="114"/>
    </row>
    <row r="67" spans="6:19" x14ac:dyDescent="0.25">
      <c r="F67" s="32">
        <v>1</v>
      </c>
      <c r="G67" s="32">
        <v>104</v>
      </c>
      <c r="H67" s="28" t="s">
        <v>108</v>
      </c>
      <c r="O67" s="112"/>
      <c r="P67" s="112"/>
      <c r="Q67" s="112"/>
      <c r="R67" s="113"/>
      <c r="S67" s="114"/>
    </row>
    <row r="68" spans="6:19" x14ac:dyDescent="0.25">
      <c r="F68" s="32">
        <v>1</v>
      </c>
      <c r="G68" s="32">
        <v>105</v>
      </c>
      <c r="H68" s="28" t="s">
        <v>109</v>
      </c>
      <c r="O68" s="112"/>
      <c r="P68" s="112"/>
      <c r="Q68" s="112"/>
      <c r="R68" s="113"/>
      <c r="S68" s="114"/>
    </row>
    <row r="69" spans="6:19" x14ac:dyDescent="0.25">
      <c r="F69" s="32">
        <v>1</v>
      </c>
      <c r="G69" s="32">
        <v>106</v>
      </c>
      <c r="H69" s="28" t="s">
        <v>110</v>
      </c>
      <c r="O69" s="112"/>
      <c r="P69" s="112"/>
      <c r="Q69" s="112"/>
      <c r="R69" s="113"/>
      <c r="S69" s="114"/>
    </row>
    <row r="70" spans="6:19" x14ac:dyDescent="0.25">
      <c r="F70" s="32">
        <v>1</v>
      </c>
      <c r="G70" s="32">
        <v>107</v>
      </c>
      <c r="H70" s="28" t="s">
        <v>111</v>
      </c>
    </row>
    <row r="71" spans="6:19" x14ac:dyDescent="0.25">
      <c r="F71" s="32">
        <v>1</v>
      </c>
      <c r="G71" s="32">
        <v>108</v>
      </c>
      <c r="H71" s="28" t="s">
        <v>112</v>
      </c>
    </row>
    <row r="72" spans="6:19" x14ac:dyDescent="0.25">
      <c r="F72" s="32">
        <v>1</v>
      </c>
      <c r="G72" s="32">
        <v>114</v>
      </c>
      <c r="H72" s="28" t="s">
        <v>113</v>
      </c>
    </row>
    <row r="73" spans="6:19" x14ac:dyDescent="0.25">
      <c r="F73" s="32">
        <v>1</v>
      </c>
      <c r="G73" s="32">
        <v>116</v>
      </c>
      <c r="H73" s="28" t="s">
        <v>114</v>
      </c>
    </row>
    <row r="74" spans="6:19" x14ac:dyDescent="0.25">
      <c r="F74" s="32">
        <v>1</v>
      </c>
      <c r="G74" s="32">
        <v>119</v>
      </c>
      <c r="H74" s="28" t="s">
        <v>115</v>
      </c>
    </row>
    <row r="75" spans="6:19" x14ac:dyDescent="0.25">
      <c r="F75" s="32">
        <v>1</v>
      </c>
      <c r="G75" s="32">
        <v>120</v>
      </c>
      <c r="H75" s="28" t="s">
        <v>116</v>
      </c>
    </row>
    <row r="76" spans="6:19" x14ac:dyDescent="0.25">
      <c r="F76" s="32">
        <v>1</v>
      </c>
      <c r="G76" s="32">
        <v>122</v>
      </c>
      <c r="H76" s="28" t="s">
        <v>117</v>
      </c>
    </row>
    <row r="77" spans="6:19" x14ac:dyDescent="0.25">
      <c r="F77" s="32">
        <v>1</v>
      </c>
      <c r="G77" s="32">
        <v>126</v>
      </c>
      <c r="H77" s="28" t="s">
        <v>118</v>
      </c>
    </row>
    <row r="78" spans="6:19" x14ac:dyDescent="0.25">
      <c r="F78" s="32">
        <v>1</v>
      </c>
      <c r="G78" s="32">
        <v>127</v>
      </c>
      <c r="H78" s="28" t="s">
        <v>119</v>
      </c>
    </row>
    <row r="79" spans="6:19" x14ac:dyDescent="0.25">
      <c r="F79" s="32">
        <v>1</v>
      </c>
      <c r="G79" s="32">
        <v>130</v>
      </c>
      <c r="H79" s="28" t="s">
        <v>120</v>
      </c>
    </row>
    <row r="80" spans="6:19" x14ac:dyDescent="0.25">
      <c r="F80" s="32">
        <v>1</v>
      </c>
      <c r="G80" s="32">
        <v>131</v>
      </c>
      <c r="H80" s="28" t="s">
        <v>121</v>
      </c>
    </row>
    <row r="81" spans="6:8" x14ac:dyDescent="0.25">
      <c r="F81" s="32">
        <v>1</v>
      </c>
      <c r="G81" s="32">
        <v>141</v>
      </c>
      <c r="H81" s="28" t="s">
        <v>122</v>
      </c>
    </row>
    <row r="82" spans="6:8" x14ac:dyDescent="0.25">
      <c r="F82" s="32">
        <v>1</v>
      </c>
      <c r="G82" s="32">
        <v>147</v>
      </c>
      <c r="H82" s="28" t="s">
        <v>123</v>
      </c>
    </row>
    <row r="83" spans="6:8" x14ac:dyDescent="0.25">
      <c r="F83" s="32">
        <v>1</v>
      </c>
      <c r="G83" s="32">
        <v>148</v>
      </c>
      <c r="H83" s="28" t="s">
        <v>124</v>
      </c>
    </row>
    <row r="84" spans="6:8" x14ac:dyDescent="0.25">
      <c r="F84" s="32">
        <v>1</v>
      </c>
      <c r="G84" s="32">
        <v>149</v>
      </c>
      <c r="H84" s="28" t="s">
        <v>125</v>
      </c>
    </row>
    <row r="85" spans="6:8" x14ac:dyDescent="0.25">
      <c r="F85" s="32">
        <v>1</v>
      </c>
      <c r="G85" s="32">
        <v>150</v>
      </c>
      <c r="H85" s="28" t="s">
        <v>126</v>
      </c>
    </row>
    <row r="86" spans="6:8" x14ac:dyDescent="0.25">
      <c r="F86" s="32">
        <v>1</v>
      </c>
      <c r="G86" s="32">
        <v>151</v>
      </c>
      <c r="H86" s="28" t="s">
        <v>127</v>
      </c>
    </row>
    <row r="87" spans="6:8" x14ac:dyDescent="0.25">
      <c r="F87" s="32">
        <v>1</v>
      </c>
      <c r="G87" s="32">
        <v>152</v>
      </c>
      <c r="H87" s="28" t="s">
        <v>128</v>
      </c>
    </row>
    <row r="88" spans="6:8" x14ac:dyDescent="0.25">
      <c r="F88" s="32">
        <v>1</v>
      </c>
      <c r="G88" s="32">
        <v>153</v>
      </c>
      <c r="H88" s="28" t="s">
        <v>129</v>
      </c>
    </row>
    <row r="89" spans="6:8" x14ac:dyDescent="0.25">
      <c r="F89" s="32">
        <v>1</v>
      </c>
      <c r="G89" s="32">
        <v>154</v>
      </c>
      <c r="H89" s="28" t="s">
        <v>130</v>
      </c>
    </row>
    <row r="90" spans="6:8" x14ac:dyDescent="0.25">
      <c r="F90" s="32">
        <v>1</v>
      </c>
      <c r="G90" s="32">
        <v>155</v>
      </c>
      <c r="H90" s="28" t="s">
        <v>131</v>
      </c>
    </row>
    <row r="91" spans="6:8" x14ac:dyDescent="0.25">
      <c r="F91" s="32">
        <v>1</v>
      </c>
      <c r="G91" s="32">
        <v>156</v>
      </c>
      <c r="H91" s="28" t="s">
        <v>132</v>
      </c>
    </row>
    <row r="92" spans="6:8" x14ac:dyDescent="0.25">
      <c r="F92" s="32">
        <v>1</v>
      </c>
      <c r="G92" s="32">
        <v>158</v>
      </c>
      <c r="H92" s="28" t="s">
        <v>133</v>
      </c>
    </row>
    <row r="93" spans="6:8" x14ac:dyDescent="0.25">
      <c r="F93" s="32">
        <v>1</v>
      </c>
      <c r="G93" s="32">
        <v>170</v>
      </c>
      <c r="H93" s="28" t="s">
        <v>134</v>
      </c>
    </row>
    <row r="94" spans="6:8" x14ac:dyDescent="0.25">
      <c r="F94" s="32">
        <v>1</v>
      </c>
      <c r="G94" s="32">
        <v>191</v>
      </c>
      <c r="H94" s="28" t="s">
        <v>135</v>
      </c>
    </row>
    <row r="95" spans="6:8" x14ac:dyDescent="0.25">
      <c r="F95" s="32">
        <v>1</v>
      </c>
      <c r="G95" s="32">
        <v>193</v>
      </c>
      <c r="H95" s="28" t="s">
        <v>136</v>
      </c>
    </row>
    <row r="96" spans="6:8" x14ac:dyDescent="0.25">
      <c r="F96" s="32">
        <v>1</v>
      </c>
      <c r="G96" s="32">
        <v>194</v>
      </c>
      <c r="H96" s="28" t="s">
        <v>137</v>
      </c>
    </row>
    <row r="97" spans="6:8" x14ac:dyDescent="0.25">
      <c r="F97" s="32">
        <v>1</v>
      </c>
      <c r="G97" s="32">
        <v>195</v>
      </c>
      <c r="H97" s="28" t="s">
        <v>138</v>
      </c>
    </row>
    <row r="98" spans="6:8" x14ac:dyDescent="0.25">
      <c r="F98" s="32">
        <v>1</v>
      </c>
      <c r="G98" s="32">
        <v>198</v>
      </c>
      <c r="H98" s="28" t="s">
        <v>139</v>
      </c>
    </row>
    <row r="99" spans="6:8" x14ac:dyDescent="0.25">
      <c r="F99" s="32">
        <v>1</v>
      </c>
      <c r="G99" s="32">
        <v>209</v>
      </c>
      <c r="H99" s="28" t="s">
        <v>140</v>
      </c>
    </row>
    <row r="100" spans="6:8" x14ac:dyDescent="0.25">
      <c r="F100" s="32">
        <v>1</v>
      </c>
      <c r="G100" s="32">
        <v>210</v>
      </c>
      <c r="H100" s="28" t="s">
        <v>141</v>
      </c>
    </row>
    <row r="101" spans="6:8" x14ac:dyDescent="0.25">
      <c r="F101" s="32">
        <v>1</v>
      </c>
      <c r="G101" s="32">
        <v>250</v>
      </c>
      <c r="H101" s="28" t="s">
        <v>142</v>
      </c>
    </row>
    <row r="102" spans="6:8" x14ac:dyDescent="0.25">
      <c r="F102" s="32">
        <v>1</v>
      </c>
      <c r="G102" s="32">
        <v>251</v>
      </c>
      <c r="H102" s="28" t="s">
        <v>143</v>
      </c>
    </row>
    <row r="103" spans="6:8" x14ac:dyDescent="0.25">
      <c r="F103" s="32">
        <v>1</v>
      </c>
      <c r="G103" s="32">
        <v>265</v>
      </c>
      <c r="H103" s="28" t="s">
        <v>144</v>
      </c>
    </row>
    <row r="104" spans="6:8" x14ac:dyDescent="0.25">
      <c r="F104" s="32">
        <v>1</v>
      </c>
      <c r="G104" s="32">
        <v>266</v>
      </c>
      <c r="H104" s="28" t="s">
        <v>145</v>
      </c>
    </row>
    <row r="105" spans="6:8" x14ac:dyDescent="0.25">
      <c r="F105" s="32">
        <v>1</v>
      </c>
      <c r="G105" s="32">
        <v>300</v>
      </c>
      <c r="H105" s="28" t="s">
        <v>146</v>
      </c>
    </row>
    <row r="106" spans="6:8" x14ac:dyDescent="0.25">
      <c r="F106" s="32">
        <v>1</v>
      </c>
      <c r="G106" s="32">
        <v>301</v>
      </c>
      <c r="H106" s="28" t="s">
        <v>147</v>
      </c>
    </row>
    <row r="107" spans="6:8" x14ac:dyDescent="0.25">
      <c r="F107" s="32">
        <v>1</v>
      </c>
      <c r="G107" s="32">
        <v>304</v>
      </c>
      <c r="H107" s="28" t="s">
        <v>148</v>
      </c>
    </row>
    <row r="108" spans="6:8" x14ac:dyDescent="0.25">
      <c r="F108" s="32">
        <v>1</v>
      </c>
      <c r="G108" s="32">
        <v>305</v>
      </c>
      <c r="H108" s="28" t="s">
        <v>149</v>
      </c>
    </row>
    <row r="109" spans="6:8" x14ac:dyDescent="0.25">
      <c r="F109" s="32">
        <v>1</v>
      </c>
      <c r="G109" s="32">
        <v>306</v>
      </c>
      <c r="H109" s="28" t="s">
        <v>150</v>
      </c>
    </row>
    <row r="110" spans="6:8" x14ac:dyDescent="0.25">
      <c r="F110" s="32">
        <v>1</v>
      </c>
      <c r="G110" s="32">
        <v>307</v>
      </c>
      <c r="H110" s="28" t="s">
        <v>151</v>
      </c>
    </row>
    <row r="111" spans="6:8" x14ac:dyDescent="0.25">
      <c r="F111" s="32">
        <v>1</v>
      </c>
      <c r="G111" s="32">
        <v>308</v>
      </c>
      <c r="H111" s="28" t="s">
        <v>152</v>
      </c>
    </row>
    <row r="112" spans="6:8" x14ac:dyDescent="0.25">
      <c r="F112" s="32">
        <v>1</v>
      </c>
      <c r="G112" s="32">
        <v>309</v>
      </c>
      <c r="H112" s="28" t="s">
        <v>153</v>
      </c>
    </row>
    <row r="113" spans="6:8" x14ac:dyDescent="0.25">
      <c r="F113" s="32">
        <v>1</v>
      </c>
      <c r="G113" s="32">
        <v>310</v>
      </c>
      <c r="H113" s="28" t="s">
        <v>154</v>
      </c>
    </row>
    <row r="114" spans="6:8" x14ac:dyDescent="0.25">
      <c r="F114" s="32">
        <v>1</v>
      </c>
      <c r="G114" s="32">
        <v>311</v>
      </c>
      <c r="H114" s="28" t="s">
        <v>155</v>
      </c>
    </row>
    <row r="115" spans="6:8" x14ac:dyDescent="0.25">
      <c r="F115" s="32">
        <v>1</v>
      </c>
      <c r="G115" s="32">
        <v>312</v>
      </c>
      <c r="H115" s="28" t="s">
        <v>156</v>
      </c>
    </row>
    <row r="116" spans="6:8" x14ac:dyDescent="0.25">
      <c r="F116" s="32">
        <v>1</v>
      </c>
      <c r="G116" s="32">
        <v>313</v>
      </c>
      <c r="H116" s="28" t="s">
        <v>157</v>
      </c>
    </row>
    <row r="117" spans="6:8" x14ac:dyDescent="0.25">
      <c r="F117" s="32">
        <v>1</v>
      </c>
      <c r="G117" s="32">
        <v>314</v>
      </c>
      <c r="H117" s="28" t="s">
        <v>158</v>
      </c>
    </row>
    <row r="118" spans="6:8" x14ac:dyDescent="0.25">
      <c r="F118" s="32">
        <v>1</v>
      </c>
      <c r="G118" s="32">
        <v>315</v>
      </c>
      <c r="H118" s="28" t="s">
        <v>159</v>
      </c>
    </row>
    <row r="119" spans="6:8" x14ac:dyDescent="0.25">
      <c r="F119" s="32">
        <v>1</v>
      </c>
      <c r="G119" s="32">
        <v>316</v>
      </c>
      <c r="H119" s="28" t="s">
        <v>160</v>
      </c>
    </row>
    <row r="120" spans="6:8" x14ac:dyDescent="0.25">
      <c r="F120" s="32">
        <v>1</v>
      </c>
      <c r="G120" s="32">
        <v>317</v>
      </c>
      <c r="H120" s="28" t="s">
        <v>161</v>
      </c>
    </row>
    <row r="121" spans="6:8" x14ac:dyDescent="0.25">
      <c r="F121" s="32">
        <v>1</v>
      </c>
      <c r="G121" s="32">
        <v>318</v>
      </c>
      <c r="H121" s="28" t="s">
        <v>162</v>
      </c>
    </row>
    <row r="122" spans="6:8" x14ac:dyDescent="0.25">
      <c r="F122" s="32">
        <v>1</v>
      </c>
      <c r="G122" s="32">
        <v>319</v>
      </c>
      <c r="H122" s="28" t="s">
        <v>163</v>
      </c>
    </row>
    <row r="123" spans="6:8" x14ac:dyDescent="0.25">
      <c r="F123" s="32">
        <v>1</v>
      </c>
      <c r="G123" s="32">
        <v>320</v>
      </c>
      <c r="H123" s="28" t="s">
        <v>164</v>
      </c>
    </row>
    <row r="124" spans="6:8" x14ac:dyDescent="0.25">
      <c r="F124" s="32">
        <v>1</v>
      </c>
      <c r="G124" s="32">
        <v>321</v>
      </c>
      <c r="H124" s="28" t="s">
        <v>165</v>
      </c>
    </row>
    <row r="125" spans="6:8" x14ac:dyDescent="0.25">
      <c r="F125" s="32">
        <v>1</v>
      </c>
      <c r="G125" s="32">
        <v>322</v>
      </c>
      <c r="H125" s="28" t="s">
        <v>166</v>
      </c>
    </row>
    <row r="126" spans="6:8" x14ac:dyDescent="0.25">
      <c r="F126" s="32">
        <v>1</v>
      </c>
      <c r="G126" s="32">
        <v>323</v>
      </c>
      <c r="H126" s="28" t="s">
        <v>167</v>
      </c>
    </row>
    <row r="127" spans="6:8" x14ac:dyDescent="0.25">
      <c r="F127" s="32">
        <v>1</v>
      </c>
      <c r="G127" s="32">
        <v>325</v>
      </c>
      <c r="H127" s="28" t="s">
        <v>168</v>
      </c>
    </row>
    <row r="128" spans="6:8" x14ac:dyDescent="0.25">
      <c r="F128" s="32">
        <v>1</v>
      </c>
      <c r="G128" s="32">
        <v>326</v>
      </c>
      <c r="H128" s="28" t="s">
        <v>169</v>
      </c>
    </row>
    <row r="129" spans="6:8" x14ac:dyDescent="0.25">
      <c r="F129" s="32">
        <v>1</v>
      </c>
      <c r="G129" s="32">
        <v>327</v>
      </c>
      <c r="H129" s="28" t="s">
        <v>170</v>
      </c>
    </row>
    <row r="130" spans="6:8" x14ac:dyDescent="0.25">
      <c r="F130" s="32">
        <v>1</v>
      </c>
      <c r="G130" s="32">
        <v>328</v>
      </c>
      <c r="H130" s="28" t="s">
        <v>171</v>
      </c>
    </row>
    <row r="131" spans="6:8" x14ac:dyDescent="0.25">
      <c r="F131" s="32">
        <v>1</v>
      </c>
      <c r="G131" s="32">
        <v>352</v>
      </c>
      <c r="H131" s="28" t="s">
        <v>172</v>
      </c>
    </row>
    <row r="132" spans="6:8" x14ac:dyDescent="0.25">
      <c r="F132" s="32">
        <v>1</v>
      </c>
      <c r="G132" s="32">
        <v>460</v>
      </c>
      <c r="H132" s="28" t="s">
        <v>173</v>
      </c>
    </row>
    <row r="133" spans="6:8" x14ac:dyDescent="0.25">
      <c r="F133" s="32">
        <v>1</v>
      </c>
      <c r="G133" s="32">
        <v>465</v>
      </c>
      <c r="H133" s="28" t="s">
        <v>174</v>
      </c>
    </row>
    <row r="134" spans="6:8" x14ac:dyDescent="0.25">
      <c r="F134" s="32">
        <v>1</v>
      </c>
      <c r="G134" s="32">
        <v>466</v>
      </c>
      <c r="H134" s="28" t="s">
        <v>175</v>
      </c>
    </row>
    <row r="135" spans="6:8" x14ac:dyDescent="0.25">
      <c r="F135" s="32">
        <v>1</v>
      </c>
      <c r="G135" s="32">
        <v>467</v>
      </c>
      <c r="H135" s="28" t="s">
        <v>176</v>
      </c>
    </row>
    <row r="136" spans="6:8" x14ac:dyDescent="0.25">
      <c r="F136" s="32">
        <v>1</v>
      </c>
      <c r="G136" s="32">
        <v>470</v>
      </c>
      <c r="H136" s="28" t="s">
        <v>177</v>
      </c>
    </row>
    <row r="137" spans="6:8" x14ac:dyDescent="0.25">
      <c r="F137" s="32">
        <v>1</v>
      </c>
      <c r="G137" s="32">
        <v>471</v>
      </c>
      <c r="H137" s="28" t="s">
        <v>178</v>
      </c>
    </row>
    <row r="138" spans="6:8" x14ac:dyDescent="0.25">
      <c r="F138" s="32">
        <v>1</v>
      </c>
      <c r="G138" s="32">
        <v>472</v>
      </c>
      <c r="H138" s="28" t="s">
        <v>179</v>
      </c>
    </row>
    <row r="139" spans="6:8" x14ac:dyDescent="0.25">
      <c r="F139" s="32">
        <v>1</v>
      </c>
      <c r="G139" s="32">
        <v>473</v>
      </c>
      <c r="H139" s="28" t="s">
        <v>180</v>
      </c>
    </row>
    <row r="140" spans="6:8" x14ac:dyDescent="0.25">
      <c r="F140" s="32">
        <v>1</v>
      </c>
      <c r="G140" s="32">
        <v>474</v>
      </c>
      <c r="H140" s="28" t="s">
        <v>181</v>
      </c>
    </row>
    <row r="141" spans="6:8" x14ac:dyDescent="0.25">
      <c r="F141" s="32">
        <v>1</v>
      </c>
      <c r="G141" s="32">
        <v>475</v>
      </c>
      <c r="H141" s="28" t="s">
        <v>182</v>
      </c>
    </row>
    <row r="142" spans="6:8" x14ac:dyDescent="0.25">
      <c r="F142" s="32">
        <v>1</v>
      </c>
      <c r="G142" s="32">
        <v>476</v>
      </c>
      <c r="H142" s="28" t="s">
        <v>183</v>
      </c>
    </row>
    <row r="143" spans="6:8" x14ac:dyDescent="0.25">
      <c r="F143" s="32">
        <v>1</v>
      </c>
      <c r="G143" s="32">
        <v>477</v>
      </c>
      <c r="H143" s="28" t="s">
        <v>184</v>
      </c>
    </row>
    <row r="144" spans="6:8" x14ac:dyDescent="0.25">
      <c r="F144" s="32">
        <v>1</v>
      </c>
      <c r="G144" s="32">
        <v>478</v>
      </c>
      <c r="H144" s="28" t="s">
        <v>185</v>
      </c>
    </row>
    <row r="145" spans="6:8" x14ac:dyDescent="0.25">
      <c r="F145" s="32">
        <v>1</v>
      </c>
      <c r="G145" s="32">
        <v>479</v>
      </c>
      <c r="H145" s="28" t="s">
        <v>186</v>
      </c>
    </row>
    <row r="146" spans="6:8" x14ac:dyDescent="0.25">
      <c r="F146" s="32">
        <v>1</v>
      </c>
      <c r="G146" s="32">
        <v>480</v>
      </c>
      <c r="H146" s="28" t="s">
        <v>187</v>
      </c>
    </row>
    <row r="147" spans="6:8" x14ac:dyDescent="0.25">
      <c r="F147" s="32">
        <v>1</v>
      </c>
      <c r="G147" s="32">
        <v>481</v>
      </c>
      <c r="H147" s="28" t="s">
        <v>188</v>
      </c>
    </row>
    <row r="148" spans="6:8" x14ac:dyDescent="0.25">
      <c r="F148" s="32">
        <v>1</v>
      </c>
      <c r="G148" s="32">
        <v>482</v>
      </c>
      <c r="H148" s="28" t="s">
        <v>189</v>
      </c>
    </row>
    <row r="149" spans="6:8" x14ac:dyDescent="0.25">
      <c r="F149" s="32">
        <v>1</v>
      </c>
      <c r="G149" s="32">
        <v>483</v>
      </c>
      <c r="H149" s="28" t="s">
        <v>190</v>
      </c>
    </row>
    <row r="150" spans="6:8" x14ac:dyDescent="0.25">
      <c r="F150" s="32">
        <v>1</v>
      </c>
      <c r="G150" s="32">
        <v>484</v>
      </c>
      <c r="H150" s="28" t="s">
        <v>191</v>
      </c>
    </row>
    <row r="151" spans="6:8" x14ac:dyDescent="0.25">
      <c r="F151" s="32">
        <v>1</v>
      </c>
      <c r="G151" s="32">
        <v>486</v>
      </c>
      <c r="H151" s="28" t="s">
        <v>192</v>
      </c>
    </row>
    <row r="152" spans="6:8" x14ac:dyDescent="0.25">
      <c r="F152" s="32">
        <v>1</v>
      </c>
      <c r="G152" s="32">
        <v>487</v>
      </c>
      <c r="H152" s="28" t="s">
        <v>193</v>
      </c>
    </row>
    <row r="153" spans="6:8" x14ac:dyDescent="0.25">
      <c r="F153" s="32">
        <v>1</v>
      </c>
      <c r="G153" s="32">
        <v>488</v>
      </c>
      <c r="H153" s="28" t="s">
        <v>194</v>
      </c>
    </row>
    <row r="154" spans="6:8" x14ac:dyDescent="0.25">
      <c r="F154" s="32">
        <v>1</v>
      </c>
      <c r="G154" s="32">
        <v>489</v>
      </c>
      <c r="H154" s="28" t="s">
        <v>195</v>
      </c>
    </row>
    <row r="155" spans="6:8" x14ac:dyDescent="0.25">
      <c r="F155" s="32">
        <v>1</v>
      </c>
      <c r="G155" s="32">
        <v>501</v>
      </c>
      <c r="H155" s="28" t="s">
        <v>196</v>
      </c>
    </row>
    <row r="156" spans="6:8" x14ac:dyDescent="0.25">
      <c r="F156" s="32">
        <v>1</v>
      </c>
      <c r="G156" s="32">
        <v>502</v>
      </c>
      <c r="H156" s="28" t="s">
        <v>197</v>
      </c>
    </row>
    <row r="157" spans="6:8" x14ac:dyDescent="0.25">
      <c r="F157" s="32">
        <v>1</v>
      </c>
      <c r="G157" s="32">
        <v>503</v>
      </c>
      <c r="H157" s="28" t="s">
        <v>198</v>
      </c>
    </row>
    <row r="158" spans="6:8" x14ac:dyDescent="0.25">
      <c r="F158" s="32">
        <v>1</v>
      </c>
      <c r="G158" s="32">
        <v>504</v>
      </c>
      <c r="H158" s="28" t="s">
        <v>199</v>
      </c>
    </row>
    <row r="159" spans="6:8" x14ac:dyDescent="0.25">
      <c r="F159" s="32">
        <v>1</v>
      </c>
      <c r="G159" s="32">
        <v>505</v>
      </c>
      <c r="H159" s="28" t="s">
        <v>200</v>
      </c>
    </row>
    <row r="160" spans="6:8" x14ac:dyDescent="0.25">
      <c r="F160" s="32">
        <v>1</v>
      </c>
      <c r="G160" s="32">
        <v>506</v>
      </c>
      <c r="H160" s="28" t="s">
        <v>201</v>
      </c>
    </row>
    <row r="161" spans="6:8" x14ac:dyDescent="0.25">
      <c r="F161" s="32">
        <v>1</v>
      </c>
      <c r="G161" s="32">
        <v>507</v>
      </c>
      <c r="H161" s="28" t="s">
        <v>202</v>
      </c>
    </row>
    <row r="162" spans="6:8" x14ac:dyDescent="0.25">
      <c r="F162" s="32">
        <v>1</v>
      </c>
      <c r="G162" s="32">
        <v>508</v>
      </c>
      <c r="H162" s="28" t="s">
        <v>203</v>
      </c>
    </row>
    <row r="163" spans="6:8" x14ac:dyDescent="0.25">
      <c r="F163" s="32">
        <v>1</v>
      </c>
      <c r="G163" s="32">
        <v>509</v>
      </c>
      <c r="H163" s="28" t="s">
        <v>204</v>
      </c>
    </row>
    <row r="164" spans="6:8" x14ac:dyDescent="0.25">
      <c r="F164" s="32">
        <v>1</v>
      </c>
      <c r="G164" s="32">
        <v>510</v>
      </c>
      <c r="H164" s="28" t="s">
        <v>205</v>
      </c>
    </row>
    <row r="165" spans="6:8" x14ac:dyDescent="0.25">
      <c r="F165" s="32">
        <v>1</v>
      </c>
      <c r="G165" s="32">
        <v>511</v>
      </c>
      <c r="H165" s="28" t="s">
        <v>206</v>
      </c>
    </row>
    <row r="166" spans="6:8" x14ac:dyDescent="0.25">
      <c r="F166" s="32">
        <v>1</v>
      </c>
      <c r="G166" s="32">
        <v>512</v>
      </c>
      <c r="H166" s="28" t="s">
        <v>207</v>
      </c>
    </row>
    <row r="167" spans="6:8" x14ac:dyDescent="0.25">
      <c r="F167" s="32">
        <v>1</v>
      </c>
      <c r="G167" s="32">
        <v>513</v>
      </c>
      <c r="H167" s="28" t="s">
        <v>208</v>
      </c>
    </row>
    <row r="168" spans="6:8" x14ac:dyDescent="0.25">
      <c r="F168" s="32">
        <v>1</v>
      </c>
      <c r="G168" s="32">
        <v>514</v>
      </c>
      <c r="H168" s="28" t="s">
        <v>209</v>
      </c>
    </row>
    <row r="169" spans="6:8" x14ac:dyDescent="0.25">
      <c r="F169" s="32">
        <v>1</v>
      </c>
      <c r="G169" s="32">
        <v>515</v>
      </c>
      <c r="H169" s="28" t="s">
        <v>210</v>
      </c>
    </row>
    <row r="170" spans="6:8" x14ac:dyDescent="0.25">
      <c r="F170" s="32">
        <v>1</v>
      </c>
      <c r="G170" s="32">
        <v>516</v>
      </c>
      <c r="H170" s="28" t="s">
        <v>211</v>
      </c>
    </row>
    <row r="171" spans="6:8" x14ac:dyDescent="0.25">
      <c r="F171" s="32">
        <v>1</v>
      </c>
      <c r="G171" s="32">
        <v>517</v>
      </c>
      <c r="H171" s="28" t="s">
        <v>212</v>
      </c>
    </row>
    <row r="172" spans="6:8" x14ac:dyDescent="0.25">
      <c r="F172" s="32">
        <v>1</v>
      </c>
      <c r="G172" s="32">
        <v>518</v>
      </c>
      <c r="H172" s="28" t="s">
        <v>213</v>
      </c>
    </row>
    <row r="173" spans="6:8" x14ac:dyDescent="0.25">
      <c r="F173" s="32">
        <v>1</v>
      </c>
      <c r="G173" s="32">
        <v>519</v>
      </c>
      <c r="H173" s="28" t="s">
        <v>214</v>
      </c>
    </row>
    <row r="174" spans="6:8" x14ac:dyDescent="0.25">
      <c r="F174" s="32">
        <v>1</v>
      </c>
      <c r="G174" s="32">
        <v>520</v>
      </c>
      <c r="H174" s="28" t="s">
        <v>215</v>
      </c>
    </row>
    <row r="175" spans="6:8" x14ac:dyDescent="0.25">
      <c r="F175" s="32">
        <v>1</v>
      </c>
      <c r="G175" s="32">
        <v>521</v>
      </c>
      <c r="H175" s="28" t="s">
        <v>216</v>
      </c>
    </row>
    <row r="176" spans="6:8" x14ac:dyDescent="0.25">
      <c r="F176" s="32">
        <v>1</v>
      </c>
      <c r="G176" s="32">
        <v>522</v>
      </c>
      <c r="H176" s="28" t="s">
        <v>217</v>
      </c>
    </row>
    <row r="177" spans="6:8" x14ac:dyDescent="0.25">
      <c r="F177" s="32">
        <v>1</v>
      </c>
      <c r="G177" s="32">
        <v>523</v>
      </c>
      <c r="H177" s="28" t="s">
        <v>218</v>
      </c>
    </row>
    <row r="178" spans="6:8" x14ac:dyDescent="0.25">
      <c r="F178" s="32">
        <v>1</v>
      </c>
      <c r="G178" s="32">
        <v>524</v>
      </c>
      <c r="H178" s="28" t="s">
        <v>219</v>
      </c>
    </row>
    <row r="179" spans="6:8" x14ac:dyDescent="0.25">
      <c r="F179" s="32">
        <v>1</v>
      </c>
      <c r="G179" s="32">
        <v>525</v>
      </c>
      <c r="H179" s="28" t="s">
        <v>220</v>
      </c>
    </row>
    <row r="180" spans="6:8" x14ac:dyDescent="0.25">
      <c r="F180" s="32">
        <v>1</v>
      </c>
      <c r="G180" s="32">
        <v>526</v>
      </c>
      <c r="H180" s="28" t="s">
        <v>221</v>
      </c>
    </row>
    <row r="181" spans="6:8" x14ac:dyDescent="0.25">
      <c r="F181" s="32">
        <v>1</v>
      </c>
      <c r="G181" s="32">
        <v>527</v>
      </c>
      <c r="H181" s="28" t="s">
        <v>222</v>
      </c>
    </row>
    <row r="182" spans="6:8" x14ac:dyDescent="0.25">
      <c r="F182" s="32">
        <v>1</v>
      </c>
      <c r="G182" s="32">
        <v>528</v>
      </c>
      <c r="H182" s="28" t="s">
        <v>223</v>
      </c>
    </row>
    <row r="183" spans="6:8" x14ac:dyDescent="0.25">
      <c r="F183" s="32">
        <v>1</v>
      </c>
      <c r="G183" s="32">
        <v>529</v>
      </c>
      <c r="H183" s="28" t="s">
        <v>224</v>
      </c>
    </row>
    <row r="184" spans="6:8" x14ac:dyDescent="0.25">
      <c r="F184" s="32">
        <v>1</v>
      </c>
      <c r="G184" s="32">
        <v>530</v>
      </c>
      <c r="H184" s="28" t="s">
        <v>225</v>
      </c>
    </row>
    <row r="185" spans="6:8" x14ac:dyDescent="0.25">
      <c r="F185" s="32">
        <v>1</v>
      </c>
      <c r="G185" s="32">
        <v>532</v>
      </c>
      <c r="H185" s="28" t="s">
        <v>226</v>
      </c>
    </row>
    <row r="186" spans="6:8" x14ac:dyDescent="0.25">
      <c r="F186" s="32">
        <v>1</v>
      </c>
      <c r="G186" s="32">
        <v>537</v>
      </c>
      <c r="H186" s="28" t="s">
        <v>227</v>
      </c>
    </row>
    <row r="187" spans="6:8" x14ac:dyDescent="0.25">
      <c r="F187" s="32">
        <v>1</v>
      </c>
      <c r="G187" s="32">
        <v>538</v>
      </c>
      <c r="H187" s="28" t="s">
        <v>228</v>
      </c>
    </row>
    <row r="188" spans="6:8" x14ac:dyDescent="0.25">
      <c r="F188" s="32">
        <v>1</v>
      </c>
      <c r="G188" s="32">
        <v>539</v>
      </c>
      <c r="H188" s="28" t="s">
        <v>229</v>
      </c>
    </row>
    <row r="189" spans="6:8" x14ac:dyDescent="0.25">
      <c r="F189" s="32">
        <v>1</v>
      </c>
      <c r="G189" s="32">
        <v>540</v>
      </c>
      <c r="H189" s="28" t="s">
        <v>230</v>
      </c>
    </row>
    <row r="190" spans="6:8" x14ac:dyDescent="0.25">
      <c r="F190" s="32">
        <v>1</v>
      </c>
      <c r="G190" s="32">
        <v>541</v>
      </c>
      <c r="H190" s="28" t="s">
        <v>231</v>
      </c>
    </row>
    <row r="191" spans="6:8" x14ac:dyDescent="0.25">
      <c r="F191" s="32">
        <v>1</v>
      </c>
      <c r="G191" s="32">
        <v>542</v>
      </c>
      <c r="H191" s="28" t="s">
        <v>232</v>
      </c>
    </row>
    <row r="192" spans="6:8" x14ac:dyDescent="0.25">
      <c r="F192" s="32">
        <v>1</v>
      </c>
      <c r="G192" s="32">
        <v>560</v>
      </c>
      <c r="H192" s="28" t="s">
        <v>233</v>
      </c>
    </row>
    <row r="193" spans="6:8" x14ac:dyDescent="0.25">
      <c r="F193" s="32">
        <v>1</v>
      </c>
      <c r="G193" s="32">
        <v>561</v>
      </c>
      <c r="H193" s="28" t="s">
        <v>234</v>
      </c>
    </row>
    <row r="194" spans="6:8" x14ac:dyDescent="0.25">
      <c r="F194" s="32">
        <v>1</v>
      </c>
      <c r="G194" s="32">
        <v>562</v>
      </c>
      <c r="H194" s="28" t="s">
        <v>235</v>
      </c>
    </row>
    <row r="195" spans="6:8" x14ac:dyDescent="0.25">
      <c r="F195" s="32">
        <v>1</v>
      </c>
      <c r="G195" s="32">
        <v>563</v>
      </c>
      <c r="H195" s="28" t="s">
        <v>236</v>
      </c>
    </row>
    <row r="196" spans="6:8" x14ac:dyDescent="0.25">
      <c r="F196" s="32">
        <v>1</v>
      </c>
      <c r="G196" s="32">
        <v>564</v>
      </c>
      <c r="H196" s="28" t="s">
        <v>237</v>
      </c>
    </row>
    <row r="197" spans="6:8" x14ac:dyDescent="0.25">
      <c r="F197" s="32">
        <v>1</v>
      </c>
      <c r="G197" s="32">
        <v>570</v>
      </c>
      <c r="H197" s="28" t="s">
        <v>238</v>
      </c>
    </row>
    <row r="198" spans="6:8" x14ac:dyDescent="0.25">
      <c r="F198" s="32">
        <v>1</v>
      </c>
      <c r="G198" s="32">
        <v>589</v>
      </c>
      <c r="H198" s="28" t="s">
        <v>239</v>
      </c>
    </row>
    <row r="199" spans="6:8" x14ac:dyDescent="0.25">
      <c r="F199" s="32">
        <v>1</v>
      </c>
      <c r="G199" s="32">
        <v>590</v>
      </c>
      <c r="H199" s="28" t="s">
        <v>240</v>
      </c>
    </row>
    <row r="200" spans="6:8" x14ac:dyDescent="0.25">
      <c r="F200" s="32">
        <v>1</v>
      </c>
      <c r="G200" s="32">
        <v>591</v>
      </c>
      <c r="H200" s="28" t="s">
        <v>241</v>
      </c>
    </row>
    <row r="201" spans="6:8" x14ac:dyDescent="0.25">
      <c r="F201" s="32">
        <v>1</v>
      </c>
      <c r="G201" s="32">
        <v>592</v>
      </c>
      <c r="H201" s="28" t="s">
        <v>242</v>
      </c>
    </row>
    <row r="202" spans="6:8" x14ac:dyDescent="0.25">
      <c r="F202" s="32">
        <v>1</v>
      </c>
      <c r="G202" s="32">
        <v>593</v>
      </c>
      <c r="H202" s="28" t="s">
        <v>243</v>
      </c>
    </row>
    <row r="203" spans="6:8" x14ac:dyDescent="0.25">
      <c r="F203" s="32">
        <v>1</v>
      </c>
      <c r="G203" s="32">
        <v>594</v>
      </c>
      <c r="H203" s="28" t="s">
        <v>244</v>
      </c>
    </row>
    <row r="204" spans="6:8" x14ac:dyDescent="0.25">
      <c r="F204" s="32">
        <v>1</v>
      </c>
      <c r="G204" s="32">
        <v>597</v>
      </c>
      <c r="H204" s="28" t="s">
        <v>245</v>
      </c>
    </row>
    <row r="205" spans="6:8" x14ac:dyDescent="0.25">
      <c r="F205" s="32">
        <v>1</v>
      </c>
      <c r="G205" s="32">
        <v>598</v>
      </c>
      <c r="H205" s="28" t="s">
        <v>246</v>
      </c>
    </row>
    <row r="206" spans="6:8" x14ac:dyDescent="0.25">
      <c r="F206" s="32">
        <v>1</v>
      </c>
      <c r="G206" s="32">
        <v>600</v>
      </c>
      <c r="H206" s="28" t="s">
        <v>247</v>
      </c>
    </row>
    <row r="207" spans="6:8" x14ac:dyDescent="0.25">
      <c r="F207" s="32">
        <v>1</v>
      </c>
      <c r="G207" s="32">
        <v>608</v>
      </c>
      <c r="H207" s="28" t="s">
        <v>248</v>
      </c>
    </row>
    <row r="208" spans="6:8" x14ac:dyDescent="0.25">
      <c r="F208" s="32">
        <v>1</v>
      </c>
      <c r="G208" s="32">
        <v>609</v>
      </c>
      <c r="H208" s="28" t="s">
        <v>249</v>
      </c>
    </row>
    <row r="209" spans="6:8" x14ac:dyDescent="0.25">
      <c r="F209" s="32">
        <v>1</v>
      </c>
      <c r="G209" s="32">
        <v>614</v>
      </c>
      <c r="H209" s="28" t="s">
        <v>250</v>
      </c>
    </row>
    <row r="210" spans="6:8" x14ac:dyDescent="0.25">
      <c r="F210" s="32">
        <v>1</v>
      </c>
      <c r="G210" s="32">
        <v>615</v>
      </c>
      <c r="H210" s="28" t="s">
        <v>251</v>
      </c>
    </row>
    <row r="211" spans="6:8" x14ac:dyDescent="0.25">
      <c r="F211" s="32">
        <v>1</v>
      </c>
      <c r="G211" s="32">
        <v>616</v>
      </c>
      <c r="H211" s="28" t="s">
        <v>252</v>
      </c>
    </row>
    <row r="212" spans="6:8" x14ac:dyDescent="0.25">
      <c r="F212" s="32">
        <v>1</v>
      </c>
      <c r="G212" s="32">
        <v>617</v>
      </c>
      <c r="H212" s="28" t="s">
        <v>253</v>
      </c>
    </row>
    <row r="213" spans="6:8" x14ac:dyDescent="0.25">
      <c r="F213" s="32">
        <v>1</v>
      </c>
      <c r="G213" s="32">
        <v>618</v>
      </c>
      <c r="H213" s="28" t="s">
        <v>254</v>
      </c>
    </row>
    <row r="214" spans="6:8" x14ac:dyDescent="0.25">
      <c r="F214" s="32">
        <v>1</v>
      </c>
      <c r="G214" s="32">
        <v>619</v>
      </c>
      <c r="H214" s="28" t="s">
        <v>255</v>
      </c>
    </row>
    <row r="215" spans="6:8" x14ac:dyDescent="0.25">
      <c r="F215" s="32">
        <v>1</v>
      </c>
      <c r="G215" s="32">
        <v>620</v>
      </c>
      <c r="H215" s="28" t="s">
        <v>256</v>
      </c>
    </row>
    <row r="216" spans="6:8" x14ac:dyDescent="0.25">
      <c r="F216" s="32">
        <v>1</v>
      </c>
      <c r="G216" s="32">
        <v>671</v>
      </c>
      <c r="H216" s="28" t="s">
        <v>257</v>
      </c>
    </row>
    <row r="217" spans="6:8" x14ac:dyDescent="0.25">
      <c r="F217" s="32">
        <v>1</v>
      </c>
      <c r="G217" s="32">
        <v>672</v>
      </c>
      <c r="H217" s="28" t="s">
        <v>258</v>
      </c>
    </row>
    <row r="218" spans="6:8" x14ac:dyDescent="0.25">
      <c r="F218" s="32">
        <v>1</v>
      </c>
      <c r="G218" s="32">
        <v>673</v>
      </c>
      <c r="H218" s="28" t="s">
        <v>259</v>
      </c>
    </row>
    <row r="219" spans="6:8" x14ac:dyDescent="0.25">
      <c r="F219" s="32">
        <v>1</v>
      </c>
      <c r="G219" s="32">
        <v>674</v>
      </c>
      <c r="H219" s="28" t="s">
        <v>260</v>
      </c>
    </row>
    <row r="220" spans="6:8" x14ac:dyDescent="0.25">
      <c r="F220" s="32">
        <v>1</v>
      </c>
      <c r="G220" s="32">
        <v>675</v>
      </c>
      <c r="H220" s="28" t="s">
        <v>261</v>
      </c>
    </row>
    <row r="221" spans="6:8" x14ac:dyDescent="0.25">
      <c r="F221" s="32">
        <v>1</v>
      </c>
      <c r="G221" s="32">
        <v>677</v>
      </c>
      <c r="H221" s="28" t="s">
        <v>262</v>
      </c>
    </row>
    <row r="222" spans="6:8" x14ac:dyDescent="0.25">
      <c r="F222" s="32">
        <v>1</v>
      </c>
      <c r="G222" s="32">
        <v>680</v>
      </c>
      <c r="H222" s="28" t="s">
        <v>263</v>
      </c>
    </row>
    <row r="223" spans="6:8" x14ac:dyDescent="0.25">
      <c r="F223" s="32">
        <v>1</v>
      </c>
      <c r="G223" s="32">
        <v>681</v>
      </c>
      <c r="H223" s="28" t="s">
        <v>264</v>
      </c>
    </row>
    <row r="224" spans="6:8" x14ac:dyDescent="0.25">
      <c r="F224" s="32">
        <v>1</v>
      </c>
      <c r="G224" s="32">
        <v>682</v>
      </c>
      <c r="H224" s="28" t="s">
        <v>265</v>
      </c>
    </row>
    <row r="225" spans="6:8" x14ac:dyDescent="0.25">
      <c r="F225" s="32">
        <v>1</v>
      </c>
      <c r="G225" s="32">
        <v>700</v>
      </c>
      <c r="H225" s="28" t="s">
        <v>266</v>
      </c>
    </row>
    <row r="226" spans="6:8" x14ac:dyDescent="0.25">
      <c r="F226" s="32">
        <v>1</v>
      </c>
      <c r="G226" s="32">
        <v>701</v>
      </c>
      <c r="H226" s="28" t="s">
        <v>267</v>
      </c>
    </row>
    <row r="227" spans="6:8" x14ac:dyDescent="0.25">
      <c r="F227" s="32">
        <v>1</v>
      </c>
      <c r="G227" s="32">
        <v>702</v>
      </c>
      <c r="H227" s="28" t="s">
        <v>268</v>
      </c>
    </row>
    <row r="228" spans="6:8" x14ac:dyDescent="0.25">
      <c r="F228" s="32">
        <v>1</v>
      </c>
      <c r="G228" s="32">
        <v>703</v>
      </c>
      <c r="H228" s="28" t="s">
        <v>269</v>
      </c>
    </row>
    <row r="229" spans="6:8" x14ac:dyDescent="0.25">
      <c r="F229" s="32">
        <v>1</v>
      </c>
      <c r="G229" s="32">
        <v>704</v>
      </c>
      <c r="H229" s="28" t="s">
        <v>270</v>
      </c>
    </row>
    <row r="230" spans="6:8" x14ac:dyDescent="0.25">
      <c r="F230" s="32">
        <v>1</v>
      </c>
      <c r="G230" s="32">
        <v>705</v>
      </c>
      <c r="H230" s="28" t="s">
        <v>271</v>
      </c>
    </row>
    <row r="231" spans="6:8" x14ac:dyDescent="0.25">
      <c r="F231" s="32">
        <v>1</v>
      </c>
      <c r="G231" s="32">
        <v>706</v>
      </c>
      <c r="H231" s="28" t="s">
        <v>272</v>
      </c>
    </row>
    <row r="232" spans="6:8" x14ac:dyDescent="0.25">
      <c r="F232" s="32">
        <v>1</v>
      </c>
      <c r="G232" s="32">
        <v>707</v>
      </c>
      <c r="H232" s="28" t="s">
        <v>273</v>
      </c>
    </row>
    <row r="233" spans="6:8" x14ac:dyDescent="0.25">
      <c r="F233" s="32">
        <v>1</v>
      </c>
      <c r="G233" s="32">
        <v>708</v>
      </c>
      <c r="H233" s="28" t="s">
        <v>274</v>
      </c>
    </row>
    <row r="234" spans="6:8" x14ac:dyDescent="0.25">
      <c r="F234" s="32">
        <v>1</v>
      </c>
      <c r="G234" s="32">
        <v>709</v>
      </c>
      <c r="H234" s="28" t="s">
        <v>275</v>
      </c>
    </row>
    <row r="235" spans="6:8" x14ac:dyDescent="0.25">
      <c r="F235" s="32">
        <v>1</v>
      </c>
      <c r="G235" s="32">
        <v>710</v>
      </c>
      <c r="H235" s="28" t="s">
        <v>276</v>
      </c>
    </row>
    <row r="236" spans="6:8" x14ac:dyDescent="0.25">
      <c r="F236" s="32">
        <v>1</v>
      </c>
      <c r="G236" s="32">
        <v>711</v>
      </c>
      <c r="H236" s="28" t="s">
        <v>277</v>
      </c>
    </row>
    <row r="237" spans="6:8" x14ac:dyDescent="0.25">
      <c r="F237" s="32">
        <v>1</v>
      </c>
      <c r="G237" s="32">
        <v>712</v>
      </c>
      <c r="H237" s="28" t="s">
        <v>278</v>
      </c>
    </row>
    <row r="238" spans="6:8" x14ac:dyDescent="0.25">
      <c r="F238" s="32">
        <v>1</v>
      </c>
      <c r="G238" s="32">
        <v>713</v>
      </c>
      <c r="H238" s="28" t="s">
        <v>279</v>
      </c>
    </row>
    <row r="239" spans="6:8" x14ac:dyDescent="0.25">
      <c r="F239" s="32">
        <v>1</v>
      </c>
      <c r="G239" s="32">
        <v>773</v>
      </c>
      <c r="H239" s="28" t="s">
        <v>280</v>
      </c>
    </row>
    <row r="240" spans="6:8" x14ac:dyDescent="0.25">
      <c r="F240" s="32">
        <v>1</v>
      </c>
      <c r="G240" s="32">
        <v>777</v>
      </c>
      <c r="H240" s="28" t="s">
        <v>281</v>
      </c>
    </row>
    <row r="241" spans="6:8" x14ac:dyDescent="0.25">
      <c r="F241" s="32">
        <v>1</v>
      </c>
      <c r="G241" s="32">
        <v>780</v>
      </c>
      <c r="H241" s="28" t="s">
        <v>282</v>
      </c>
    </row>
    <row r="242" spans="6:8" x14ac:dyDescent="0.25">
      <c r="F242" s="32">
        <v>1</v>
      </c>
      <c r="G242" s="32">
        <v>781</v>
      </c>
      <c r="H242" s="28" t="s">
        <v>283</v>
      </c>
    </row>
    <row r="243" spans="6:8" x14ac:dyDescent="0.25">
      <c r="F243" s="32">
        <v>1</v>
      </c>
      <c r="G243" s="32">
        <v>782</v>
      </c>
      <c r="H243" s="28" t="s">
        <v>284</v>
      </c>
    </row>
    <row r="244" spans="6:8" x14ac:dyDescent="0.25">
      <c r="F244" s="32">
        <v>1</v>
      </c>
      <c r="G244" s="32">
        <v>790</v>
      </c>
      <c r="H244" s="28" t="s">
        <v>285</v>
      </c>
    </row>
    <row r="245" spans="6:8" x14ac:dyDescent="0.25">
      <c r="F245" s="32">
        <v>1</v>
      </c>
      <c r="G245" s="32">
        <v>791</v>
      </c>
      <c r="H245" s="28" t="s">
        <v>286</v>
      </c>
    </row>
    <row r="246" spans="6:8" x14ac:dyDescent="0.25">
      <c r="F246" s="32">
        <v>1</v>
      </c>
      <c r="G246" s="32">
        <v>792</v>
      </c>
      <c r="H246" s="28" t="s">
        <v>287</v>
      </c>
    </row>
    <row r="247" spans="6:8" x14ac:dyDescent="0.25">
      <c r="F247" s="32">
        <v>1</v>
      </c>
      <c r="G247" s="32">
        <v>793</v>
      </c>
      <c r="H247" s="28" t="s">
        <v>288</v>
      </c>
    </row>
    <row r="248" spans="6:8" x14ac:dyDescent="0.25">
      <c r="F248" s="32">
        <v>1</v>
      </c>
      <c r="G248" s="32">
        <v>933</v>
      </c>
      <c r="H248" s="28" t="s">
        <v>289</v>
      </c>
    </row>
    <row r="249" spans="6:8" x14ac:dyDescent="0.25">
      <c r="F249" s="32">
        <v>1</v>
      </c>
      <c r="G249" s="32">
        <v>937</v>
      </c>
      <c r="H249" s="28" t="s">
        <v>290</v>
      </c>
    </row>
    <row r="250" spans="6:8" x14ac:dyDescent="0.25">
      <c r="F250" s="32">
        <v>1</v>
      </c>
      <c r="G250" s="32">
        <v>950</v>
      </c>
      <c r="H250" s="28" t="s">
        <v>291</v>
      </c>
    </row>
    <row r="251" spans="6:8" x14ac:dyDescent="0.25">
      <c r="F251" s="32">
        <v>1</v>
      </c>
      <c r="G251" s="32">
        <v>960</v>
      </c>
      <c r="H251" s="28" t="s">
        <v>292</v>
      </c>
    </row>
    <row r="252" spans="6:8" x14ac:dyDescent="0.25">
      <c r="F252" s="32">
        <v>1</v>
      </c>
      <c r="G252" s="32">
        <v>998</v>
      </c>
      <c r="H252" s="28" t="s">
        <v>293</v>
      </c>
    </row>
    <row r="253" spans="6:8" x14ac:dyDescent="0.25">
      <c r="F253" s="32">
        <v>2</v>
      </c>
      <c r="G253" s="32">
        <v>1</v>
      </c>
      <c r="H253" s="28" t="s">
        <v>294</v>
      </c>
    </row>
    <row r="254" spans="6:8" x14ac:dyDescent="0.25">
      <c r="F254" s="32">
        <v>2</v>
      </c>
      <c r="G254" s="32">
        <v>6</v>
      </c>
      <c r="H254" s="28" t="s">
        <v>295</v>
      </c>
    </row>
    <row r="255" spans="6:8" x14ac:dyDescent="0.25">
      <c r="F255" s="32">
        <v>2</v>
      </c>
      <c r="G255" s="32">
        <v>12</v>
      </c>
      <c r="H255" s="28" t="s">
        <v>296</v>
      </c>
    </row>
    <row r="256" spans="6:8" x14ac:dyDescent="0.25">
      <c r="F256" s="32">
        <v>2</v>
      </c>
      <c r="G256" s="32">
        <v>18</v>
      </c>
      <c r="H256" s="28" t="s">
        <v>297</v>
      </c>
    </row>
    <row r="257" spans="6:8" x14ac:dyDescent="0.25">
      <c r="F257" s="32">
        <v>2</v>
      </c>
      <c r="G257" s="32">
        <v>20</v>
      </c>
      <c r="H257" s="28" t="s">
        <v>298</v>
      </c>
    </row>
    <row r="258" spans="6:8" x14ac:dyDescent="0.25">
      <c r="F258" s="32">
        <v>2</v>
      </c>
      <c r="G258" s="32">
        <v>21</v>
      </c>
      <c r="H258" s="28" t="s">
        <v>299</v>
      </c>
    </row>
    <row r="259" spans="6:8" x14ac:dyDescent="0.25">
      <c r="F259" s="32">
        <v>2</v>
      </c>
      <c r="G259" s="32">
        <v>22</v>
      </c>
      <c r="H259" s="28" t="s">
        <v>300</v>
      </c>
    </row>
    <row r="260" spans="6:8" x14ac:dyDescent="0.25">
      <c r="F260" s="32">
        <v>2</v>
      </c>
      <c r="G260" s="32">
        <v>23</v>
      </c>
      <c r="H260" s="28" t="s">
        <v>301</v>
      </c>
    </row>
    <row r="261" spans="6:8" x14ac:dyDescent="0.25">
      <c r="F261" s="32">
        <v>2</v>
      </c>
      <c r="G261" s="32">
        <v>24</v>
      </c>
      <c r="H261" s="28" t="s">
        <v>302</v>
      </c>
    </row>
    <row r="262" spans="6:8" x14ac:dyDescent="0.25">
      <c r="F262" s="32">
        <v>2</v>
      </c>
      <c r="G262" s="32">
        <v>25</v>
      </c>
      <c r="H262" s="28" t="s">
        <v>303</v>
      </c>
    </row>
    <row r="263" spans="6:8" x14ac:dyDescent="0.25">
      <c r="F263" s="32">
        <v>2</v>
      </c>
      <c r="G263" s="32">
        <v>26</v>
      </c>
      <c r="H263" s="28" t="s">
        <v>304</v>
      </c>
    </row>
    <row r="264" spans="6:8" x14ac:dyDescent="0.25">
      <c r="F264" s="32">
        <v>2</v>
      </c>
      <c r="G264" s="32">
        <v>27</v>
      </c>
      <c r="H264" s="28" t="s">
        <v>305</v>
      </c>
    </row>
    <row r="265" spans="6:8" x14ac:dyDescent="0.25">
      <c r="F265" s="32">
        <v>2</v>
      </c>
      <c r="G265" s="32">
        <v>28</v>
      </c>
      <c r="H265" s="28" t="s">
        <v>306</v>
      </c>
    </row>
    <row r="266" spans="6:8" x14ac:dyDescent="0.25">
      <c r="F266" s="32">
        <v>2</v>
      </c>
      <c r="G266" s="32">
        <v>30</v>
      </c>
      <c r="H266" s="28" t="s">
        <v>307</v>
      </c>
    </row>
    <row r="267" spans="6:8" x14ac:dyDescent="0.25">
      <c r="F267" s="32">
        <v>2</v>
      </c>
      <c r="G267" s="32">
        <v>31</v>
      </c>
      <c r="H267" s="28" t="s">
        <v>308</v>
      </c>
    </row>
    <row r="268" spans="6:8" x14ac:dyDescent="0.25">
      <c r="F268" s="32">
        <v>2</v>
      </c>
      <c r="G268" s="32">
        <v>40</v>
      </c>
      <c r="H268" s="28" t="s">
        <v>309</v>
      </c>
    </row>
    <row r="269" spans="6:8" x14ac:dyDescent="0.25">
      <c r="F269" s="32">
        <v>2</v>
      </c>
      <c r="G269" s="32">
        <v>50</v>
      </c>
      <c r="H269" s="28" t="s">
        <v>310</v>
      </c>
    </row>
    <row r="270" spans="6:8" x14ac:dyDescent="0.25">
      <c r="F270" s="32">
        <v>2</v>
      </c>
      <c r="G270" s="32">
        <v>51</v>
      </c>
      <c r="H270" s="28" t="s">
        <v>311</v>
      </c>
    </row>
    <row r="271" spans="6:8" x14ac:dyDescent="0.25">
      <c r="F271" s="32">
        <v>2</v>
      </c>
      <c r="G271" s="32">
        <v>52</v>
      </c>
      <c r="H271" s="28" t="s">
        <v>312</v>
      </c>
    </row>
    <row r="272" spans="6:8" x14ac:dyDescent="0.25">
      <c r="F272" s="32">
        <v>2</v>
      </c>
      <c r="G272" s="32">
        <v>53</v>
      </c>
      <c r="H272" s="28" t="s">
        <v>313</v>
      </c>
    </row>
    <row r="273" spans="6:8" x14ac:dyDescent="0.25">
      <c r="F273" s="32">
        <v>2</v>
      </c>
      <c r="G273" s="32">
        <v>54</v>
      </c>
      <c r="H273" s="28" t="s">
        <v>314</v>
      </c>
    </row>
    <row r="274" spans="6:8" x14ac:dyDescent="0.25">
      <c r="F274" s="32">
        <v>2</v>
      </c>
      <c r="G274" s="32">
        <v>55</v>
      </c>
      <c r="H274" s="28" t="s">
        <v>315</v>
      </c>
    </row>
    <row r="275" spans="6:8" x14ac:dyDescent="0.25">
      <c r="F275" s="32">
        <v>2</v>
      </c>
      <c r="G275" s="32">
        <v>56</v>
      </c>
      <c r="H275" s="28" t="s">
        <v>316</v>
      </c>
    </row>
    <row r="276" spans="6:8" x14ac:dyDescent="0.25">
      <c r="F276" s="32">
        <v>2</v>
      </c>
      <c r="G276" s="32">
        <v>60</v>
      </c>
      <c r="H276" s="28" t="s">
        <v>317</v>
      </c>
    </row>
    <row r="277" spans="6:8" x14ac:dyDescent="0.25">
      <c r="F277" s="32">
        <v>2</v>
      </c>
      <c r="G277" s="32">
        <v>61</v>
      </c>
      <c r="H277" s="28" t="s">
        <v>318</v>
      </c>
    </row>
    <row r="278" spans="6:8" x14ac:dyDescent="0.25">
      <c r="F278" s="32">
        <v>2</v>
      </c>
      <c r="G278" s="32">
        <v>62</v>
      </c>
      <c r="H278" s="28" t="s">
        <v>319</v>
      </c>
    </row>
    <row r="279" spans="6:8" x14ac:dyDescent="0.25">
      <c r="F279" s="32">
        <v>2</v>
      </c>
      <c r="G279" s="32">
        <v>63</v>
      </c>
      <c r="H279" s="28" t="s">
        <v>320</v>
      </c>
    </row>
    <row r="280" spans="6:8" x14ac:dyDescent="0.25">
      <c r="F280" s="32">
        <v>2</v>
      </c>
      <c r="G280" s="32">
        <v>64</v>
      </c>
      <c r="H280" s="28" t="s">
        <v>321</v>
      </c>
    </row>
    <row r="281" spans="6:8" x14ac:dyDescent="0.25">
      <c r="F281" s="32">
        <v>2</v>
      </c>
      <c r="G281" s="32">
        <v>65</v>
      </c>
      <c r="H281" s="28" t="s">
        <v>322</v>
      </c>
    </row>
    <row r="282" spans="6:8" x14ac:dyDescent="0.25">
      <c r="F282" s="32">
        <v>2</v>
      </c>
      <c r="G282" s="32">
        <v>66</v>
      </c>
      <c r="H282" s="28" t="s">
        <v>323</v>
      </c>
    </row>
    <row r="283" spans="6:8" x14ac:dyDescent="0.25">
      <c r="F283" s="32">
        <v>2</v>
      </c>
      <c r="G283" s="32">
        <v>67</v>
      </c>
      <c r="H283" s="28" t="s">
        <v>324</v>
      </c>
    </row>
    <row r="284" spans="6:8" x14ac:dyDescent="0.25">
      <c r="F284" s="32">
        <v>2</v>
      </c>
      <c r="G284" s="32">
        <v>68</v>
      </c>
      <c r="H284" s="28" t="s">
        <v>325</v>
      </c>
    </row>
    <row r="285" spans="6:8" x14ac:dyDescent="0.25">
      <c r="F285" s="32">
        <v>2</v>
      </c>
      <c r="G285" s="32">
        <v>70</v>
      </c>
      <c r="H285" s="28" t="s">
        <v>326</v>
      </c>
    </row>
    <row r="286" spans="6:8" x14ac:dyDescent="0.25">
      <c r="F286" s="32">
        <v>2</v>
      </c>
      <c r="G286" s="32">
        <v>71</v>
      </c>
      <c r="H286" s="28" t="s">
        <v>327</v>
      </c>
    </row>
    <row r="287" spans="6:8" x14ac:dyDescent="0.25">
      <c r="F287" s="32">
        <v>2</v>
      </c>
      <c r="G287" s="32">
        <v>72</v>
      </c>
      <c r="H287" s="28" t="s">
        <v>328</v>
      </c>
    </row>
    <row r="288" spans="6:8" x14ac:dyDescent="0.25">
      <c r="F288" s="32">
        <v>2</v>
      </c>
      <c r="G288" s="32">
        <v>73</v>
      </c>
      <c r="H288" s="28" t="s">
        <v>329</v>
      </c>
    </row>
    <row r="289" spans="6:8" x14ac:dyDescent="0.25">
      <c r="F289" s="32">
        <v>2</v>
      </c>
      <c r="G289" s="32">
        <v>74</v>
      </c>
      <c r="H289" s="28" t="s">
        <v>330</v>
      </c>
    </row>
    <row r="290" spans="6:8" x14ac:dyDescent="0.25">
      <c r="F290" s="32">
        <v>2</v>
      </c>
      <c r="G290" s="32">
        <v>75</v>
      </c>
      <c r="H290" s="28" t="s">
        <v>331</v>
      </c>
    </row>
    <row r="291" spans="6:8" x14ac:dyDescent="0.25">
      <c r="F291" s="32">
        <v>2</v>
      </c>
      <c r="G291" s="32">
        <v>76</v>
      </c>
      <c r="H291" s="28" t="s">
        <v>332</v>
      </c>
    </row>
    <row r="292" spans="6:8" x14ac:dyDescent="0.25">
      <c r="F292" s="32">
        <v>2</v>
      </c>
      <c r="G292" s="32">
        <v>77</v>
      </c>
      <c r="H292" s="28" t="s">
        <v>333</v>
      </c>
    </row>
    <row r="293" spans="6:8" x14ac:dyDescent="0.25">
      <c r="F293" s="32">
        <v>2</v>
      </c>
      <c r="G293" s="32">
        <v>78</v>
      </c>
      <c r="H293" s="28" t="s">
        <v>334</v>
      </c>
    </row>
    <row r="294" spans="6:8" x14ac:dyDescent="0.25">
      <c r="F294" s="32">
        <v>2</v>
      </c>
      <c r="G294" s="32">
        <v>79</v>
      </c>
      <c r="H294" s="28" t="s">
        <v>335</v>
      </c>
    </row>
    <row r="295" spans="6:8" x14ac:dyDescent="0.25">
      <c r="F295" s="32">
        <v>2</v>
      </c>
      <c r="G295" s="32">
        <v>80</v>
      </c>
      <c r="H295" s="28" t="s">
        <v>336</v>
      </c>
    </row>
    <row r="296" spans="6:8" x14ac:dyDescent="0.25">
      <c r="F296" s="32">
        <v>2</v>
      </c>
      <c r="G296" s="32">
        <v>81</v>
      </c>
      <c r="H296" s="28" t="s">
        <v>337</v>
      </c>
    </row>
    <row r="297" spans="6:8" x14ac:dyDescent="0.25">
      <c r="F297" s="32">
        <v>2</v>
      </c>
      <c r="G297" s="32">
        <v>82</v>
      </c>
      <c r="H297" s="28" t="s">
        <v>338</v>
      </c>
    </row>
    <row r="298" spans="6:8" x14ac:dyDescent="0.25">
      <c r="F298" s="32">
        <v>2</v>
      </c>
      <c r="G298" s="32">
        <v>83</v>
      </c>
      <c r="H298" s="28" t="s">
        <v>339</v>
      </c>
    </row>
    <row r="299" spans="6:8" x14ac:dyDescent="0.25">
      <c r="F299" s="32">
        <v>2</v>
      </c>
      <c r="G299" s="32">
        <v>84</v>
      </c>
      <c r="H299" s="28" t="s">
        <v>340</v>
      </c>
    </row>
    <row r="300" spans="6:8" x14ac:dyDescent="0.25">
      <c r="F300" s="32">
        <v>2</v>
      </c>
      <c r="G300" s="32">
        <v>90</v>
      </c>
      <c r="H300" s="28" t="s">
        <v>341</v>
      </c>
    </row>
    <row r="301" spans="6:8" x14ac:dyDescent="0.25">
      <c r="F301" s="32">
        <v>2</v>
      </c>
      <c r="G301" s="32">
        <v>100</v>
      </c>
      <c r="H301" s="28" t="s">
        <v>342</v>
      </c>
    </row>
    <row r="302" spans="6:8" x14ac:dyDescent="0.25">
      <c r="F302" s="32">
        <v>2</v>
      </c>
      <c r="G302" s="32">
        <v>110</v>
      </c>
      <c r="H302" s="28" t="s">
        <v>343</v>
      </c>
    </row>
    <row r="303" spans="6:8" x14ac:dyDescent="0.25">
      <c r="F303" s="32">
        <v>2</v>
      </c>
      <c r="G303" s="32">
        <v>111</v>
      </c>
      <c r="H303" s="28" t="s">
        <v>344</v>
      </c>
    </row>
    <row r="304" spans="6:8" x14ac:dyDescent="0.25">
      <c r="F304" s="32">
        <v>2</v>
      </c>
      <c r="G304" s="32">
        <v>112</v>
      </c>
      <c r="H304" s="28" t="s">
        <v>345</v>
      </c>
    </row>
    <row r="305" spans="6:8" x14ac:dyDescent="0.25">
      <c r="F305" s="32">
        <v>2</v>
      </c>
      <c r="G305" s="32">
        <v>113</v>
      </c>
      <c r="H305" s="28" t="s">
        <v>346</v>
      </c>
    </row>
    <row r="306" spans="6:8" x14ac:dyDescent="0.25">
      <c r="F306" s="32">
        <v>2</v>
      </c>
      <c r="G306" s="32">
        <v>114</v>
      </c>
      <c r="H306" s="28" t="s">
        <v>347</v>
      </c>
    </row>
    <row r="307" spans="6:8" x14ac:dyDescent="0.25">
      <c r="F307" s="32">
        <v>2</v>
      </c>
      <c r="G307" s="32">
        <v>115</v>
      </c>
      <c r="H307" s="28" t="s">
        <v>348</v>
      </c>
    </row>
    <row r="308" spans="6:8" x14ac:dyDescent="0.25">
      <c r="F308" s="32">
        <v>2</v>
      </c>
      <c r="G308" s="32">
        <v>116</v>
      </c>
      <c r="H308" s="28" t="s">
        <v>349</v>
      </c>
    </row>
    <row r="309" spans="6:8" x14ac:dyDescent="0.25">
      <c r="F309" s="32">
        <v>2</v>
      </c>
      <c r="G309" s="32">
        <v>117</v>
      </c>
      <c r="H309" s="28" t="s">
        <v>350</v>
      </c>
    </row>
    <row r="310" spans="6:8" x14ac:dyDescent="0.25">
      <c r="F310" s="32">
        <v>2</v>
      </c>
      <c r="G310" s="32">
        <v>118</v>
      </c>
      <c r="H310" s="28" t="s">
        <v>351</v>
      </c>
    </row>
    <row r="311" spans="6:8" x14ac:dyDescent="0.25">
      <c r="F311" s="32">
        <v>2</v>
      </c>
      <c r="G311" s="32">
        <v>119</v>
      </c>
      <c r="H311" s="28" t="s">
        <v>352</v>
      </c>
    </row>
    <row r="312" spans="6:8" x14ac:dyDescent="0.25">
      <c r="F312" s="32">
        <v>2</v>
      </c>
      <c r="G312" s="32">
        <v>120</v>
      </c>
      <c r="H312" s="28" t="s">
        <v>353</v>
      </c>
    </row>
    <row r="313" spans="6:8" x14ac:dyDescent="0.25">
      <c r="F313" s="32">
        <v>2</v>
      </c>
      <c r="G313" s="32">
        <v>121</v>
      </c>
      <c r="H313" s="28" t="s">
        <v>354</v>
      </c>
    </row>
    <row r="314" spans="6:8" x14ac:dyDescent="0.25">
      <c r="F314" s="32">
        <v>2</v>
      </c>
      <c r="G314" s="32">
        <v>130</v>
      </c>
      <c r="H314" s="28" t="s">
        <v>120</v>
      </c>
    </row>
    <row r="315" spans="6:8" x14ac:dyDescent="0.25">
      <c r="F315" s="32">
        <v>2</v>
      </c>
      <c r="G315" s="32">
        <v>131</v>
      </c>
      <c r="H315" s="28" t="s">
        <v>121</v>
      </c>
    </row>
    <row r="316" spans="6:8" x14ac:dyDescent="0.25">
      <c r="F316" s="32">
        <v>2</v>
      </c>
      <c r="G316" s="32">
        <v>132</v>
      </c>
      <c r="H316" s="28" t="s">
        <v>355</v>
      </c>
    </row>
    <row r="317" spans="6:8" x14ac:dyDescent="0.25">
      <c r="F317" s="32">
        <v>2</v>
      </c>
      <c r="G317" s="32">
        <v>133</v>
      </c>
      <c r="H317" s="28" t="s">
        <v>356</v>
      </c>
    </row>
    <row r="318" spans="6:8" x14ac:dyDescent="0.25">
      <c r="F318" s="32">
        <v>2</v>
      </c>
      <c r="G318" s="32">
        <v>134</v>
      </c>
      <c r="H318" s="28" t="s">
        <v>357</v>
      </c>
    </row>
    <row r="319" spans="6:8" x14ac:dyDescent="0.25">
      <c r="F319" s="32">
        <v>2</v>
      </c>
      <c r="G319" s="32">
        <v>135</v>
      </c>
      <c r="H319" s="28" t="s">
        <v>358</v>
      </c>
    </row>
    <row r="320" spans="6:8" x14ac:dyDescent="0.25">
      <c r="F320" s="32">
        <v>2</v>
      </c>
      <c r="G320" s="32">
        <v>136</v>
      </c>
      <c r="H320" s="28" t="s">
        <v>359</v>
      </c>
    </row>
    <row r="321" spans="6:8" x14ac:dyDescent="0.25">
      <c r="F321" s="32">
        <v>2</v>
      </c>
      <c r="G321" s="32">
        <v>137</v>
      </c>
      <c r="H321" s="28" t="s">
        <v>360</v>
      </c>
    </row>
    <row r="322" spans="6:8" x14ac:dyDescent="0.25">
      <c r="F322" s="32">
        <v>2</v>
      </c>
      <c r="G322" s="32">
        <v>138</v>
      </c>
      <c r="H322" s="28" t="s">
        <v>361</v>
      </c>
    </row>
    <row r="323" spans="6:8" x14ac:dyDescent="0.25">
      <c r="F323" s="32">
        <v>2</v>
      </c>
      <c r="G323" s="32">
        <v>139</v>
      </c>
      <c r="H323" s="28" t="s">
        <v>362</v>
      </c>
    </row>
    <row r="324" spans="6:8" x14ac:dyDescent="0.25">
      <c r="F324" s="32">
        <v>2</v>
      </c>
      <c r="G324" s="32">
        <v>148</v>
      </c>
      <c r="H324" s="28" t="s">
        <v>363</v>
      </c>
    </row>
    <row r="325" spans="6:8" x14ac:dyDescent="0.25">
      <c r="F325" s="32">
        <v>2</v>
      </c>
      <c r="G325" s="32">
        <v>150</v>
      </c>
      <c r="H325" s="28" t="s">
        <v>364</v>
      </c>
    </row>
    <row r="326" spans="6:8" x14ac:dyDescent="0.25">
      <c r="F326" s="32">
        <v>2</v>
      </c>
      <c r="G326" s="32">
        <v>151</v>
      </c>
      <c r="H326" s="28" t="s">
        <v>49</v>
      </c>
    </row>
    <row r="327" spans="6:8" x14ac:dyDescent="0.25">
      <c r="F327" s="32">
        <v>2</v>
      </c>
      <c r="G327" s="32">
        <v>152</v>
      </c>
      <c r="H327" s="28" t="s">
        <v>50</v>
      </c>
    </row>
    <row r="328" spans="6:8" x14ac:dyDescent="0.25">
      <c r="F328" s="32">
        <v>2</v>
      </c>
      <c r="G328" s="32">
        <v>153</v>
      </c>
      <c r="H328" s="28" t="s">
        <v>51</v>
      </c>
    </row>
    <row r="329" spans="6:8" x14ac:dyDescent="0.25">
      <c r="F329" s="32">
        <v>2</v>
      </c>
      <c r="G329" s="32">
        <v>154</v>
      </c>
      <c r="H329" s="28" t="s">
        <v>365</v>
      </c>
    </row>
    <row r="330" spans="6:8" x14ac:dyDescent="0.25">
      <c r="F330" s="32">
        <v>2</v>
      </c>
      <c r="G330" s="32">
        <v>155</v>
      </c>
      <c r="H330" s="28" t="s">
        <v>53</v>
      </c>
    </row>
    <row r="331" spans="6:8" x14ac:dyDescent="0.25">
      <c r="F331" s="32">
        <v>2</v>
      </c>
      <c r="G331" s="32">
        <v>156</v>
      </c>
      <c r="H331" s="28" t="s">
        <v>54</v>
      </c>
    </row>
    <row r="332" spans="6:8" x14ac:dyDescent="0.25">
      <c r="F332" s="32">
        <v>2</v>
      </c>
      <c r="G332" s="32">
        <v>157</v>
      </c>
      <c r="H332" s="28" t="s">
        <v>55</v>
      </c>
    </row>
    <row r="333" spans="6:8" x14ac:dyDescent="0.25">
      <c r="F333" s="32">
        <v>2</v>
      </c>
      <c r="G333" s="32">
        <v>158</v>
      </c>
      <c r="H333" s="28" t="s">
        <v>366</v>
      </c>
    </row>
    <row r="334" spans="6:8" x14ac:dyDescent="0.25">
      <c r="F334" s="32">
        <v>2</v>
      </c>
      <c r="G334" s="32">
        <v>159</v>
      </c>
      <c r="H334" s="28" t="s">
        <v>57</v>
      </c>
    </row>
    <row r="335" spans="6:8" x14ac:dyDescent="0.25">
      <c r="F335" s="32">
        <v>2</v>
      </c>
      <c r="G335" s="32">
        <v>160</v>
      </c>
      <c r="H335" s="28" t="s">
        <v>367</v>
      </c>
    </row>
    <row r="336" spans="6:8" x14ac:dyDescent="0.25">
      <c r="F336" s="32">
        <v>2</v>
      </c>
      <c r="G336" s="32">
        <v>161</v>
      </c>
      <c r="H336" s="28" t="s">
        <v>368</v>
      </c>
    </row>
    <row r="337" spans="6:8" x14ac:dyDescent="0.25">
      <c r="F337" s="32">
        <v>2</v>
      </c>
      <c r="G337" s="32">
        <v>170</v>
      </c>
      <c r="H337" s="28" t="s">
        <v>369</v>
      </c>
    </row>
    <row r="338" spans="6:8" x14ac:dyDescent="0.25">
      <c r="F338" s="32">
        <v>2</v>
      </c>
      <c r="G338" s="32">
        <v>171</v>
      </c>
      <c r="H338" s="28" t="s">
        <v>370</v>
      </c>
    </row>
    <row r="339" spans="6:8" x14ac:dyDescent="0.25">
      <c r="F339" s="32">
        <v>2</v>
      </c>
      <c r="G339" s="32">
        <v>172</v>
      </c>
      <c r="H339" s="28" t="s">
        <v>371</v>
      </c>
    </row>
    <row r="340" spans="6:8" x14ac:dyDescent="0.25">
      <c r="F340" s="32">
        <v>2</v>
      </c>
      <c r="G340" s="32">
        <v>173</v>
      </c>
      <c r="H340" s="28" t="s">
        <v>372</v>
      </c>
    </row>
    <row r="341" spans="6:8" x14ac:dyDescent="0.25">
      <c r="F341" s="32">
        <v>2</v>
      </c>
      <c r="G341" s="32">
        <v>174</v>
      </c>
      <c r="H341" s="28" t="s">
        <v>373</v>
      </c>
    </row>
    <row r="342" spans="6:8" x14ac:dyDescent="0.25">
      <c r="F342" s="32">
        <v>2</v>
      </c>
      <c r="G342" s="32">
        <v>175</v>
      </c>
      <c r="H342" s="28" t="s">
        <v>374</v>
      </c>
    </row>
    <row r="343" spans="6:8" x14ac:dyDescent="0.25">
      <c r="F343" s="32">
        <v>2</v>
      </c>
      <c r="G343" s="32">
        <v>176</v>
      </c>
      <c r="H343" s="28" t="s">
        <v>375</v>
      </c>
    </row>
    <row r="344" spans="6:8" x14ac:dyDescent="0.25">
      <c r="F344" s="32">
        <v>2</v>
      </c>
      <c r="G344" s="32">
        <v>177</v>
      </c>
      <c r="H344" s="28" t="s">
        <v>376</v>
      </c>
    </row>
    <row r="345" spans="6:8" x14ac:dyDescent="0.25">
      <c r="F345" s="32">
        <v>2</v>
      </c>
      <c r="G345" s="32">
        <v>178</v>
      </c>
      <c r="H345" s="28" t="s">
        <v>377</v>
      </c>
    </row>
    <row r="346" spans="6:8" x14ac:dyDescent="0.25">
      <c r="F346" s="32">
        <v>2</v>
      </c>
      <c r="G346" s="32">
        <v>179</v>
      </c>
      <c r="H346" s="28" t="s">
        <v>378</v>
      </c>
    </row>
    <row r="347" spans="6:8" x14ac:dyDescent="0.25">
      <c r="F347" s="32">
        <v>2</v>
      </c>
      <c r="G347" s="32">
        <v>180</v>
      </c>
      <c r="H347" s="28" t="s">
        <v>379</v>
      </c>
    </row>
    <row r="348" spans="6:8" x14ac:dyDescent="0.25">
      <c r="F348" s="32">
        <v>2</v>
      </c>
      <c r="G348" s="32">
        <v>181</v>
      </c>
      <c r="H348" s="28" t="s">
        <v>380</v>
      </c>
    </row>
    <row r="349" spans="6:8" x14ac:dyDescent="0.25">
      <c r="F349" s="32">
        <v>2</v>
      </c>
      <c r="G349" s="32">
        <v>183</v>
      </c>
      <c r="H349" s="28" t="s">
        <v>381</v>
      </c>
    </row>
    <row r="350" spans="6:8" x14ac:dyDescent="0.25">
      <c r="F350" s="32">
        <v>2</v>
      </c>
      <c r="G350" s="32">
        <v>184</v>
      </c>
      <c r="H350" s="28" t="s">
        <v>382</v>
      </c>
    </row>
    <row r="351" spans="6:8" x14ac:dyDescent="0.25">
      <c r="F351" s="32">
        <v>2</v>
      </c>
      <c r="G351" s="32">
        <v>185</v>
      </c>
      <c r="H351" s="28" t="s">
        <v>383</v>
      </c>
    </row>
    <row r="352" spans="6:8" x14ac:dyDescent="0.25">
      <c r="F352" s="32">
        <v>2</v>
      </c>
      <c r="G352" s="32">
        <v>186</v>
      </c>
      <c r="H352" s="28" t="s">
        <v>384</v>
      </c>
    </row>
    <row r="353" spans="6:8" x14ac:dyDescent="0.25">
      <c r="F353" s="32">
        <v>2</v>
      </c>
      <c r="G353" s="32">
        <v>187</v>
      </c>
      <c r="H353" s="28" t="s">
        <v>385</v>
      </c>
    </row>
    <row r="354" spans="6:8" x14ac:dyDescent="0.25">
      <c r="F354" s="32">
        <v>2</v>
      </c>
      <c r="G354" s="32">
        <v>188</v>
      </c>
      <c r="H354" s="28" t="s">
        <v>386</v>
      </c>
    </row>
    <row r="355" spans="6:8" x14ac:dyDescent="0.25">
      <c r="F355" s="32">
        <v>2</v>
      </c>
      <c r="G355" s="32">
        <v>189</v>
      </c>
      <c r="H355" s="28" t="s">
        <v>387</v>
      </c>
    </row>
    <row r="356" spans="6:8" x14ac:dyDescent="0.25">
      <c r="F356" s="32">
        <v>2</v>
      </c>
      <c r="G356" s="32">
        <v>190</v>
      </c>
      <c r="H356" s="28" t="s">
        <v>388</v>
      </c>
    </row>
    <row r="357" spans="6:8" x14ac:dyDescent="0.25">
      <c r="F357" s="32">
        <v>2</v>
      </c>
      <c r="G357" s="32">
        <v>191</v>
      </c>
      <c r="H357" s="28" t="s">
        <v>389</v>
      </c>
    </row>
    <row r="358" spans="6:8" x14ac:dyDescent="0.25">
      <c r="F358" s="32">
        <v>2</v>
      </c>
      <c r="G358" s="32">
        <v>192</v>
      </c>
      <c r="H358" s="28" t="s">
        <v>390</v>
      </c>
    </row>
    <row r="359" spans="6:8" x14ac:dyDescent="0.25">
      <c r="F359" s="32">
        <v>2</v>
      </c>
      <c r="G359" s="32">
        <v>193</v>
      </c>
      <c r="H359" s="28" t="s">
        <v>391</v>
      </c>
    </row>
    <row r="360" spans="6:8" x14ac:dyDescent="0.25">
      <c r="F360" s="32">
        <v>2</v>
      </c>
      <c r="G360" s="32">
        <v>194</v>
      </c>
      <c r="H360" s="28" t="s">
        <v>392</v>
      </c>
    </row>
    <row r="361" spans="6:8" x14ac:dyDescent="0.25">
      <c r="F361" s="32">
        <v>2</v>
      </c>
      <c r="G361" s="32">
        <v>195</v>
      </c>
      <c r="H361" s="28" t="s">
        <v>393</v>
      </c>
    </row>
    <row r="362" spans="6:8" x14ac:dyDescent="0.25">
      <c r="F362" s="32">
        <v>2</v>
      </c>
      <c r="G362" s="32">
        <v>196</v>
      </c>
      <c r="H362" s="28" t="s">
        <v>394</v>
      </c>
    </row>
    <row r="363" spans="6:8" x14ac:dyDescent="0.25">
      <c r="F363" s="32">
        <v>2</v>
      </c>
      <c r="G363" s="32">
        <v>198</v>
      </c>
      <c r="H363" s="28" t="s">
        <v>395</v>
      </c>
    </row>
    <row r="364" spans="6:8" x14ac:dyDescent="0.25">
      <c r="F364" s="32">
        <v>2</v>
      </c>
      <c r="G364" s="32">
        <v>200</v>
      </c>
      <c r="H364" s="28" t="s">
        <v>396</v>
      </c>
    </row>
    <row r="365" spans="6:8" x14ac:dyDescent="0.25">
      <c r="F365" s="32">
        <v>2</v>
      </c>
      <c r="G365" s="32">
        <v>202</v>
      </c>
      <c r="H365" s="28" t="s">
        <v>397</v>
      </c>
    </row>
    <row r="366" spans="6:8" x14ac:dyDescent="0.25">
      <c r="F366" s="32">
        <v>2</v>
      </c>
      <c r="G366" s="32">
        <v>210</v>
      </c>
      <c r="H366" s="28" t="s">
        <v>398</v>
      </c>
    </row>
    <row r="367" spans="6:8" x14ac:dyDescent="0.25">
      <c r="F367" s="32">
        <v>2</v>
      </c>
      <c r="G367" s="32">
        <v>211</v>
      </c>
      <c r="H367" s="28" t="s">
        <v>399</v>
      </c>
    </row>
    <row r="368" spans="6:8" x14ac:dyDescent="0.25">
      <c r="F368" s="32">
        <v>2</v>
      </c>
      <c r="G368" s="32">
        <v>212</v>
      </c>
      <c r="H368" s="28" t="s">
        <v>400</v>
      </c>
    </row>
    <row r="369" spans="6:8" x14ac:dyDescent="0.25">
      <c r="F369" s="32">
        <v>2</v>
      </c>
      <c r="G369" s="32">
        <v>213</v>
      </c>
      <c r="H369" s="28" t="s">
        <v>401</v>
      </c>
    </row>
    <row r="370" spans="6:8" x14ac:dyDescent="0.25">
      <c r="F370" s="32">
        <v>2</v>
      </c>
      <c r="G370" s="32">
        <v>214</v>
      </c>
      <c r="H370" s="28" t="s">
        <v>402</v>
      </c>
    </row>
    <row r="371" spans="6:8" x14ac:dyDescent="0.25">
      <c r="F371" s="32">
        <v>2</v>
      </c>
      <c r="G371" s="32">
        <v>215</v>
      </c>
      <c r="H371" s="28" t="s">
        <v>103</v>
      </c>
    </row>
    <row r="372" spans="6:8" x14ac:dyDescent="0.25">
      <c r="F372" s="32">
        <v>2</v>
      </c>
      <c r="G372" s="32">
        <v>217</v>
      </c>
      <c r="H372" s="28" t="s">
        <v>403</v>
      </c>
    </row>
    <row r="373" spans="6:8" x14ac:dyDescent="0.25">
      <c r="F373" s="32">
        <v>2</v>
      </c>
      <c r="G373" s="32">
        <v>220</v>
      </c>
      <c r="H373" s="28" t="s">
        <v>404</v>
      </c>
    </row>
    <row r="374" spans="6:8" x14ac:dyDescent="0.25">
      <c r="F374" s="32">
        <v>2</v>
      </c>
      <c r="G374" s="32">
        <v>221</v>
      </c>
      <c r="H374" s="28" t="s">
        <v>405</v>
      </c>
    </row>
    <row r="375" spans="6:8" x14ac:dyDescent="0.25">
      <c r="F375" s="32">
        <v>2</v>
      </c>
      <c r="G375" s="32">
        <v>222</v>
      </c>
      <c r="H375" s="28" t="s">
        <v>406</v>
      </c>
    </row>
    <row r="376" spans="6:8" x14ac:dyDescent="0.25">
      <c r="F376" s="32">
        <v>2</v>
      </c>
      <c r="G376" s="32">
        <v>223</v>
      </c>
      <c r="H376" s="28" t="s">
        <v>407</v>
      </c>
    </row>
    <row r="377" spans="6:8" x14ac:dyDescent="0.25">
      <c r="F377" s="32">
        <v>2</v>
      </c>
      <c r="G377" s="32">
        <v>224</v>
      </c>
      <c r="H377" s="28" t="s">
        <v>408</v>
      </c>
    </row>
    <row r="378" spans="6:8" x14ac:dyDescent="0.25">
      <c r="F378" s="32">
        <v>2</v>
      </c>
      <c r="G378" s="32">
        <v>225</v>
      </c>
      <c r="H378" s="28" t="s">
        <v>409</v>
      </c>
    </row>
    <row r="379" spans="6:8" x14ac:dyDescent="0.25">
      <c r="F379" s="32">
        <v>2</v>
      </c>
      <c r="G379" s="32">
        <v>230</v>
      </c>
      <c r="H379" s="28" t="s">
        <v>410</v>
      </c>
    </row>
    <row r="380" spans="6:8" x14ac:dyDescent="0.25">
      <c r="F380" s="32">
        <v>2</v>
      </c>
      <c r="G380" s="32">
        <v>231</v>
      </c>
      <c r="H380" s="28" t="s">
        <v>411</v>
      </c>
    </row>
    <row r="381" spans="6:8" x14ac:dyDescent="0.25">
      <c r="F381" s="32">
        <v>2</v>
      </c>
      <c r="G381" s="32">
        <v>232</v>
      </c>
      <c r="H381" s="28" t="s">
        <v>412</v>
      </c>
    </row>
    <row r="382" spans="6:8" x14ac:dyDescent="0.25">
      <c r="F382" s="32">
        <v>2</v>
      </c>
      <c r="G382" s="32">
        <v>233</v>
      </c>
      <c r="H382" s="28" t="s">
        <v>413</v>
      </c>
    </row>
    <row r="383" spans="6:8" x14ac:dyDescent="0.25">
      <c r="F383" s="32">
        <v>2</v>
      </c>
      <c r="G383" s="32">
        <v>234</v>
      </c>
      <c r="H383" s="28" t="s">
        <v>414</v>
      </c>
    </row>
    <row r="384" spans="6:8" x14ac:dyDescent="0.25">
      <c r="F384" s="32">
        <v>2</v>
      </c>
      <c r="G384" s="32">
        <v>235</v>
      </c>
      <c r="H384" s="28" t="s">
        <v>415</v>
      </c>
    </row>
    <row r="385" spans="6:8" x14ac:dyDescent="0.25">
      <c r="F385" s="32">
        <v>2</v>
      </c>
      <c r="G385" s="32">
        <v>236</v>
      </c>
      <c r="H385" s="28" t="s">
        <v>416</v>
      </c>
    </row>
    <row r="386" spans="6:8" x14ac:dyDescent="0.25">
      <c r="F386" s="32">
        <v>2</v>
      </c>
      <c r="G386" s="32">
        <v>237</v>
      </c>
      <c r="H386" s="28" t="s">
        <v>417</v>
      </c>
    </row>
    <row r="387" spans="6:8" x14ac:dyDescent="0.25">
      <c r="F387" s="32">
        <v>2</v>
      </c>
      <c r="G387" s="32">
        <v>238</v>
      </c>
      <c r="H387" s="28" t="s">
        <v>418</v>
      </c>
    </row>
    <row r="388" spans="6:8" x14ac:dyDescent="0.25">
      <c r="F388" s="32">
        <v>2</v>
      </c>
      <c r="G388" s="32">
        <v>239</v>
      </c>
      <c r="H388" s="28" t="s">
        <v>419</v>
      </c>
    </row>
    <row r="389" spans="6:8" x14ac:dyDescent="0.25">
      <c r="F389" s="32">
        <v>2</v>
      </c>
      <c r="G389" s="32">
        <v>240</v>
      </c>
      <c r="H389" s="28" t="s">
        <v>420</v>
      </c>
    </row>
    <row r="390" spans="6:8" x14ac:dyDescent="0.25">
      <c r="F390" s="32">
        <v>2</v>
      </c>
      <c r="G390" s="32">
        <v>250</v>
      </c>
      <c r="H390" s="28" t="s">
        <v>421</v>
      </c>
    </row>
    <row r="391" spans="6:8" x14ac:dyDescent="0.25">
      <c r="F391" s="32">
        <v>2</v>
      </c>
      <c r="G391" s="32">
        <v>251</v>
      </c>
      <c r="H391" s="28" t="s">
        <v>59</v>
      </c>
    </row>
    <row r="392" spans="6:8" x14ac:dyDescent="0.25">
      <c r="F392" s="32">
        <v>2</v>
      </c>
      <c r="G392" s="32">
        <v>253</v>
      </c>
      <c r="H392" s="28" t="s">
        <v>422</v>
      </c>
    </row>
    <row r="393" spans="6:8" x14ac:dyDescent="0.25">
      <c r="F393" s="32">
        <v>2</v>
      </c>
      <c r="G393" s="32">
        <v>254</v>
      </c>
      <c r="H393" s="28" t="s">
        <v>423</v>
      </c>
    </row>
    <row r="394" spans="6:8" x14ac:dyDescent="0.25">
      <c r="F394" s="32">
        <v>2</v>
      </c>
      <c r="G394" s="32">
        <v>256</v>
      </c>
      <c r="H394" s="28" t="s">
        <v>424</v>
      </c>
    </row>
    <row r="395" spans="6:8" x14ac:dyDescent="0.25">
      <c r="F395" s="32">
        <v>2</v>
      </c>
      <c r="G395" s="32">
        <v>257</v>
      </c>
      <c r="H395" s="28" t="s">
        <v>425</v>
      </c>
    </row>
    <row r="396" spans="6:8" x14ac:dyDescent="0.25">
      <c r="F396" s="32">
        <v>2</v>
      </c>
      <c r="G396" s="32">
        <v>258</v>
      </c>
      <c r="H396" s="28" t="s">
        <v>426</v>
      </c>
    </row>
    <row r="397" spans="6:8" x14ac:dyDescent="0.25">
      <c r="F397" s="32">
        <v>2</v>
      </c>
      <c r="G397" s="32">
        <v>259</v>
      </c>
      <c r="H397" s="28" t="s">
        <v>427</v>
      </c>
    </row>
    <row r="398" spans="6:8" x14ac:dyDescent="0.25">
      <c r="F398" s="32">
        <v>2</v>
      </c>
      <c r="G398" s="32">
        <v>260</v>
      </c>
      <c r="H398" s="28" t="s">
        <v>428</v>
      </c>
    </row>
    <row r="399" spans="6:8" x14ac:dyDescent="0.25">
      <c r="F399" s="32">
        <v>2</v>
      </c>
      <c r="G399" s="32">
        <v>261</v>
      </c>
      <c r="H399" s="28" t="s">
        <v>429</v>
      </c>
    </row>
    <row r="400" spans="6:8" x14ac:dyDescent="0.25">
      <c r="F400" s="32">
        <v>2</v>
      </c>
      <c r="G400" s="32">
        <v>264</v>
      </c>
      <c r="H400" s="28" t="s">
        <v>430</v>
      </c>
    </row>
    <row r="401" spans="6:8" x14ac:dyDescent="0.25">
      <c r="F401" s="32">
        <v>2</v>
      </c>
      <c r="G401" s="32">
        <v>265</v>
      </c>
      <c r="H401" s="28" t="s">
        <v>431</v>
      </c>
    </row>
    <row r="402" spans="6:8" x14ac:dyDescent="0.25">
      <c r="F402" s="32">
        <v>2</v>
      </c>
      <c r="G402" s="32">
        <v>266</v>
      </c>
      <c r="H402" s="28" t="s">
        <v>432</v>
      </c>
    </row>
    <row r="403" spans="6:8" x14ac:dyDescent="0.25">
      <c r="F403" s="32">
        <v>2</v>
      </c>
      <c r="G403" s="32">
        <v>267</v>
      </c>
      <c r="H403" s="28" t="s">
        <v>433</v>
      </c>
    </row>
    <row r="404" spans="6:8" x14ac:dyDescent="0.25">
      <c r="F404" s="32">
        <v>2</v>
      </c>
      <c r="G404" s="32">
        <v>268</v>
      </c>
      <c r="H404" s="28" t="s">
        <v>434</v>
      </c>
    </row>
    <row r="405" spans="6:8" x14ac:dyDescent="0.25">
      <c r="F405" s="32">
        <v>2</v>
      </c>
      <c r="G405" s="32">
        <v>269</v>
      </c>
      <c r="H405" s="28" t="s">
        <v>435</v>
      </c>
    </row>
    <row r="406" spans="6:8" x14ac:dyDescent="0.25">
      <c r="F406" s="32">
        <v>2</v>
      </c>
      <c r="G406" s="32">
        <v>270</v>
      </c>
      <c r="H406" s="28" t="s">
        <v>436</v>
      </c>
    </row>
    <row r="407" spans="6:8" x14ac:dyDescent="0.25">
      <c r="F407" s="32">
        <v>2</v>
      </c>
      <c r="G407" s="32">
        <v>271</v>
      </c>
      <c r="H407" s="28" t="s">
        <v>437</v>
      </c>
    </row>
    <row r="408" spans="6:8" x14ac:dyDescent="0.25">
      <c r="F408" s="32">
        <v>2</v>
      </c>
      <c r="G408" s="32">
        <v>272</v>
      </c>
      <c r="H408" s="28" t="s">
        <v>438</v>
      </c>
    </row>
    <row r="409" spans="6:8" x14ac:dyDescent="0.25">
      <c r="F409" s="32">
        <v>2</v>
      </c>
      <c r="G409" s="32">
        <v>273</v>
      </c>
      <c r="H409" s="28" t="s">
        <v>439</v>
      </c>
    </row>
    <row r="410" spans="6:8" x14ac:dyDescent="0.25">
      <c r="F410" s="32">
        <v>2</v>
      </c>
      <c r="G410" s="32">
        <v>274</v>
      </c>
      <c r="H410" s="28" t="s">
        <v>440</v>
      </c>
    </row>
    <row r="411" spans="6:8" x14ac:dyDescent="0.25">
      <c r="F411" s="32">
        <v>2</v>
      </c>
      <c r="G411" s="32">
        <v>275</v>
      </c>
      <c r="H411" s="28" t="s">
        <v>441</v>
      </c>
    </row>
    <row r="412" spans="6:8" x14ac:dyDescent="0.25">
      <c r="F412" s="32">
        <v>2</v>
      </c>
      <c r="G412" s="32">
        <v>276</v>
      </c>
      <c r="H412" s="28" t="s">
        <v>442</v>
      </c>
    </row>
    <row r="413" spans="6:8" x14ac:dyDescent="0.25">
      <c r="F413" s="32">
        <v>2</v>
      </c>
      <c r="G413" s="32">
        <v>277</v>
      </c>
      <c r="H413" s="28" t="s">
        <v>443</v>
      </c>
    </row>
    <row r="414" spans="6:8" x14ac:dyDescent="0.25">
      <c r="F414" s="32">
        <v>2</v>
      </c>
      <c r="G414" s="32">
        <v>280</v>
      </c>
      <c r="H414" s="28" t="s">
        <v>444</v>
      </c>
    </row>
    <row r="415" spans="6:8" x14ac:dyDescent="0.25">
      <c r="F415" s="32">
        <v>2</v>
      </c>
      <c r="G415" s="32">
        <v>281</v>
      </c>
      <c r="H415" s="28" t="s">
        <v>445</v>
      </c>
    </row>
    <row r="416" spans="6:8" x14ac:dyDescent="0.25">
      <c r="F416" s="32">
        <v>2</v>
      </c>
      <c r="G416" s="32">
        <v>282</v>
      </c>
      <c r="H416" s="28" t="s">
        <v>446</v>
      </c>
    </row>
    <row r="417" spans="6:8" x14ac:dyDescent="0.25">
      <c r="F417" s="32">
        <v>2</v>
      </c>
      <c r="G417" s="32">
        <v>283</v>
      </c>
      <c r="H417" s="28" t="s">
        <v>447</v>
      </c>
    </row>
    <row r="418" spans="6:8" x14ac:dyDescent="0.25">
      <c r="F418" s="32">
        <v>2</v>
      </c>
      <c r="G418" s="32">
        <v>284</v>
      </c>
      <c r="H418" s="28" t="s">
        <v>448</v>
      </c>
    </row>
    <row r="419" spans="6:8" x14ac:dyDescent="0.25">
      <c r="F419" s="32">
        <v>2</v>
      </c>
      <c r="G419" s="32">
        <v>290</v>
      </c>
      <c r="H419" s="28" t="s">
        <v>449</v>
      </c>
    </row>
    <row r="420" spans="6:8" x14ac:dyDescent="0.25">
      <c r="F420" s="32">
        <v>2</v>
      </c>
      <c r="G420" s="32">
        <v>291</v>
      </c>
      <c r="H420" s="28" t="s">
        <v>450</v>
      </c>
    </row>
    <row r="421" spans="6:8" x14ac:dyDescent="0.25">
      <c r="F421" s="32">
        <v>2</v>
      </c>
      <c r="G421" s="32">
        <v>292</v>
      </c>
      <c r="H421" s="28" t="s">
        <v>451</v>
      </c>
    </row>
    <row r="422" spans="6:8" x14ac:dyDescent="0.25">
      <c r="F422" s="32">
        <v>2</v>
      </c>
      <c r="G422" s="32">
        <v>295</v>
      </c>
      <c r="H422" s="28" t="s">
        <v>452</v>
      </c>
    </row>
    <row r="423" spans="6:8" x14ac:dyDescent="0.25">
      <c r="F423" s="32">
        <v>2</v>
      </c>
      <c r="G423" s="32">
        <v>297</v>
      </c>
      <c r="H423" s="28" t="s">
        <v>453</v>
      </c>
    </row>
    <row r="424" spans="6:8" x14ac:dyDescent="0.25">
      <c r="F424" s="32">
        <v>2</v>
      </c>
      <c r="G424" s="32">
        <v>298</v>
      </c>
      <c r="H424" s="28" t="s">
        <v>454</v>
      </c>
    </row>
    <row r="425" spans="6:8" x14ac:dyDescent="0.25">
      <c r="F425" s="32">
        <v>2</v>
      </c>
      <c r="G425" s="32">
        <v>305</v>
      </c>
      <c r="H425" s="28" t="s">
        <v>455</v>
      </c>
    </row>
    <row r="426" spans="6:8" x14ac:dyDescent="0.25">
      <c r="F426" s="32">
        <v>2</v>
      </c>
      <c r="G426" s="32">
        <v>306</v>
      </c>
      <c r="H426" s="28" t="s">
        <v>456</v>
      </c>
    </row>
    <row r="427" spans="6:8" x14ac:dyDescent="0.25">
      <c r="F427" s="32">
        <v>2</v>
      </c>
      <c r="G427" s="32">
        <v>307</v>
      </c>
      <c r="H427" s="28" t="s">
        <v>457</v>
      </c>
    </row>
    <row r="428" spans="6:8" x14ac:dyDescent="0.25">
      <c r="F428" s="32">
        <v>2</v>
      </c>
      <c r="G428" s="32">
        <v>308</v>
      </c>
      <c r="H428" s="28" t="s">
        <v>458</v>
      </c>
    </row>
    <row r="429" spans="6:8" x14ac:dyDescent="0.25">
      <c r="F429" s="32">
        <v>2</v>
      </c>
      <c r="G429" s="32">
        <v>309</v>
      </c>
      <c r="H429" s="28" t="s">
        <v>459</v>
      </c>
    </row>
    <row r="430" spans="6:8" x14ac:dyDescent="0.25">
      <c r="F430" s="32">
        <v>2</v>
      </c>
      <c r="G430" s="32">
        <v>310</v>
      </c>
      <c r="H430" s="28" t="s">
        <v>460</v>
      </c>
    </row>
    <row r="431" spans="6:8" x14ac:dyDescent="0.25">
      <c r="F431" s="32">
        <v>2</v>
      </c>
      <c r="G431" s="32">
        <v>311</v>
      </c>
      <c r="H431" s="28" t="s">
        <v>461</v>
      </c>
    </row>
    <row r="432" spans="6:8" x14ac:dyDescent="0.25">
      <c r="F432" s="32">
        <v>2</v>
      </c>
      <c r="G432" s="32">
        <v>312</v>
      </c>
      <c r="H432" s="28" t="s">
        <v>462</v>
      </c>
    </row>
    <row r="433" spans="6:8" x14ac:dyDescent="0.25">
      <c r="F433" s="32">
        <v>2</v>
      </c>
      <c r="G433" s="32">
        <v>313</v>
      </c>
      <c r="H433" s="28" t="s">
        <v>463</v>
      </c>
    </row>
    <row r="434" spans="6:8" x14ac:dyDescent="0.25">
      <c r="F434" s="32">
        <v>2</v>
      </c>
      <c r="G434" s="32">
        <v>314</v>
      </c>
      <c r="H434" s="28" t="s">
        <v>464</v>
      </c>
    </row>
    <row r="435" spans="6:8" x14ac:dyDescent="0.25">
      <c r="F435" s="32">
        <v>2</v>
      </c>
      <c r="G435" s="32">
        <v>315</v>
      </c>
      <c r="H435" s="28" t="s">
        <v>465</v>
      </c>
    </row>
    <row r="436" spans="6:8" x14ac:dyDescent="0.25">
      <c r="F436" s="32">
        <v>2</v>
      </c>
      <c r="G436" s="32">
        <v>316</v>
      </c>
      <c r="H436" s="28" t="s">
        <v>466</v>
      </c>
    </row>
    <row r="437" spans="6:8" x14ac:dyDescent="0.25">
      <c r="F437" s="32">
        <v>2</v>
      </c>
      <c r="G437" s="32">
        <v>317</v>
      </c>
      <c r="H437" s="28" t="s">
        <v>467</v>
      </c>
    </row>
    <row r="438" spans="6:8" x14ac:dyDescent="0.25">
      <c r="F438" s="32">
        <v>2</v>
      </c>
      <c r="G438" s="32">
        <v>318</v>
      </c>
      <c r="H438" s="28" t="s">
        <v>468</v>
      </c>
    </row>
    <row r="439" spans="6:8" x14ac:dyDescent="0.25">
      <c r="F439" s="32">
        <v>2</v>
      </c>
      <c r="G439" s="32">
        <v>319</v>
      </c>
      <c r="H439" s="28" t="s">
        <v>469</v>
      </c>
    </row>
    <row r="440" spans="6:8" x14ac:dyDescent="0.25">
      <c r="F440" s="32">
        <v>2</v>
      </c>
      <c r="G440" s="32">
        <v>320</v>
      </c>
      <c r="H440" s="28" t="s">
        <v>470</v>
      </c>
    </row>
    <row r="441" spans="6:8" x14ac:dyDescent="0.25">
      <c r="F441" s="32">
        <v>2</v>
      </c>
      <c r="G441" s="32">
        <v>321</v>
      </c>
      <c r="H441" s="28" t="s">
        <v>471</v>
      </c>
    </row>
    <row r="442" spans="6:8" x14ac:dyDescent="0.25">
      <c r="F442" s="32">
        <v>2</v>
      </c>
      <c r="G442" s="32">
        <v>322</v>
      </c>
      <c r="H442" s="28" t="s">
        <v>472</v>
      </c>
    </row>
    <row r="443" spans="6:8" x14ac:dyDescent="0.25">
      <c r="F443" s="32">
        <v>2</v>
      </c>
      <c r="G443" s="32">
        <v>323</v>
      </c>
      <c r="H443" s="28" t="s">
        <v>473</v>
      </c>
    </row>
    <row r="444" spans="6:8" x14ac:dyDescent="0.25">
      <c r="F444" s="32">
        <v>2</v>
      </c>
      <c r="G444" s="32">
        <v>324</v>
      </c>
      <c r="H444" s="28" t="s">
        <v>474</v>
      </c>
    </row>
    <row r="445" spans="6:8" x14ac:dyDescent="0.25">
      <c r="F445" s="32">
        <v>2</v>
      </c>
      <c r="G445" s="32">
        <v>325</v>
      </c>
      <c r="H445" s="28" t="s">
        <v>475</v>
      </c>
    </row>
    <row r="446" spans="6:8" x14ac:dyDescent="0.25">
      <c r="F446" s="32">
        <v>2</v>
      </c>
      <c r="G446" s="32">
        <v>326</v>
      </c>
      <c r="H446" s="28" t="s">
        <v>476</v>
      </c>
    </row>
    <row r="447" spans="6:8" x14ac:dyDescent="0.25">
      <c r="F447" s="32">
        <v>2</v>
      </c>
      <c r="G447" s="32">
        <v>328</v>
      </c>
      <c r="H447" s="28" t="s">
        <v>477</v>
      </c>
    </row>
    <row r="448" spans="6:8" x14ac:dyDescent="0.25">
      <c r="F448" s="32">
        <v>2</v>
      </c>
      <c r="G448" s="32">
        <v>329</v>
      </c>
      <c r="H448" s="28" t="s">
        <v>478</v>
      </c>
    </row>
    <row r="449" spans="6:8" x14ac:dyDescent="0.25">
      <c r="F449" s="32">
        <v>2</v>
      </c>
      <c r="G449" s="32">
        <v>330</v>
      </c>
      <c r="H449" s="28" t="s">
        <v>479</v>
      </c>
    </row>
    <row r="450" spans="6:8" x14ac:dyDescent="0.25">
      <c r="F450" s="32">
        <v>2</v>
      </c>
      <c r="G450" s="32">
        <v>331</v>
      </c>
      <c r="H450" s="28" t="s">
        <v>480</v>
      </c>
    </row>
    <row r="451" spans="6:8" x14ac:dyDescent="0.25">
      <c r="F451" s="32">
        <v>2</v>
      </c>
      <c r="G451" s="32">
        <v>332</v>
      </c>
      <c r="H451" s="28" t="s">
        <v>481</v>
      </c>
    </row>
    <row r="452" spans="6:8" x14ac:dyDescent="0.25">
      <c r="F452" s="32">
        <v>2</v>
      </c>
      <c r="G452" s="32">
        <v>333</v>
      </c>
      <c r="H452" s="28" t="s">
        <v>482</v>
      </c>
    </row>
    <row r="453" spans="6:8" x14ac:dyDescent="0.25">
      <c r="F453" s="32">
        <v>2</v>
      </c>
      <c r="G453" s="32">
        <v>335</v>
      </c>
      <c r="H453" s="28" t="s">
        <v>483</v>
      </c>
    </row>
    <row r="454" spans="6:8" x14ac:dyDescent="0.25">
      <c r="F454" s="32">
        <v>2</v>
      </c>
      <c r="G454" s="32">
        <v>336</v>
      </c>
      <c r="H454" s="28" t="s">
        <v>484</v>
      </c>
    </row>
    <row r="455" spans="6:8" x14ac:dyDescent="0.25">
      <c r="F455" s="32">
        <v>2</v>
      </c>
      <c r="G455" s="32">
        <v>337</v>
      </c>
      <c r="H455" s="28" t="s">
        <v>485</v>
      </c>
    </row>
    <row r="456" spans="6:8" x14ac:dyDescent="0.25">
      <c r="F456" s="32">
        <v>2</v>
      </c>
      <c r="G456" s="32">
        <v>338</v>
      </c>
      <c r="H456" s="28" t="s">
        <v>486</v>
      </c>
    </row>
    <row r="457" spans="6:8" x14ac:dyDescent="0.25">
      <c r="F457" s="32">
        <v>2</v>
      </c>
      <c r="G457" s="32">
        <v>339</v>
      </c>
      <c r="H457" s="28" t="s">
        <v>487</v>
      </c>
    </row>
    <row r="458" spans="6:8" x14ac:dyDescent="0.25">
      <c r="F458" s="32">
        <v>2</v>
      </c>
      <c r="G458" s="32">
        <v>344</v>
      </c>
      <c r="H458" s="28" t="s">
        <v>488</v>
      </c>
    </row>
    <row r="459" spans="6:8" x14ac:dyDescent="0.25">
      <c r="F459" s="32">
        <v>2</v>
      </c>
      <c r="G459" s="32">
        <v>345</v>
      </c>
      <c r="H459" s="28" t="s">
        <v>489</v>
      </c>
    </row>
    <row r="460" spans="6:8" x14ac:dyDescent="0.25">
      <c r="F460" s="32">
        <v>2</v>
      </c>
      <c r="G460" s="32">
        <v>346</v>
      </c>
      <c r="H460" s="28" t="s">
        <v>490</v>
      </c>
    </row>
    <row r="461" spans="6:8" x14ac:dyDescent="0.25">
      <c r="F461" s="32">
        <v>2</v>
      </c>
      <c r="G461" s="32">
        <v>347</v>
      </c>
      <c r="H461" s="28" t="s">
        <v>491</v>
      </c>
    </row>
    <row r="462" spans="6:8" x14ac:dyDescent="0.25">
      <c r="F462" s="32">
        <v>2</v>
      </c>
      <c r="G462" s="32">
        <v>350</v>
      </c>
      <c r="H462" s="28" t="s">
        <v>492</v>
      </c>
    </row>
    <row r="463" spans="6:8" x14ac:dyDescent="0.25">
      <c r="F463" s="32">
        <v>2</v>
      </c>
      <c r="G463" s="32">
        <v>351</v>
      </c>
      <c r="H463" s="28" t="s">
        <v>493</v>
      </c>
    </row>
    <row r="464" spans="6:8" x14ac:dyDescent="0.25">
      <c r="F464" s="32">
        <v>2</v>
      </c>
      <c r="G464" s="32">
        <v>353</v>
      </c>
      <c r="H464" s="28" t="s">
        <v>494</v>
      </c>
    </row>
    <row r="465" spans="6:8" x14ac:dyDescent="0.25">
      <c r="F465" s="32">
        <v>2</v>
      </c>
      <c r="G465" s="32">
        <v>361</v>
      </c>
      <c r="H465" s="28" t="s">
        <v>495</v>
      </c>
    </row>
    <row r="466" spans="6:8" x14ac:dyDescent="0.25">
      <c r="F466" s="32">
        <v>2</v>
      </c>
      <c r="G466" s="32">
        <v>362</v>
      </c>
      <c r="H466" s="28" t="s">
        <v>496</v>
      </c>
    </row>
    <row r="467" spans="6:8" x14ac:dyDescent="0.25">
      <c r="F467" s="32">
        <v>2</v>
      </c>
      <c r="G467" s="32">
        <v>363</v>
      </c>
      <c r="H467" s="28" t="s">
        <v>497</v>
      </c>
    </row>
    <row r="468" spans="6:8" x14ac:dyDescent="0.25">
      <c r="F468" s="32">
        <v>2</v>
      </c>
      <c r="G468" s="32">
        <v>364</v>
      </c>
      <c r="H468" s="28" t="s">
        <v>498</v>
      </c>
    </row>
    <row r="469" spans="6:8" x14ac:dyDescent="0.25">
      <c r="F469" s="32">
        <v>2</v>
      </c>
      <c r="G469" s="32">
        <v>365</v>
      </c>
      <c r="H469" s="28" t="s">
        <v>499</v>
      </c>
    </row>
    <row r="470" spans="6:8" x14ac:dyDescent="0.25">
      <c r="F470" s="32">
        <v>2</v>
      </c>
      <c r="G470" s="32">
        <v>368</v>
      </c>
      <c r="H470" s="28" t="s">
        <v>500</v>
      </c>
    </row>
    <row r="471" spans="6:8" x14ac:dyDescent="0.25">
      <c r="F471" s="32">
        <v>2</v>
      </c>
      <c r="G471" s="32">
        <v>370</v>
      </c>
      <c r="H471" s="28" t="s">
        <v>501</v>
      </c>
    </row>
    <row r="472" spans="6:8" x14ac:dyDescent="0.25">
      <c r="F472" s="32">
        <v>2</v>
      </c>
      <c r="G472" s="32">
        <v>371</v>
      </c>
      <c r="H472" s="28" t="s">
        <v>502</v>
      </c>
    </row>
    <row r="473" spans="6:8" x14ac:dyDescent="0.25">
      <c r="F473" s="32">
        <v>2</v>
      </c>
      <c r="G473" s="32">
        <v>375</v>
      </c>
      <c r="H473" s="28" t="s">
        <v>503</v>
      </c>
    </row>
    <row r="474" spans="6:8" x14ac:dyDescent="0.25">
      <c r="F474" s="32">
        <v>2</v>
      </c>
      <c r="G474" s="32">
        <v>378</v>
      </c>
      <c r="H474" s="28" t="s">
        <v>504</v>
      </c>
    </row>
    <row r="475" spans="6:8" x14ac:dyDescent="0.25">
      <c r="F475" s="32">
        <v>2</v>
      </c>
      <c r="G475" s="32">
        <v>380</v>
      </c>
      <c r="H475" s="28" t="s">
        <v>505</v>
      </c>
    </row>
    <row r="476" spans="6:8" x14ac:dyDescent="0.25">
      <c r="F476" s="32">
        <v>2</v>
      </c>
      <c r="G476" s="32">
        <v>381</v>
      </c>
      <c r="H476" s="28" t="s">
        <v>506</v>
      </c>
    </row>
    <row r="477" spans="6:8" x14ac:dyDescent="0.25">
      <c r="F477" s="32">
        <v>2</v>
      </c>
      <c r="G477" s="32">
        <v>391</v>
      </c>
      <c r="H477" s="28" t="s">
        <v>507</v>
      </c>
    </row>
    <row r="478" spans="6:8" x14ac:dyDescent="0.25">
      <c r="F478" s="32">
        <v>2</v>
      </c>
      <c r="G478" s="32">
        <v>392</v>
      </c>
      <c r="H478" s="28" t="s">
        <v>508</v>
      </c>
    </row>
    <row r="479" spans="6:8" x14ac:dyDescent="0.25">
      <c r="F479" s="32">
        <v>2</v>
      </c>
      <c r="G479" s="32">
        <v>393</v>
      </c>
      <c r="H479" s="28" t="s">
        <v>509</v>
      </c>
    </row>
    <row r="480" spans="6:8" x14ac:dyDescent="0.25">
      <c r="F480" s="32">
        <v>2</v>
      </c>
      <c r="G480" s="32">
        <v>394</v>
      </c>
      <c r="H480" s="28" t="s">
        <v>510</v>
      </c>
    </row>
    <row r="481" spans="6:8" x14ac:dyDescent="0.25">
      <c r="F481" s="32">
        <v>2</v>
      </c>
      <c r="G481" s="32">
        <v>395</v>
      </c>
      <c r="H481" s="28" t="s">
        <v>511</v>
      </c>
    </row>
    <row r="482" spans="6:8" x14ac:dyDescent="0.25">
      <c r="F482" s="32">
        <v>2</v>
      </c>
      <c r="G482" s="32">
        <v>396</v>
      </c>
      <c r="H482" s="28" t="s">
        <v>512</v>
      </c>
    </row>
    <row r="483" spans="6:8" x14ac:dyDescent="0.25">
      <c r="F483" s="32">
        <v>2</v>
      </c>
      <c r="G483" s="32">
        <v>397</v>
      </c>
      <c r="H483" s="28" t="s">
        <v>513</v>
      </c>
    </row>
    <row r="484" spans="6:8" x14ac:dyDescent="0.25">
      <c r="F484" s="32">
        <v>2</v>
      </c>
      <c r="G484" s="32">
        <v>398</v>
      </c>
      <c r="H484" s="28" t="s">
        <v>514</v>
      </c>
    </row>
    <row r="485" spans="6:8" x14ac:dyDescent="0.25">
      <c r="F485" s="32">
        <v>2</v>
      </c>
      <c r="G485" s="32">
        <v>399</v>
      </c>
      <c r="H485" s="28" t="s">
        <v>515</v>
      </c>
    </row>
    <row r="486" spans="6:8" x14ac:dyDescent="0.25">
      <c r="F486" s="32">
        <v>2</v>
      </c>
      <c r="G486" s="32">
        <v>400</v>
      </c>
      <c r="H486" s="28" t="s">
        <v>516</v>
      </c>
    </row>
    <row r="487" spans="6:8" x14ac:dyDescent="0.25">
      <c r="F487" s="32">
        <v>2</v>
      </c>
      <c r="G487" s="32">
        <v>407</v>
      </c>
      <c r="H487" s="28" t="s">
        <v>517</v>
      </c>
    </row>
    <row r="488" spans="6:8" x14ac:dyDescent="0.25">
      <c r="F488" s="32">
        <v>2</v>
      </c>
      <c r="G488" s="32">
        <v>408</v>
      </c>
      <c r="H488" s="28" t="s">
        <v>518</v>
      </c>
    </row>
    <row r="489" spans="6:8" x14ac:dyDescent="0.25">
      <c r="F489" s="32">
        <v>2</v>
      </c>
      <c r="G489" s="32">
        <v>409</v>
      </c>
      <c r="H489" s="28" t="s">
        <v>519</v>
      </c>
    </row>
    <row r="490" spans="6:8" x14ac:dyDescent="0.25">
      <c r="F490" s="32">
        <v>2</v>
      </c>
      <c r="G490" s="32">
        <v>410</v>
      </c>
      <c r="H490" s="28" t="s">
        <v>520</v>
      </c>
    </row>
    <row r="491" spans="6:8" x14ac:dyDescent="0.25">
      <c r="F491" s="32">
        <v>2</v>
      </c>
      <c r="G491" s="32">
        <v>411</v>
      </c>
      <c r="H491" s="28" t="s">
        <v>521</v>
      </c>
    </row>
    <row r="492" spans="6:8" x14ac:dyDescent="0.25">
      <c r="F492" s="32">
        <v>2</v>
      </c>
      <c r="G492" s="32">
        <v>412</v>
      </c>
      <c r="H492" s="28" t="s">
        <v>522</v>
      </c>
    </row>
    <row r="493" spans="6:8" x14ac:dyDescent="0.25">
      <c r="F493" s="32">
        <v>2</v>
      </c>
      <c r="G493" s="32">
        <v>413</v>
      </c>
      <c r="H493" s="28" t="s">
        <v>523</v>
      </c>
    </row>
    <row r="494" spans="6:8" x14ac:dyDescent="0.25">
      <c r="F494" s="32">
        <v>2</v>
      </c>
      <c r="G494" s="32">
        <v>414</v>
      </c>
      <c r="H494" s="28" t="s">
        <v>524</v>
      </c>
    </row>
    <row r="495" spans="6:8" x14ac:dyDescent="0.25">
      <c r="F495" s="32">
        <v>2</v>
      </c>
      <c r="G495" s="32">
        <v>418</v>
      </c>
      <c r="H495" s="28" t="s">
        <v>525</v>
      </c>
    </row>
    <row r="496" spans="6:8" x14ac:dyDescent="0.25">
      <c r="F496" s="32">
        <v>2</v>
      </c>
      <c r="G496" s="32">
        <v>419</v>
      </c>
      <c r="H496" s="28" t="s">
        <v>526</v>
      </c>
    </row>
    <row r="497" spans="6:8" x14ac:dyDescent="0.25">
      <c r="F497" s="32">
        <v>2</v>
      </c>
      <c r="G497" s="32">
        <v>420</v>
      </c>
      <c r="H497" s="28" t="s">
        <v>527</v>
      </c>
    </row>
    <row r="498" spans="6:8" x14ac:dyDescent="0.25">
      <c r="F498" s="32">
        <v>2</v>
      </c>
      <c r="G498" s="32">
        <v>421</v>
      </c>
      <c r="H498" s="28" t="s">
        <v>528</v>
      </c>
    </row>
    <row r="499" spans="6:8" x14ac:dyDescent="0.25">
      <c r="F499" s="32">
        <v>2</v>
      </c>
      <c r="G499" s="32">
        <v>422</v>
      </c>
      <c r="H499" s="28" t="s">
        <v>529</v>
      </c>
    </row>
    <row r="500" spans="6:8" x14ac:dyDescent="0.25">
      <c r="F500" s="32">
        <v>2</v>
      </c>
      <c r="G500" s="32">
        <v>423</v>
      </c>
      <c r="H500" s="28" t="s">
        <v>530</v>
      </c>
    </row>
    <row r="501" spans="6:8" x14ac:dyDescent="0.25">
      <c r="F501" s="32">
        <v>2</v>
      </c>
      <c r="G501" s="32">
        <v>424</v>
      </c>
      <c r="H501" s="28" t="s">
        <v>531</v>
      </c>
    </row>
    <row r="502" spans="6:8" x14ac:dyDescent="0.25">
      <c r="F502" s="32">
        <v>2</v>
      </c>
      <c r="G502" s="32">
        <v>425</v>
      </c>
      <c r="H502" s="28" t="s">
        <v>532</v>
      </c>
    </row>
    <row r="503" spans="6:8" x14ac:dyDescent="0.25">
      <c r="F503" s="32">
        <v>2</v>
      </c>
      <c r="G503" s="32">
        <v>426</v>
      </c>
      <c r="H503" s="28" t="s">
        <v>533</v>
      </c>
    </row>
    <row r="504" spans="6:8" x14ac:dyDescent="0.25">
      <c r="F504" s="32">
        <v>2</v>
      </c>
      <c r="G504" s="32">
        <v>427</v>
      </c>
      <c r="H504" s="28" t="s">
        <v>534</v>
      </c>
    </row>
    <row r="505" spans="6:8" x14ac:dyDescent="0.25">
      <c r="F505" s="32">
        <v>2</v>
      </c>
      <c r="G505" s="32">
        <v>428</v>
      </c>
      <c r="H505" s="28" t="s">
        <v>535</v>
      </c>
    </row>
    <row r="506" spans="6:8" x14ac:dyDescent="0.25">
      <c r="F506" s="32">
        <v>2</v>
      </c>
      <c r="G506" s="32">
        <v>429</v>
      </c>
      <c r="H506" s="28" t="s">
        <v>536</v>
      </c>
    </row>
    <row r="507" spans="6:8" x14ac:dyDescent="0.25">
      <c r="F507" s="32">
        <v>2</v>
      </c>
      <c r="G507" s="32">
        <v>430</v>
      </c>
      <c r="H507" s="28" t="s">
        <v>537</v>
      </c>
    </row>
    <row r="508" spans="6:8" x14ac:dyDescent="0.25">
      <c r="F508" s="32">
        <v>2</v>
      </c>
      <c r="G508" s="32">
        <v>431</v>
      </c>
      <c r="H508" s="28" t="s">
        <v>538</v>
      </c>
    </row>
    <row r="509" spans="6:8" x14ac:dyDescent="0.25">
      <c r="F509" s="32">
        <v>2</v>
      </c>
      <c r="G509" s="32">
        <v>432</v>
      </c>
      <c r="H509" s="28" t="s">
        <v>539</v>
      </c>
    </row>
    <row r="510" spans="6:8" x14ac:dyDescent="0.25">
      <c r="F510" s="32">
        <v>2</v>
      </c>
      <c r="G510" s="32">
        <v>440</v>
      </c>
      <c r="H510" s="28" t="s">
        <v>540</v>
      </c>
    </row>
    <row r="511" spans="6:8" x14ac:dyDescent="0.25">
      <c r="F511" s="32">
        <v>2</v>
      </c>
      <c r="G511" s="32">
        <v>441</v>
      </c>
      <c r="H511" s="28" t="s">
        <v>541</v>
      </c>
    </row>
    <row r="512" spans="6:8" x14ac:dyDescent="0.25">
      <c r="F512" s="32">
        <v>2</v>
      </c>
      <c r="G512" s="32">
        <v>442</v>
      </c>
      <c r="H512" s="28" t="s">
        <v>542</v>
      </c>
    </row>
    <row r="513" spans="6:8" x14ac:dyDescent="0.25">
      <c r="F513" s="32">
        <v>2</v>
      </c>
      <c r="G513" s="32">
        <v>443</v>
      </c>
      <c r="H513" s="28" t="s">
        <v>543</v>
      </c>
    </row>
    <row r="514" spans="6:8" x14ac:dyDescent="0.25">
      <c r="F514" s="32">
        <v>2</v>
      </c>
      <c r="G514" s="32">
        <v>444</v>
      </c>
      <c r="H514" s="28" t="s">
        <v>544</v>
      </c>
    </row>
    <row r="515" spans="6:8" x14ac:dyDescent="0.25">
      <c r="F515" s="32">
        <v>2</v>
      </c>
      <c r="G515" s="32">
        <v>445</v>
      </c>
      <c r="H515" s="28" t="s">
        <v>545</v>
      </c>
    </row>
    <row r="516" spans="6:8" x14ac:dyDescent="0.25">
      <c r="F516" s="32">
        <v>2</v>
      </c>
      <c r="G516" s="32">
        <v>446</v>
      </c>
      <c r="H516" s="28" t="s">
        <v>546</v>
      </c>
    </row>
    <row r="517" spans="6:8" x14ac:dyDescent="0.25">
      <c r="F517" s="32">
        <v>2</v>
      </c>
      <c r="G517" s="32">
        <v>447</v>
      </c>
      <c r="H517" s="28" t="s">
        <v>547</v>
      </c>
    </row>
    <row r="518" spans="6:8" x14ac:dyDescent="0.25">
      <c r="F518" s="32">
        <v>2</v>
      </c>
      <c r="G518" s="32">
        <v>448</v>
      </c>
      <c r="H518" s="28" t="s">
        <v>548</v>
      </c>
    </row>
    <row r="519" spans="6:8" x14ac:dyDescent="0.25">
      <c r="F519" s="32">
        <v>2</v>
      </c>
      <c r="G519" s="32">
        <v>449</v>
      </c>
      <c r="H519" s="28" t="s">
        <v>549</v>
      </c>
    </row>
    <row r="520" spans="6:8" x14ac:dyDescent="0.25">
      <c r="F520" s="32">
        <v>2</v>
      </c>
      <c r="G520" s="32">
        <v>450</v>
      </c>
      <c r="H520" s="28" t="s">
        <v>550</v>
      </c>
    </row>
    <row r="521" spans="6:8" x14ac:dyDescent="0.25">
      <c r="F521" s="32">
        <v>2</v>
      </c>
      <c r="G521" s="32">
        <v>451</v>
      </c>
      <c r="H521" s="28" t="s">
        <v>551</v>
      </c>
    </row>
    <row r="522" spans="6:8" x14ac:dyDescent="0.25">
      <c r="F522" s="32">
        <v>2</v>
      </c>
      <c r="G522" s="32">
        <v>452</v>
      </c>
      <c r="H522" s="28" t="s">
        <v>552</v>
      </c>
    </row>
    <row r="523" spans="6:8" x14ac:dyDescent="0.25">
      <c r="F523" s="32">
        <v>2</v>
      </c>
      <c r="G523" s="32">
        <v>453</v>
      </c>
      <c r="H523" s="28" t="s">
        <v>553</v>
      </c>
    </row>
    <row r="524" spans="6:8" x14ac:dyDescent="0.25">
      <c r="F524" s="32">
        <v>2</v>
      </c>
      <c r="G524" s="32">
        <v>461</v>
      </c>
      <c r="H524" s="28" t="s">
        <v>554</v>
      </c>
    </row>
    <row r="525" spans="6:8" x14ac:dyDescent="0.25">
      <c r="F525" s="32">
        <v>2</v>
      </c>
      <c r="G525" s="32">
        <v>463</v>
      </c>
      <c r="H525" s="28" t="s">
        <v>555</v>
      </c>
    </row>
    <row r="526" spans="6:8" x14ac:dyDescent="0.25">
      <c r="F526" s="32">
        <v>2</v>
      </c>
      <c r="G526" s="32">
        <v>464</v>
      </c>
      <c r="H526" s="28" t="s">
        <v>556</v>
      </c>
    </row>
    <row r="527" spans="6:8" x14ac:dyDescent="0.25">
      <c r="F527" s="32">
        <v>2</v>
      </c>
      <c r="G527" s="32">
        <v>465</v>
      </c>
      <c r="H527" s="28" t="s">
        <v>557</v>
      </c>
    </row>
    <row r="528" spans="6:8" x14ac:dyDescent="0.25">
      <c r="F528" s="32">
        <v>2</v>
      </c>
      <c r="G528" s="32">
        <v>466</v>
      </c>
      <c r="H528" s="28" t="s">
        <v>558</v>
      </c>
    </row>
    <row r="529" spans="6:8" x14ac:dyDescent="0.25">
      <c r="F529" s="32">
        <v>2</v>
      </c>
      <c r="G529" s="32">
        <v>467</v>
      </c>
      <c r="H529" s="28" t="s">
        <v>559</v>
      </c>
    </row>
    <row r="530" spans="6:8" x14ac:dyDescent="0.25">
      <c r="F530" s="32">
        <v>2</v>
      </c>
      <c r="G530" s="32">
        <v>468</v>
      </c>
      <c r="H530" s="28" t="s">
        <v>560</v>
      </c>
    </row>
    <row r="531" spans="6:8" x14ac:dyDescent="0.25">
      <c r="F531" s="32">
        <v>2</v>
      </c>
      <c r="G531" s="32">
        <v>469</v>
      </c>
      <c r="H531" s="28" t="s">
        <v>561</v>
      </c>
    </row>
    <row r="532" spans="6:8" x14ac:dyDescent="0.25">
      <c r="F532" s="32">
        <v>2</v>
      </c>
      <c r="G532" s="32">
        <v>470</v>
      </c>
      <c r="H532" s="28" t="s">
        <v>562</v>
      </c>
    </row>
    <row r="533" spans="6:8" x14ac:dyDescent="0.25">
      <c r="F533" s="32">
        <v>2</v>
      </c>
      <c r="G533" s="32">
        <v>471</v>
      </c>
      <c r="H533" s="28" t="s">
        <v>563</v>
      </c>
    </row>
    <row r="534" spans="6:8" x14ac:dyDescent="0.25">
      <c r="F534" s="32">
        <v>2</v>
      </c>
      <c r="G534" s="32">
        <v>472</v>
      </c>
      <c r="H534" s="28" t="s">
        <v>564</v>
      </c>
    </row>
    <row r="535" spans="6:8" x14ac:dyDescent="0.25">
      <c r="F535" s="32">
        <v>2</v>
      </c>
      <c r="G535" s="32">
        <v>473</v>
      </c>
      <c r="H535" s="28" t="s">
        <v>565</v>
      </c>
    </row>
    <row r="536" spans="6:8" x14ac:dyDescent="0.25">
      <c r="F536" s="32">
        <v>2</v>
      </c>
      <c r="G536" s="32">
        <v>474</v>
      </c>
      <c r="H536" s="28" t="s">
        <v>566</v>
      </c>
    </row>
    <row r="537" spans="6:8" x14ac:dyDescent="0.25">
      <c r="F537" s="32">
        <v>2</v>
      </c>
      <c r="G537" s="32">
        <v>475</v>
      </c>
      <c r="H537" s="28" t="s">
        <v>567</v>
      </c>
    </row>
    <row r="538" spans="6:8" x14ac:dyDescent="0.25">
      <c r="F538" s="32">
        <v>2</v>
      </c>
      <c r="G538" s="32">
        <v>476</v>
      </c>
      <c r="H538" s="28" t="s">
        <v>568</v>
      </c>
    </row>
    <row r="539" spans="6:8" x14ac:dyDescent="0.25">
      <c r="F539" s="32">
        <v>2</v>
      </c>
      <c r="G539" s="32">
        <v>477</v>
      </c>
      <c r="H539" s="28" t="s">
        <v>569</v>
      </c>
    </row>
    <row r="540" spans="6:8" x14ac:dyDescent="0.25">
      <c r="F540" s="32">
        <v>2</v>
      </c>
      <c r="G540" s="32">
        <v>478</v>
      </c>
      <c r="H540" s="28" t="s">
        <v>570</v>
      </c>
    </row>
    <row r="541" spans="6:8" x14ac:dyDescent="0.25">
      <c r="F541" s="32">
        <v>2</v>
      </c>
      <c r="G541" s="32">
        <v>479</v>
      </c>
      <c r="H541" s="28" t="s">
        <v>571</v>
      </c>
    </row>
    <row r="542" spans="6:8" x14ac:dyDescent="0.25">
      <c r="F542" s="32">
        <v>2</v>
      </c>
      <c r="G542" s="32">
        <v>480</v>
      </c>
      <c r="H542" s="28" t="s">
        <v>572</v>
      </c>
    </row>
    <row r="543" spans="6:8" x14ac:dyDescent="0.25">
      <c r="F543" s="32">
        <v>2</v>
      </c>
      <c r="G543" s="32">
        <v>481</v>
      </c>
      <c r="H543" s="28" t="s">
        <v>573</v>
      </c>
    </row>
    <row r="544" spans="6:8" x14ac:dyDescent="0.25">
      <c r="F544" s="32">
        <v>2</v>
      </c>
      <c r="G544" s="32">
        <v>482</v>
      </c>
      <c r="H544" s="28" t="s">
        <v>574</v>
      </c>
    </row>
    <row r="545" spans="6:8" x14ac:dyDescent="0.25">
      <c r="F545" s="32">
        <v>2</v>
      </c>
      <c r="G545" s="32">
        <v>483</v>
      </c>
      <c r="H545" s="28" t="s">
        <v>575</v>
      </c>
    </row>
    <row r="546" spans="6:8" x14ac:dyDescent="0.25">
      <c r="F546" s="32">
        <v>2</v>
      </c>
      <c r="G546" s="32">
        <v>484</v>
      </c>
      <c r="H546" s="28" t="s">
        <v>576</v>
      </c>
    </row>
    <row r="547" spans="6:8" x14ac:dyDescent="0.25">
      <c r="F547" s="32">
        <v>2</v>
      </c>
      <c r="G547" s="32">
        <v>485</v>
      </c>
      <c r="H547" s="28" t="s">
        <v>577</v>
      </c>
    </row>
    <row r="548" spans="6:8" x14ac:dyDescent="0.25">
      <c r="F548" s="32">
        <v>2</v>
      </c>
      <c r="G548" s="32">
        <v>490</v>
      </c>
      <c r="H548" s="28" t="s">
        <v>578</v>
      </c>
    </row>
    <row r="549" spans="6:8" x14ac:dyDescent="0.25">
      <c r="F549" s="32">
        <v>2</v>
      </c>
      <c r="G549" s="32">
        <v>491</v>
      </c>
      <c r="H549" s="28" t="s">
        <v>579</v>
      </c>
    </row>
    <row r="550" spans="6:8" x14ac:dyDescent="0.25">
      <c r="F550" s="32">
        <v>2</v>
      </c>
      <c r="G550" s="32">
        <v>492</v>
      </c>
      <c r="H550" s="28" t="s">
        <v>580</v>
      </c>
    </row>
    <row r="551" spans="6:8" x14ac:dyDescent="0.25">
      <c r="F551" s="32">
        <v>2</v>
      </c>
      <c r="G551" s="32">
        <v>493</v>
      </c>
      <c r="H551" s="28" t="s">
        <v>581</v>
      </c>
    </row>
    <row r="552" spans="6:8" x14ac:dyDescent="0.25">
      <c r="F552" s="32">
        <v>2</v>
      </c>
      <c r="G552" s="32">
        <v>498</v>
      </c>
      <c r="H552" s="28" t="s">
        <v>582</v>
      </c>
    </row>
    <row r="553" spans="6:8" x14ac:dyDescent="0.25">
      <c r="F553" s="32">
        <v>2</v>
      </c>
      <c r="G553" s="32">
        <v>499</v>
      </c>
      <c r="H553" s="28" t="s">
        <v>583</v>
      </c>
    </row>
    <row r="554" spans="6:8" x14ac:dyDescent="0.25">
      <c r="F554" s="32">
        <v>2</v>
      </c>
      <c r="G554" s="32">
        <v>502</v>
      </c>
      <c r="H554" s="28" t="s">
        <v>197</v>
      </c>
    </row>
    <row r="555" spans="6:8" x14ac:dyDescent="0.25">
      <c r="F555" s="32">
        <v>2</v>
      </c>
      <c r="G555" s="32">
        <v>504</v>
      </c>
      <c r="H555" s="28" t="s">
        <v>584</v>
      </c>
    </row>
    <row r="556" spans="6:8" x14ac:dyDescent="0.25">
      <c r="F556" s="32">
        <v>2</v>
      </c>
      <c r="G556" s="32">
        <v>508</v>
      </c>
      <c r="H556" s="28" t="s">
        <v>585</v>
      </c>
    </row>
    <row r="557" spans="6:8" x14ac:dyDescent="0.25">
      <c r="F557" s="32">
        <v>2</v>
      </c>
      <c r="G557" s="32">
        <v>509</v>
      </c>
      <c r="H557" s="28" t="s">
        <v>586</v>
      </c>
    </row>
    <row r="558" spans="6:8" x14ac:dyDescent="0.25">
      <c r="F558" s="32">
        <v>2</v>
      </c>
      <c r="G558" s="32">
        <v>510</v>
      </c>
      <c r="H558" s="28" t="s">
        <v>587</v>
      </c>
    </row>
    <row r="559" spans="6:8" x14ac:dyDescent="0.25">
      <c r="F559" s="32">
        <v>2</v>
      </c>
      <c r="G559" s="32">
        <v>511</v>
      </c>
      <c r="H559" s="28" t="s">
        <v>588</v>
      </c>
    </row>
    <row r="560" spans="6:8" x14ac:dyDescent="0.25">
      <c r="F560" s="32">
        <v>2</v>
      </c>
      <c r="G560" s="32">
        <v>512</v>
      </c>
      <c r="H560" s="28" t="s">
        <v>589</v>
      </c>
    </row>
    <row r="561" spans="6:8" x14ac:dyDescent="0.25">
      <c r="F561" s="32">
        <v>2</v>
      </c>
      <c r="G561" s="32">
        <v>513</v>
      </c>
      <c r="H561" s="28" t="s">
        <v>590</v>
      </c>
    </row>
    <row r="562" spans="6:8" x14ac:dyDescent="0.25">
      <c r="F562" s="32">
        <v>2</v>
      </c>
      <c r="G562" s="32">
        <v>514</v>
      </c>
      <c r="H562" s="28" t="s">
        <v>591</v>
      </c>
    </row>
    <row r="563" spans="6:8" x14ac:dyDescent="0.25">
      <c r="F563" s="32">
        <v>2</v>
      </c>
      <c r="G563" s="32">
        <v>515</v>
      </c>
      <c r="H563" s="28" t="s">
        <v>592</v>
      </c>
    </row>
    <row r="564" spans="6:8" x14ac:dyDescent="0.25">
      <c r="F564" s="32">
        <v>2</v>
      </c>
      <c r="G564" s="32">
        <v>516</v>
      </c>
      <c r="H564" s="28" t="s">
        <v>593</v>
      </c>
    </row>
    <row r="565" spans="6:8" x14ac:dyDescent="0.25">
      <c r="F565" s="32">
        <v>2</v>
      </c>
      <c r="G565" s="32">
        <v>517</v>
      </c>
      <c r="H565" s="28" t="s">
        <v>594</v>
      </c>
    </row>
    <row r="566" spans="6:8" x14ac:dyDescent="0.25">
      <c r="F566" s="32">
        <v>2</v>
      </c>
      <c r="G566" s="32">
        <v>518</v>
      </c>
      <c r="H566" s="28" t="s">
        <v>595</v>
      </c>
    </row>
    <row r="567" spans="6:8" x14ac:dyDescent="0.25">
      <c r="F567" s="32">
        <v>2</v>
      </c>
      <c r="G567" s="32">
        <v>519</v>
      </c>
      <c r="H567" s="28" t="s">
        <v>596</v>
      </c>
    </row>
    <row r="568" spans="6:8" x14ac:dyDescent="0.25">
      <c r="F568" s="32">
        <v>2</v>
      </c>
      <c r="G568" s="32">
        <v>520</v>
      </c>
      <c r="H568" s="28" t="s">
        <v>597</v>
      </c>
    </row>
    <row r="569" spans="6:8" x14ac:dyDescent="0.25">
      <c r="F569" s="32">
        <v>2</v>
      </c>
      <c r="G569" s="32">
        <v>521</v>
      </c>
      <c r="H569" s="28" t="s">
        <v>598</v>
      </c>
    </row>
    <row r="570" spans="6:8" x14ac:dyDescent="0.25">
      <c r="F570" s="32">
        <v>2</v>
      </c>
      <c r="G570" s="32">
        <v>522</v>
      </c>
      <c r="H570" s="28" t="s">
        <v>599</v>
      </c>
    </row>
    <row r="571" spans="6:8" x14ac:dyDescent="0.25">
      <c r="F571" s="32">
        <v>2</v>
      </c>
      <c r="G571" s="32">
        <v>523</v>
      </c>
      <c r="H571" s="28" t="s">
        <v>600</v>
      </c>
    </row>
    <row r="572" spans="6:8" x14ac:dyDescent="0.25">
      <c r="F572" s="32">
        <v>2</v>
      </c>
      <c r="G572" s="32">
        <v>524</v>
      </c>
      <c r="H572" s="28" t="s">
        <v>601</v>
      </c>
    </row>
    <row r="573" spans="6:8" x14ac:dyDescent="0.25">
      <c r="F573" s="32">
        <v>2</v>
      </c>
      <c r="G573" s="32">
        <v>525</v>
      </c>
      <c r="H573" s="28" t="s">
        <v>602</v>
      </c>
    </row>
    <row r="574" spans="6:8" x14ac:dyDescent="0.25">
      <c r="F574" s="32">
        <v>2</v>
      </c>
      <c r="G574" s="32">
        <v>526</v>
      </c>
      <c r="H574" s="28" t="s">
        <v>603</v>
      </c>
    </row>
    <row r="575" spans="6:8" x14ac:dyDescent="0.25">
      <c r="F575" s="32">
        <v>2</v>
      </c>
      <c r="G575" s="32">
        <v>527</v>
      </c>
      <c r="H575" s="28" t="s">
        <v>604</v>
      </c>
    </row>
    <row r="576" spans="6:8" x14ac:dyDescent="0.25">
      <c r="F576" s="32">
        <v>2</v>
      </c>
      <c r="G576" s="32">
        <v>528</v>
      </c>
      <c r="H576" s="28" t="s">
        <v>605</v>
      </c>
    </row>
    <row r="577" spans="6:8" x14ac:dyDescent="0.25">
      <c r="F577" s="32">
        <v>2</v>
      </c>
      <c r="G577" s="32">
        <v>529</v>
      </c>
      <c r="H577" s="28" t="s">
        <v>606</v>
      </c>
    </row>
    <row r="578" spans="6:8" x14ac:dyDescent="0.25">
      <c r="F578" s="32">
        <v>2</v>
      </c>
      <c r="G578" s="32">
        <v>530</v>
      </c>
      <c r="H578" s="28" t="s">
        <v>607</v>
      </c>
    </row>
    <row r="579" spans="6:8" x14ac:dyDescent="0.25">
      <c r="F579" s="32">
        <v>2</v>
      </c>
      <c r="G579" s="32">
        <v>531</v>
      </c>
      <c r="H579" s="28" t="s">
        <v>608</v>
      </c>
    </row>
    <row r="580" spans="6:8" x14ac:dyDescent="0.25">
      <c r="F580" s="32">
        <v>2</v>
      </c>
      <c r="G580" s="32">
        <v>532</v>
      </c>
      <c r="H580" s="28" t="s">
        <v>609</v>
      </c>
    </row>
    <row r="581" spans="6:8" x14ac:dyDescent="0.25">
      <c r="F581" s="32">
        <v>2</v>
      </c>
      <c r="G581" s="32">
        <v>533</v>
      </c>
      <c r="H581" s="28" t="s">
        <v>610</v>
      </c>
    </row>
    <row r="582" spans="6:8" x14ac:dyDescent="0.25">
      <c r="F582" s="32">
        <v>2</v>
      </c>
      <c r="G582" s="32">
        <v>539</v>
      </c>
      <c r="H582" s="28" t="s">
        <v>611</v>
      </c>
    </row>
    <row r="583" spans="6:8" x14ac:dyDescent="0.25">
      <c r="F583" s="32">
        <v>2</v>
      </c>
      <c r="G583" s="32">
        <v>540</v>
      </c>
      <c r="H583" s="28" t="s">
        <v>612</v>
      </c>
    </row>
    <row r="584" spans="6:8" x14ac:dyDescent="0.25">
      <c r="F584" s="32">
        <v>2</v>
      </c>
      <c r="G584" s="32">
        <v>541</v>
      </c>
      <c r="H584" s="28" t="s">
        <v>613</v>
      </c>
    </row>
    <row r="585" spans="6:8" x14ac:dyDescent="0.25">
      <c r="F585" s="32">
        <v>2</v>
      </c>
      <c r="G585" s="32">
        <v>542</v>
      </c>
      <c r="H585" s="28" t="s">
        <v>614</v>
      </c>
    </row>
    <row r="586" spans="6:8" x14ac:dyDescent="0.25">
      <c r="F586" s="32">
        <v>2</v>
      </c>
      <c r="G586" s="32">
        <v>543</v>
      </c>
      <c r="H586" s="28" t="s">
        <v>615</v>
      </c>
    </row>
    <row r="587" spans="6:8" x14ac:dyDescent="0.25">
      <c r="F587" s="32">
        <v>2</v>
      </c>
      <c r="G587" s="32">
        <v>544</v>
      </c>
      <c r="H587" s="28" t="s">
        <v>616</v>
      </c>
    </row>
    <row r="588" spans="6:8" x14ac:dyDescent="0.25">
      <c r="F588" s="32">
        <v>2</v>
      </c>
      <c r="G588" s="32">
        <v>545</v>
      </c>
      <c r="H588" s="28" t="s">
        <v>617</v>
      </c>
    </row>
    <row r="589" spans="6:8" x14ac:dyDescent="0.25">
      <c r="F589" s="32">
        <v>2</v>
      </c>
      <c r="G589" s="32">
        <v>546</v>
      </c>
      <c r="H589" s="28" t="s">
        <v>618</v>
      </c>
    </row>
    <row r="590" spans="6:8" x14ac:dyDescent="0.25">
      <c r="F590" s="32">
        <v>2</v>
      </c>
      <c r="G590" s="32">
        <v>547</v>
      </c>
      <c r="H590" s="28" t="s">
        <v>619</v>
      </c>
    </row>
    <row r="591" spans="6:8" x14ac:dyDescent="0.25">
      <c r="F591" s="32">
        <v>2</v>
      </c>
      <c r="G591" s="32">
        <v>548</v>
      </c>
      <c r="H591" s="28" t="s">
        <v>620</v>
      </c>
    </row>
    <row r="592" spans="6:8" x14ac:dyDescent="0.25">
      <c r="F592" s="32">
        <v>2</v>
      </c>
      <c r="G592" s="32">
        <v>549</v>
      </c>
      <c r="H592" s="28" t="s">
        <v>621</v>
      </c>
    </row>
    <row r="593" spans="6:8" x14ac:dyDescent="0.25">
      <c r="F593" s="32">
        <v>2</v>
      </c>
      <c r="G593" s="32">
        <v>550</v>
      </c>
      <c r="H593" s="28" t="s">
        <v>622</v>
      </c>
    </row>
    <row r="594" spans="6:8" x14ac:dyDescent="0.25">
      <c r="F594" s="32">
        <v>2</v>
      </c>
      <c r="G594" s="32">
        <v>551</v>
      </c>
      <c r="H594" s="28" t="s">
        <v>623</v>
      </c>
    </row>
    <row r="595" spans="6:8" x14ac:dyDescent="0.25">
      <c r="F595" s="32">
        <v>2</v>
      </c>
      <c r="G595" s="32">
        <v>552</v>
      </c>
      <c r="H595" s="28" t="s">
        <v>624</v>
      </c>
    </row>
    <row r="596" spans="6:8" x14ac:dyDescent="0.25">
      <c r="F596" s="32">
        <v>2</v>
      </c>
      <c r="G596" s="32">
        <v>553</v>
      </c>
      <c r="H596" s="28" t="s">
        <v>625</v>
      </c>
    </row>
    <row r="597" spans="6:8" x14ac:dyDescent="0.25">
      <c r="F597" s="32">
        <v>2</v>
      </c>
      <c r="G597" s="32">
        <v>554</v>
      </c>
      <c r="H597" s="28" t="s">
        <v>626</v>
      </c>
    </row>
    <row r="598" spans="6:8" x14ac:dyDescent="0.25">
      <c r="F598" s="32">
        <v>2</v>
      </c>
      <c r="G598" s="32">
        <v>555</v>
      </c>
      <c r="H598" s="28" t="s">
        <v>627</v>
      </c>
    </row>
    <row r="599" spans="6:8" x14ac:dyDescent="0.25">
      <c r="F599" s="32">
        <v>2</v>
      </c>
      <c r="G599" s="32">
        <v>557</v>
      </c>
      <c r="H599" s="28" t="s">
        <v>628</v>
      </c>
    </row>
    <row r="600" spans="6:8" x14ac:dyDescent="0.25">
      <c r="F600" s="32">
        <v>2</v>
      </c>
      <c r="G600" s="32">
        <v>558</v>
      </c>
      <c r="H600" s="28" t="s">
        <v>629</v>
      </c>
    </row>
    <row r="601" spans="6:8" x14ac:dyDescent="0.25">
      <c r="F601" s="32">
        <v>2</v>
      </c>
      <c r="G601" s="32">
        <v>559</v>
      </c>
      <c r="H601" s="28" t="s">
        <v>630</v>
      </c>
    </row>
    <row r="602" spans="6:8" x14ac:dyDescent="0.25">
      <c r="F602" s="32">
        <v>2</v>
      </c>
      <c r="G602" s="32">
        <v>560</v>
      </c>
      <c r="H602" s="28" t="s">
        <v>631</v>
      </c>
    </row>
    <row r="603" spans="6:8" x14ac:dyDescent="0.25">
      <c r="F603" s="32">
        <v>2</v>
      </c>
      <c r="G603" s="32">
        <v>561</v>
      </c>
      <c r="H603" s="28" t="s">
        <v>632</v>
      </c>
    </row>
    <row r="604" spans="6:8" x14ac:dyDescent="0.25">
      <c r="F604" s="32">
        <v>2</v>
      </c>
      <c r="G604" s="32">
        <v>562</v>
      </c>
      <c r="H604" s="28" t="s">
        <v>633</v>
      </c>
    </row>
    <row r="605" spans="6:8" x14ac:dyDescent="0.25">
      <c r="F605" s="32">
        <v>2</v>
      </c>
      <c r="G605" s="32">
        <v>563</v>
      </c>
      <c r="H605" s="28" t="s">
        <v>634</v>
      </c>
    </row>
    <row r="606" spans="6:8" x14ac:dyDescent="0.25">
      <c r="F606" s="32">
        <v>2</v>
      </c>
      <c r="G606" s="32">
        <v>564</v>
      </c>
      <c r="H606" s="28" t="s">
        <v>635</v>
      </c>
    </row>
    <row r="607" spans="6:8" x14ac:dyDescent="0.25">
      <c r="F607" s="32">
        <v>2</v>
      </c>
      <c r="G607" s="32">
        <v>566</v>
      </c>
      <c r="H607" s="28" t="s">
        <v>636</v>
      </c>
    </row>
    <row r="608" spans="6:8" x14ac:dyDescent="0.25">
      <c r="F608" s="32">
        <v>2</v>
      </c>
      <c r="G608" s="32">
        <v>568</v>
      </c>
      <c r="H608" s="28" t="s">
        <v>637</v>
      </c>
    </row>
    <row r="609" spans="6:8" x14ac:dyDescent="0.25">
      <c r="F609" s="32">
        <v>2</v>
      </c>
      <c r="G609" s="32">
        <v>569</v>
      </c>
      <c r="H609" s="28" t="s">
        <v>638</v>
      </c>
    </row>
    <row r="610" spans="6:8" x14ac:dyDescent="0.25">
      <c r="F610" s="32">
        <v>2</v>
      </c>
      <c r="G610" s="32">
        <v>570</v>
      </c>
      <c r="H610" s="28" t="s">
        <v>639</v>
      </c>
    </row>
    <row r="611" spans="6:8" x14ac:dyDescent="0.25">
      <c r="F611" s="32">
        <v>2</v>
      </c>
      <c r="G611" s="32">
        <v>571</v>
      </c>
      <c r="H611" s="28" t="s">
        <v>640</v>
      </c>
    </row>
    <row r="612" spans="6:8" x14ac:dyDescent="0.25">
      <c r="F612" s="32">
        <v>2</v>
      </c>
      <c r="G612" s="32">
        <v>572</v>
      </c>
      <c r="H612" s="28" t="s">
        <v>641</v>
      </c>
    </row>
    <row r="613" spans="6:8" x14ac:dyDescent="0.25">
      <c r="F613" s="32">
        <v>2</v>
      </c>
      <c r="G613" s="32">
        <v>573</v>
      </c>
      <c r="H613" s="28" t="s">
        <v>642</v>
      </c>
    </row>
    <row r="614" spans="6:8" x14ac:dyDescent="0.25">
      <c r="F614" s="32">
        <v>2</v>
      </c>
      <c r="G614" s="32">
        <v>574</v>
      </c>
      <c r="H614" s="28" t="s">
        <v>643</v>
      </c>
    </row>
    <row r="615" spans="6:8" x14ac:dyDescent="0.25">
      <c r="F615" s="32">
        <v>2</v>
      </c>
      <c r="G615" s="32">
        <v>575</v>
      </c>
      <c r="H615" s="28" t="s">
        <v>644</v>
      </c>
    </row>
    <row r="616" spans="6:8" x14ac:dyDescent="0.25">
      <c r="F616" s="32">
        <v>2</v>
      </c>
      <c r="G616" s="32">
        <v>576</v>
      </c>
      <c r="H616" s="28" t="s">
        <v>645</v>
      </c>
    </row>
    <row r="617" spans="6:8" x14ac:dyDescent="0.25">
      <c r="F617" s="32">
        <v>2</v>
      </c>
      <c r="G617" s="32">
        <v>577</v>
      </c>
      <c r="H617" s="28" t="s">
        <v>646</v>
      </c>
    </row>
    <row r="618" spans="6:8" x14ac:dyDescent="0.25">
      <c r="F618" s="32">
        <v>2</v>
      </c>
      <c r="G618" s="32">
        <v>580</v>
      </c>
      <c r="H618" s="28" t="s">
        <v>647</v>
      </c>
    </row>
    <row r="619" spans="6:8" x14ac:dyDescent="0.25">
      <c r="F619" s="32">
        <v>2</v>
      </c>
      <c r="G619" s="32">
        <v>581</v>
      </c>
      <c r="H619" s="28" t="s">
        <v>648</v>
      </c>
    </row>
    <row r="620" spans="6:8" x14ac:dyDescent="0.25">
      <c r="F620" s="32">
        <v>2</v>
      </c>
      <c r="G620" s="32">
        <v>583</v>
      </c>
      <c r="H620" s="28" t="s">
        <v>649</v>
      </c>
    </row>
    <row r="621" spans="6:8" x14ac:dyDescent="0.25">
      <c r="F621" s="32">
        <v>2</v>
      </c>
      <c r="G621" s="32">
        <v>584</v>
      </c>
      <c r="H621" s="28" t="s">
        <v>650</v>
      </c>
    </row>
    <row r="622" spans="6:8" x14ac:dyDescent="0.25">
      <c r="F622" s="32">
        <v>2</v>
      </c>
      <c r="G622" s="32">
        <v>585</v>
      </c>
      <c r="H622" s="28" t="s">
        <v>651</v>
      </c>
    </row>
    <row r="623" spans="6:8" x14ac:dyDescent="0.25">
      <c r="F623" s="32">
        <v>2</v>
      </c>
      <c r="G623" s="32">
        <v>586</v>
      </c>
      <c r="H623" s="28" t="s">
        <v>652</v>
      </c>
    </row>
    <row r="624" spans="6:8" x14ac:dyDescent="0.25">
      <c r="F624" s="32">
        <v>2</v>
      </c>
      <c r="G624" s="32">
        <v>587</v>
      </c>
      <c r="H624" s="28" t="s">
        <v>653</v>
      </c>
    </row>
    <row r="625" spans="6:8" x14ac:dyDescent="0.25">
      <c r="F625" s="32">
        <v>2</v>
      </c>
      <c r="G625" s="32">
        <v>588</v>
      </c>
      <c r="H625" s="28" t="s">
        <v>654</v>
      </c>
    </row>
    <row r="626" spans="6:8" x14ac:dyDescent="0.25">
      <c r="F626" s="32">
        <v>2</v>
      </c>
      <c r="G626" s="32">
        <v>589</v>
      </c>
      <c r="H626" s="28" t="s">
        <v>655</v>
      </c>
    </row>
    <row r="627" spans="6:8" x14ac:dyDescent="0.25">
      <c r="F627" s="32">
        <v>2</v>
      </c>
      <c r="G627" s="32">
        <v>590</v>
      </c>
      <c r="H627" s="28" t="s">
        <v>656</v>
      </c>
    </row>
    <row r="628" spans="6:8" x14ac:dyDescent="0.25">
      <c r="F628" s="32">
        <v>2</v>
      </c>
      <c r="G628" s="32">
        <v>591</v>
      </c>
      <c r="H628" s="28" t="s">
        <v>657</v>
      </c>
    </row>
    <row r="629" spans="6:8" x14ac:dyDescent="0.25">
      <c r="F629" s="32">
        <v>2</v>
      </c>
      <c r="G629" s="32">
        <v>592</v>
      </c>
      <c r="H629" s="28" t="s">
        <v>658</v>
      </c>
    </row>
    <row r="630" spans="6:8" x14ac:dyDescent="0.25">
      <c r="F630" s="32">
        <v>2</v>
      </c>
      <c r="G630" s="32">
        <v>593</v>
      </c>
      <c r="H630" s="28" t="s">
        <v>659</v>
      </c>
    </row>
    <row r="631" spans="6:8" x14ac:dyDescent="0.25">
      <c r="F631" s="32">
        <v>2</v>
      </c>
      <c r="G631" s="32">
        <v>594</v>
      </c>
      <c r="H631" s="28" t="s">
        <v>660</v>
      </c>
    </row>
    <row r="632" spans="6:8" x14ac:dyDescent="0.25">
      <c r="F632" s="32">
        <v>2</v>
      </c>
      <c r="G632" s="32">
        <v>595</v>
      </c>
      <c r="H632" s="28" t="s">
        <v>661</v>
      </c>
    </row>
    <row r="633" spans="6:8" x14ac:dyDescent="0.25">
      <c r="F633" s="32">
        <v>2</v>
      </c>
      <c r="G633" s="32">
        <v>596</v>
      </c>
      <c r="H633" s="28" t="s">
        <v>662</v>
      </c>
    </row>
    <row r="634" spans="6:8" x14ac:dyDescent="0.25">
      <c r="F634" s="32">
        <v>2</v>
      </c>
      <c r="G634" s="32">
        <v>597</v>
      </c>
      <c r="H634" s="28" t="s">
        <v>663</v>
      </c>
    </row>
    <row r="635" spans="6:8" x14ac:dyDescent="0.25">
      <c r="F635" s="32">
        <v>2</v>
      </c>
      <c r="G635" s="32">
        <v>598</v>
      </c>
      <c r="H635" s="28" t="s">
        <v>664</v>
      </c>
    </row>
    <row r="636" spans="6:8" x14ac:dyDescent="0.25">
      <c r="F636" s="32">
        <v>2</v>
      </c>
      <c r="G636" s="32">
        <v>599</v>
      </c>
      <c r="H636" s="28" t="s">
        <v>665</v>
      </c>
    </row>
    <row r="637" spans="6:8" x14ac:dyDescent="0.25">
      <c r="F637" s="32">
        <v>2</v>
      </c>
      <c r="G637" s="32">
        <v>600</v>
      </c>
      <c r="H637" s="28" t="s">
        <v>666</v>
      </c>
    </row>
    <row r="638" spans="6:8" x14ac:dyDescent="0.25">
      <c r="F638" s="32">
        <v>2</v>
      </c>
      <c r="G638" s="32">
        <v>601</v>
      </c>
      <c r="H638" s="28" t="s">
        <v>667</v>
      </c>
    </row>
    <row r="639" spans="6:8" x14ac:dyDescent="0.25">
      <c r="F639" s="32">
        <v>2</v>
      </c>
      <c r="G639" s="32">
        <v>602</v>
      </c>
      <c r="H639" s="28" t="s">
        <v>668</v>
      </c>
    </row>
    <row r="640" spans="6:8" x14ac:dyDescent="0.25">
      <c r="F640" s="32">
        <v>2</v>
      </c>
      <c r="G640" s="32">
        <v>603</v>
      </c>
      <c r="H640" s="28" t="s">
        <v>669</v>
      </c>
    </row>
    <row r="641" spans="6:8" x14ac:dyDescent="0.25">
      <c r="F641" s="32">
        <v>2</v>
      </c>
      <c r="G641" s="32">
        <v>604</v>
      </c>
      <c r="H641" s="28" t="s">
        <v>670</v>
      </c>
    </row>
    <row r="642" spans="6:8" x14ac:dyDescent="0.25">
      <c r="F642" s="32">
        <v>2</v>
      </c>
      <c r="G642" s="32">
        <v>605</v>
      </c>
      <c r="H642" s="28" t="s">
        <v>671</v>
      </c>
    </row>
    <row r="643" spans="6:8" x14ac:dyDescent="0.25">
      <c r="F643" s="32">
        <v>2</v>
      </c>
      <c r="G643" s="32">
        <v>607</v>
      </c>
      <c r="H643" s="28" t="s">
        <v>672</v>
      </c>
    </row>
    <row r="644" spans="6:8" x14ac:dyDescent="0.25">
      <c r="F644" s="32">
        <v>2</v>
      </c>
      <c r="G644" s="32">
        <v>608</v>
      </c>
      <c r="H644" s="28" t="s">
        <v>673</v>
      </c>
    </row>
    <row r="645" spans="6:8" x14ac:dyDescent="0.25">
      <c r="F645" s="32">
        <v>2</v>
      </c>
      <c r="G645" s="32">
        <v>609</v>
      </c>
      <c r="H645" s="28" t="s">
        <v>674</v>
      </c>
    </row>
    <row r="646" spans="6:8" x14ac:dyDescent="0.25">
      <c r="F646" s="32">
        <v>2</v>
      </c>
      <c r="G646" s="32">
        <v>610</v>
      </c>
      <c r="H646" s="28" t="s">
        <v>675</v>
      </c>
    </row>
    <row r="647" spans="6:8" x14ac:dyDescent="0.25">
      <c r="F647" s="32">
        <v>2</v>
      </c>
      <c r="G647" s="32">
        <v>611</v>
      </c>
      <c r="H647" s="28" t="s">
        <v>676</v>
      </c>
    </row>
    <row r="648" spans="6:8" x14ac:dyDescent="0.25">
      <c r="F648" s="32">
        <v>2</v>
      </c>
      <c r="G648" s="32">
        <v>612</v>
      </c>
      <c r="H648" s="28" t="s">
        <v>677</v>
      </c>
    </row>
    <row r="649" spans="6:8" x14ac:dyDescent="0.25">
      <c r="F649" s="32">
        <v>2</v>
      </c>
      <c r="G649" s="32">
        <v>613</v>
      </c>
      <c r="H649" s="28" t="s">
        <v>678</v>
      </c>
    </row>
    <row r="650" spans="6:8" x14ac:dyDescent="0.25">
      <c r="F650" s="32">
        <v>2</v>
      </c>
      <c r="G650" s="32">
        <v>614</v>
      </c>
      <c r="H650" s="28" t="s">
        <v>679</v>
      </c>
    </row>
    <row r="651" spans="6:8" x14ac:dyDescent="0.25">
      <c r="F651" s="32">
        <v>2</v>
      </c>
      <c r="G651" s="32">
        <v>615</v>
      </c>
      <c r="H651" s="28" t="s">
        <v>680</v>
      </c>
    </row>
    <row r="652" spans="6:8" x14ac:dyDescent="0.25">
      <c r="F652" s="32">
        <v>2</v>
      </c>
      <c r="G652" s="32">
        <v>616</v>
      </c>
      <c r="H652" s="28" t="s">
        <v>681</v>
      </c>
    </row>
    <row r="653" spans="6:8" x14ac:dyDescent="0.25">
      <c r="F653" s="32">
        <v>2</v>
      </c>
      <c r="G653" s="32">
        <v>617</v>
      </c>
      <c r="H653" s="28" t="s">
        <v>682</v>
      </c>
    </row>
    <row r="654" spans="6:8" x14ac:dyDescent="0.25">
      <c r="F654" s="32">
        <v>2</v>
      </c>
      <c r="G654" s="32">
        <v>618</v>
      </c>
      <c r="H654" s="28" t="s">
        <v>683</v>
      </c>
    </row>
    <row r="655" spans="6:8" x14ac:dyDescent="0.25">
      <c r="F655" s="32">
        <v>2</v>
      </c>
      <c r="G655" s="32">
        <v>619</v>
      </c>
      <c r="H655" s="28" t="s">
        <v>684</v>
      </c>
    </row>
    <row r="656" spans="6:8" x14ac:dyDescent="0.25">
      <c r="F656" s="32">
        <v>2</v>
      </c>
      <c r="G656" s="32">
        <v>620</v>
      </c>
      <c r="H656" s="28" t="s">
        <v>685</v>
      </c>
    </row>
    <row r="657" spans="6:8" x14ac:dyDescent="0.25">
      <c r="F657" s="32">
        <v>2</v>
      </c>
      <c r="G657" s="32">
        <v>621</v>
      </c>
      <c r="H657" s="28" t="s">
        <v>686</v>
      </c>
    </row>
    <row r="658" spans="6:8" x14ac:dyDescent="0.25">
      <c r="F658" s="32">
        <v>2</v>
      </c>
      <c r="G658" s="32">
        <v>623</v>
      </c>
      <c r="H658" s="28" t="s">
        <v>687</v>
      </c>
    </row>
    <row r="659" spans="6:8" x14ac:dyDescent="0.25">
      <c r="F659" s="32">
        <v>2</v>
      </c>
      <c r="G659" s="32">
        <v>624</v>
      </c>
      <c r="H659" s="28" t="s">
        <v>688</v>
      </c>
    </row>
    <row r="660" spans="6:8" x14ac:dyDescent="0.25">
      <c r="F660" s="32">
        <v>2</v>
      </c>
      <c r="G660" s="32">
        <v>625</v>
      </c>
      <c r="H660" s="28" t="s">
        <v>689</v>
      </c>
    </row>
    <row r="661" spans="6:8" x14ac:dyDescent="0.25">
      <c r="F661" s="32">
        <v>2</v>
      </c>
      <c r="G661" s="32">
        <v>626</v>
      </c>
      <c r="H661" s="28" t="s">
        <v>690</v>
      </c>
    </row>
    <row r="662" spans="6:8" x14ac:dyDescent="0.25">
      <c r="F662" s="32">
        <v>2</v>
      </c>
      <c r="G662" s="32">
        <v>627</v>
      </c>
      <c r="H662" s="28" t="s">
        <v>691</v>
      </c>
    </row>
    <row r="663" spans="6:8" x14ac:dyDescent="0.25">
      <c r="F663" s="32">
        <v>2</v>
      </c>
      <c r="G663" s="32">
        <v>628</v>
      </c>
      <c r="H663" s="28" t="s">
        <v>692</v>
      </c>
    </row>
    <row r="664" spans="6:8" x14ac:dyDescent="0.25">
      <c r="F664" s="32">
        <v>2</v>
      </c>
      <c r="G664" s="32">
        <v>629</v>
      </c>
      <c r="H664" s="28" t="s">
        <v>693</v>
      </c>
    </row>
    <row r="665" spans="6:8" x14ac:dyDescent="0.25">
      <c r="F665" s="32">
        <v>2</v>
      </c>
      <c r="G665" s="32">
        <v>630</v>
      </c>
      <c r="H665" s="28" t="s">
        <v>694</v>
      </c>
    </row>
    <row r="666" spans="6:8" x14ac:dyDescent="0.25">
      <c r="F666" s="32">
        <v>2</v>
      </c>
      <c r="G666" s="32">
        <v>631</v>
      </c>
      <c r="H666" s="28" t="s">
        <v>695</v>
      </c>
    </row>
    <row r="667" spans="6:8" x14ac:dyDescent="0.25">
      <c r="F667" s="32">
        <v>2</v>
      </c>
      <c r="G667" s="32">
        <v>632</v>
      </c>
      <c r="H667" s="28" t="s">
        <v>696</v>
      </c>
    </row>
    <row r="668" spans="6:8" x14ac:dyDescent="0.25">
      <c r="F668" s="32">
        <v>2</v>
      </c>
      <c r="G668" s="32">
        <v>640</v>
      </c>
      <c r="H668" s="28" t="s">
        <v>697</v>
      </c>
    </row>
    <row r="669" spans="6:8" x14ac:dyDescent="0.25">
      <c r="F669" s="32">
        <v>2</v>
      </c>
      <c r="G669" s="32">
        <v>641</v>
      </c>
      <c r="H669" s="28" t="s">
        <v>698</v>
      </c>
    </row>
    <row r="670" spans="6:8" x14ac:dyDescent="0.25">
      <c r="F670" s="32">
        <v>2</v>
      </c>
      <c r="G670" s="32">
        <v>642</v>
      </c>
      <c r="H670" s="28" t="s">
        <v>699</v>
      </c>
    </row>
    <row r="671" spans="6:8" x14ac:dyDescent="0.25">
      <c r="F671" s="32">
        <v>2</v>
      </c>
      <c r="G671" s="32">
        <v>643</v>
      </c>
      <c r="H671" s="28" t="s">
        <v>700</v>
      </c>
    </row>
    <row r="672" spans="6:8" x14ac:dyDescent="0.25">
      <c r="F672" s="32">
        <v>2</v>
      </c>
      <c r="G672" s="32">
        <v>647</v>
      </c>
      <c r="H672" s="28" t="s">
        <v>701</v>
      </c>
    </row>
    <row r="673" spans="6:8" x14ac:dyDescent="0.25">
      <c r="F673" s="32">
        <v>2</v>
      </c>
      <c r="G673" s="32">
        <v>648</v>
      </c>
      <c r="H673" s="28" t="s">
        <v>702</v>
      </c>
    </row>
    <row r="674" spans="6:8" x14ac:dyDescent="0.25">
      <c r="F674" s="32">
        <v>2</v>
      </c>
      <c r="G674" s="32">
        <v>649</v>
      </c>
      <c r="H674" s="28" t="s">
        <v>703</v>
      </c>
    </row>
    <row r="675" spans="6:8" x14ac:dyDescent="0.25">
      <c r="F675" s="32">
        <v>2</v>
      </c>
      <c r="G675" s="32">
        <v>650</v>
      </c>
      <c r="H675" s="28" t="s">
        <v>704</v>
      </c>
    </row>
    <row r="676" spans="6:8" x14ac:dyDescent="0.25">
      <c r="F676" s="32">
        <v>2</v>
      </c>
      <c r="G676" s="32">
        <v>651</v>
      </c>
      <c r="H676" s="28" t="s">
        <v>705</v>
      </c>
    </row>
    <row r="677" spans="6:8" x14ac:dyDescent="0.25">
      <c r="F677" s="32">
        <v>2</v>
      </c>
      <c r="G677" s="32">
        <v>652</v>
      </c>
      <c r="H677" s="28" t="s">
        <v>706</v>
      </c>
    </row>
    <row r="678" spans="6:8" x14ac:dyDescent="0.25">
      <c r="F678" s="32">
        <v>2</v>
      </c>
      <c r="G678" s="32">
        <v>653</v>
      </c>
      <c r="H678" s="28" t="s">
        <v>707</v>
      </c>
    </row>
    <row r="679" spans="6:8" x14ac:dyDescent="0.25">
      <c r="F679" s="32">
        <v>2</v>
      </c>
      <c r="G679" s="32">
        <v>655</v>
      </c>
      <c r="H679" s="28" t="s">
        <v>708</v>
      </c>
    </row>
    <row r="680" spans="6:8" x14ac:dyDescent="0.25">
      <c r="F680" s="32">
        <v>2</v>
      </c>
      <c r="G680" s="32">
        <v>656</v>
      </c>
      <c r="H680" s="28" t="s">
        <v>709</v>
      </c>
    </row>
    <row r="681" spans="6:8" x14ac:dyDescent="0.25">
      <c r="F681" s="32">
        <v>2</v>
      </c>
      <c r="G681" s="32">
        <v>657</v>
      </c>
      <c r="H681" s="28" t="s">
        <v>710</v>
      </c>
    </row>
    <row r="682" spans="6:8" x14ac:dyDescent="0.25">
      <c r="F682" s="32">
        <v>2</v>
      </c>
      <c r="G682" s="32">
        <v>658</v>
      </c>
      <c r="H682" s="28" t="s">
        <v>711</v>
      </c>
    </row>
    <row r="683" spans="6:8" x14ac:dyDescent="0.25">
      <c r="F683" s="32">
        <v>2</v>
      </c>
      <c r="G683" s="32">
        <v>659</v>
      </c>
      <c r="H683" s="28" t="s">
        <v>712</v>
      </c>
    </row>
    <row r="684" spans="6:8" x14ac:dyDescent="0.25">
      <c r="F684" s="32">
        <v>2</v>
      </c>
      <c r="G684" s="32">
        <v>661</v>
      </c>
      <c r="H684" s="28" t="s">
        <v>713</v>
      </c>
    </row>
    <row r="685" spans="6:8" x14ac:dyDescent="0.25">
      <c r="F685" s="32">
        <v>2</v>
      </c>
      <c r="G685" s="32">
        <v>662</v>
      </c>
      <c r="H685" s="28" t="s">
        <v>714</v>
      </c>
    </row>
    <row r="686" spans="6:8" x14ac:dyDescent="0.25">
      <c r="F686" s="32">
        <v>2</v>
      </c>
      <c r="G686" s="32">
        <v>663</v>
      </c>
      <c r="H686" s="28" t="s">
        <v>715</v>
      </c>
    </row>
    <row r="687" spans="6:8" x14ac:dyDescent="0.25">
      <c r="F687" s="32">
        <v>2</v>
      </c>
      <c r="G687" s="32">
        <v>664</v>
      </c>
      <c r="H687" s="28" t="s">
        <v>716</v>
      </c>
    </row>
    <row r="688" spans="6:8" x14ac:dyDescent="0.25">
      <c r="F688" s="32">
        <v>2</v>
      </c>
      <c r="G688" s="32">
        <v>665</v>
      </c>
      <c r="H688" s="28" t="s">
        <v>717</v>
      </c>
    </row>
    <row r="689" spans="6:8" x14ac:dyDescent="0.25">
      <c r="F689" s="32">
        <v>2</v>
      </c>
      <c r="G689" s="32">
        <v>666</v>
      </c>
      <c r="H689" s="28" t="s">
        <v>718</v>
      </c>
    </row>
    <row r="690" spans="6:8" x14ac:dyDescent="0.25">
      <c r="F690" s="32">
        <v>2</v>
      </c>
      <c r="G690" s="32">
        <v>668</v>
      </c>
      <c r="H690" s="28" t="s">
        <v>719</v>
      </c>
    </row>
    <row r="691" spans="6:8" x14ac:dyDescent="0.25">
      <c r="F691" s="32">
        <v>2</v>
      </c>
      <c r="G691" s="32">
        <v>669</v>
      </c>
      <c r="H691" s="28" t="s">
        <v>720</v>
      </c>
    </row>
    <row r="692" spans="6:8" x14ac:dyDescent="0.25">
      <c r="F692" s="32">
        <v>2</v>
      </c>
      <c r="G692" s="32">
        <v>674</v>
      </c>
      <c r="H692" s="28" t="s">
        <v>721</v>
      </c>
    </row>
    <row r="693" spans="6:8" x14ac:dyDescent="0.25">
      <c r="F693" s="32">
        <v>2</v>
      </c>
      <c r="G693" s="32">
        <v>675</v>
      </c>
      <c r="H693" s="28" t="s">
        <v>722</v>
      </c>
    </row>
    <row r="694" spans="6:8" x14ac:dyDescent="0.25">
      <c r="F694" s="32">
        <v>2</v>
      </c>
      <c r="G694" s="32">
        <v>676</v>
      </c>
      <c r="H694" s="28" t="s">
        <v>723</v>
      </c>
    </row>
    <row r="695" spans="6:8" x14ac:dyDescent="0.25">
      <c r="F695" s="32">
        <v>2</v>
      </c>
      <c r="G695" s="32">
        <v>677</v>
      </c>
      <c r="H695" s="28" t="s">
        <v>724</v>
      </c>
    </row>
    <row r="696" spans="6:8" x14ac:dyDescent="0.25">
      <c r="F696" s="32">
        <v>2</v>
      </c>
      <c r="G696" s="32">
        <v>678</v>
      </c>
      <c r="H696" s="28" t="s">
        <v>725</v>
      </c>
    </row>
    <row r="697" spans="6:8" x14ac:dyDescent="0.25">
      <c r="F697" s="32">
        <v>2</v>
      </c>
      <c r="G697" s="32">
        <v>680</v>
      </c>
      <c r="H697" s="28" t="s">
        <v>726</v>
      </c>
    </row>
    <row r="698" spans="6:8" x14ac:dyDescent="0.25">
      <c r="F698" s="32">
        <v>2</v>
      </c>
      <c r="G698" s="32">
        <v>681</v>
      </c>
      <c r="H698" s="28" t="s">
        <v>727</v>
      </c>
    </row>
    <row r="699" spans="6:8" x14ac:dyDescent="0.25">
      <c r="F699" s="32">
        <v>2</v>
      </c>
      <c r="G699" s="32">
        <v>682</v>
      </c>
      <c r="H699" s="28" t="s">
        <v>728</v>
      </c>
    </row>
    <row r="700" spans="6:8" x14ac:dyDescent="0.25">
      <c r="F700" s="32">
        <v>2</v>
      </c>
      <c r="G700" s="32">
        <v>683</v>
      </c>
      <c r="H700" s="28" t="s">
        <v>729</v>
      </c>
    </row>
    <row r="701" spans="6:8" x14ac:dyDescent="0.25">
      <c r="F701" s="32">
        <v>2</v>
      </c>
      <c r="G701" s="32">
        <v>684</v>
      </c>
      <c r="H701" s="28" t="s">
        <v>730</v>
      </c>
    </row>
    <row r="702" spans="6:8" x14ac:dyDescent="0.25">
      <c r="F702" s="32">
        <v>2</v>
      </c>
      <c r="G702" s="32">
        <v>685</v>
      </c>
      <c r="H702" s="28" t="s">
        <v>731</v>
      </c>
    </row>
    <row r="703" spans="6:8" x14ac:dyDescent="0.25">
      <c r="F703" s="32">
        <v>2</v>
      </c>
      <c r="G703" s="32">
        <v>686</v>
      </c>
      <c r="H703" s="28" t="s">
        <v>732</v>
      </c>
    </row>
    <row r="704" spans="6:8" x14ac:dyDescent="0.25">
      <c r="F704" s="32">
        <v>2</v>
      </c>
      <c r="G704" s="32">
        <v>687</v>
      </c>
      <c r="H704" s="28" t="s">
        <v>733</v>
      </c>
    </row>
    <row r="705" spans="6:8" x14ac:dyDescent="0.25">
      <c r="F705" s="32">
        <v>2</v>
      </c>
      <c r="G705" s="32">
        <v>688</v>
      </c>
      <c r="H705" s="28" t="s">
        <v>734</v>
      </c>
    </row>
    <row r="706" spans="6:8" x14ac:dyDescent="0.25">
      <c r="F706" s="32">
        <v>2</v>
      </c>
      <c r="G706" s="32">
        <v>689</v>
      </c>
      <c r="H706" s="28" t="s">
        <v>735</v>
      </c>
    </row>
    <row r="707" spans="6:8" x14ac:dyDescent="0.25">
      <c r="F707" s="32">
        <v>2</v>
      </c>
      <c r="G707" s="32">
        <v>690</v>
      </c>
      <c r="H707" s="28" t="s">
        <v>736</v>
      </c>
    </row>
    <row r="708" spans="6:8" x14ac:dyDescent="0.25">
      <c r="F708" s="32">
        <v>2</v>
      </c>
      <c r="G708" s="32">
        <v>692</v>
      </c>
      <c r="H708" s="28" t="s">
        <v>737</v>
      </c>
    </row>
    <row r="709" spans="6:8" x14ac:dyDescent="0.25">
      <c r="F709" s="32">
        <v>2</v>
      </c>
      <c r="G709" s="32">
        <v>703</v>
      </c>
      <c r="H709" s="28" t="s">
        <v>738</v>
      </c>
    </row>
    <row r="710" spans="6:8" x14ac:dyDescent="0.25">
      <c r="F710" s="32">
        <v>2</v>
      </c>
      <c r="G710" s="32">
        <v>704</v>
      </c>
      <c r="H710" s="28" t="s">
        <v>739</v>
      </c>
    </row>
    <row r="711" spans="6:8" x14ac:dyDescent="0.25">
      <c r="F711" s="32">
        <v>2</v>
      </c>
      <c r="G711" s="32">
        <v>705</v>
      </c>
      <c r="H711" s="28" t="s">
        <v>740</v>
      </c>
    </row>
    <row r="712" spans="6:8" x14ac:dyDescent="0.25">
      <c r="F712" s="32">
        <v>2</v>
      </c>
      <c r="G712" s="32">
        <v>706</v>
      </c>
      <c r="H712" s="28" t="s">
        <v>741</v>
      </c>
    </row>
    <row r="713" spans="6:8" x14ac:dyDescent="0.25">
      <c r="F713" s="32">
        <v>2</v>
      </c>
      <c r="G713" s="32">
        <v>707</v>
      </c>
      <c r="H713" s="28" t="s">
        <v>742</v>
      </c>
    </row>
    <row r="714" spans="6:8" x14ac:dyDescent="0.25">
      <c r="F714" s="32">
        <v>2</v>
      </c>
      <c r="G714" s="32">
        <v>709</v>
      </c>
      <c r="H714" s="28" t="s">
        <v>743</v>
      </c>
    </row>
    <row r="715" spans="6:8" x14ac:dyDescent="0.25">
      <c r="F715" s="32">
        <v>2</v>
      </c>
      <c r="G715" s="32">
        <v>719</v>
      </c>
      <c r="H715" s="28" t="s">
        <v>744</v>
      </c>
    </row>
    <row r="716" spans="6:8" x14ac:dyDescent="0.25">
      <c r="F716" s="32">
        <v>2</v>
      </c>
      <c r="G716" s="32">
        <v>720</v>
      </c>
      <c r="H716" s="28" t="s">
        <v>745</v>
      </c>
    </row>
    <row r="717" spans="6:8" x14ac:dyDescent="0.25">
      <c r="F717" s="32">
        <v>2</v>
      </c>
      <c r="G717" s="32">
        <v>721</v>
      </c>
      <c r="H717" s="28" t="s">
        <v>746</v>
      </c>
    </row>
    <row r="718" spans="6:8" x14ac:dyDescent="0.25">
      <c r="F718" s="32">
        <v>2</v>
      </c>
      <c r="G718" s="32">
        <v>722</v>
      </c>
      <c r="H718" s="28" t="s">
        <v>747</v>
      </c>
    </row>
    <row r="719" spans="6:8" x14ac:dyDescent="0.25">
      <c r="F719" s="32">
        <v>2</v>
      </c>
      <c r="G719" s="32">
        <v>723</v>
      </c>
      <c r="H719" s="28" t="s">
        <v>748</v>
      </c>
    </row>
    <row r="720" spans="6:8" x14ac:dyDescent="0.25">
      <c r="F720" s="32">
        <v>2</v>
      </c>
      <c r="G720" s="32">
        <v>724</v>
      </c>
      <c r="H720" s="28" t="s">
        <v>749</v>
      </c>
    </row>
    <row r="721" spans="6:8" x14ac:dyDescent="0.25">
      <c r="F721" s="32">
        <v>2</v>
      </c>
      <c r="G721" s="32">
        <v>725</v>
      </c>
      <c r="H721" s="28" t="s">
        <v>750</v>
      </c>
    </row>
    <row r="722" spans="6:8" x14ac:dyDescent="0.25">
      <c r="F722" s="32">
        <v>2</v>
      </c>
      <c r="G722" s="32">
        <v>726</v>
      </c>
      <c r="H722" s="28" t="s">
        <v>751</v>
      </c>
    </row>
    <row r="723" spans="6:8" x14ac:dyDescent="0.25">
      <c r="F723" s="32">
        <v>2</v>
      </c>
      <c r="G723" s="32">
        <v>727</v>
      </c>
      <c r="H723" s="28" t="s">
        <v>752</v>
      </c>
    </row>
    <row r="724" spans="6:8" x14ac:dyDescent="0.25">
      <c r="F724" s="32">
        <v>2</v>
      </c>
      <c r="G724" s="32">
        <v>730</v>
      </c>
      <c r="H724" s="28" t="s">
        <v>753</v>
      </c>
    </row>
    <row r="725" spans="6:8" x14ac:dyDescent="0.25">
      <c r="F725" s="32">
        <v>2</v>
      </c>
      <c r="G725" s="32">
        <v>731</v>
      </c>
      <c r="H725" s="28" t="s">
        <v>754</v>
      </c>
    </row>
    <row r="726" spans="6:8" x14ac:dyDescent="0.25">
      <c r="F726" s="32">
        <v>2</v>
      </c>
      <c r="G726" s="32">
        <v>732</v>
      </c>
      <c r="H726" s="28" t="s">
        <v>755</v>
      </c>
    </row>
    <row r="727" spans="6:8" x14ac:dyDescent="0.25">
      <c r="F727" s="32">
        <v>2</v>
      </c>
      <c r="G727" s="32">
        <v>733</v>
      </c>
      <c r="H727" s="28" t="s">
        <v>756</v>
      </c>
    </row>
    <row r="728" spans="6:8" x14ac:dyDescent="0.25">
      <c r="F728" s="32">
        <v>2</v>
      </c>
      <c r="G728" s="32">
        <v>738</v>
      </c>
      <c r="H728" s="28" t="s">
        <v>757</v>
      </c>
    </row>
    <row r="729" spans="6:8" x14ac:dyDescent="0.25">
      <c r="F729" s="32">
        <v>2</v>
      </c>
      <c r="G729" s="32">
        <v>739</v>
      </c>
      <c r="H729" s="28" t="s">
        <v>758</v>
      </c>
    </row>
    <row r="730" spans="6:8" x14ac:dyDescent="0.25">
      <c r="F730" s="32">
        <v>2</v>
      </c>
      <c r="G730" s="32">
        <v>740</v>
      </c>
      <c r="H730" s="28" t="s">
        <v>759</v>
      </c>
    </row>
    <row r="731" spans="6:8" x14ac:dyDescent="0.25">
      <c r="F731" s="32">
        <v>2</v>
      </c>
      <c r="G731" s="32">
        <v>742</v>
      </c>
      <c r="H731" s="28" t="s">
        <v>760</v>
      </c>
    </row>
    <row r="732" spans="6:8" x14ac:dyDescent="0.25">
      <c r="F732" s="32">
        <v>2</v>
      </c>
      <c r="G732" s="32">
        <v>743</v>
      </c>
      <c r="H732" s="28" t="s">
        <v>761</v>
      </c>
    </row>
    <row r="733" spans="6:8" x14ac:dyDescent="0.25">
      <c r="F733" s="32">
        <v>2</v>
      </c>
      <c r="G733" s="32">
        <v>746</v>
      </c>
      <c r="H733" s="28" t="s">
        <v>762</v>
      </c>
    </row>
    <row r="734" spans="6:8" x14ac:dyDescent="0.25">
      <c r="F734" s="32">
        <v>2</v>
      </c>
      <c r="G734" s="32">
        <v>747</v>
      </c>
      <c r="H734" s="28" t="s">
        <v>763</v>
      </c>
    </row>
    <row r="735" spans="6:8" x14ac:dyDescent="0.25">
      <c r="F735" s="32">
        <v>2</v>
      </c>
      <c r="G735" s="32">
        <v>748</v>
      </c>
      <c r="H735" s="28" t="s">
        <v>764</v>
      </c>
    </row>
    <row r="736" spans="6:8" x14ac:dyDescent="0.25">
      <c r="F736" s="32">
        <v>2</v>
      </c>
      <c r="G736" s="32">
        <v>750</v>
      </c>
      <c r="H736" s="28" t="s">
        <v>765</v>
      </c>
    </row>
    <row r="737" spans="6:8" x14ac:dyDescent="0.25">
      <c r="F737" s="32">
        <v>2</v>
      </c>
      <c r="G737" s="32">
        <v>751</v>
      </c>
      <c r="H737" s="28" t="s">
        <v>766</v>
      </c>
    </row>
    <row r="738" spans="6:8" x14ac:dyDescent="0.25">
      <c r="F738" s="32">
        <v>2</v>
      </c>
      <c r="G738" s="32">
        <v>752</v>
      </c>
      <c r="H738" s="28" t="s">
        <v>767</v>
      </c>
    </row>
    <row r="739" spans="6:8" x14ac:dyDescent="0.25">
      <c r="F739" s="32">
        <v>2</v>
      </c>
      <c r="G739" s="32">
        <v>753</v>
      </c>
      <c r="H739" s="28" t="s">
        <v>768</v>
      </c>
    </row>
    <row r="740" spans="6:8" x14ac:dyDescent="0.25">
      <c r="F740" s="32">
        <v>2</v>
      </c>
      <c r="G740" s="32">
        <v>755</v>
      </c>
      <c r="H740" s="28" t="s">
        <v>769</v>
      </c>
    </row>
    <row r="741" spans="6:8" x14ac:dyDescent="0.25">
      <c r="F741" s="32">
        <v>2</v>
      </c>
      <c r="G741" s="32">
        <v>756</v>
      </c>
      <c r="H741" s="28" t="s">
        <v>770</v>
      </c>
    </row>
    <row r="742" spans="6:8" x14ac:dyDescent="0.25">
      <c r="F742" s="32">
        <v>2</v>
      </c>
      <c r="G742" s="32">
        <v>757</v>
      </c>
      <c r="H742" s="28" t="s">
        <v>771</v>
      </c>
    </row>
    <row r="743" spans="6:8" x14ac:dyDescent="0.25">
      <c r="F743" s="32">
        <v>2</v>
      </c>
      <c r="G743" s="32">
        <v>758</v>
      </c>
      <c r="H743" s="28" t="s">
        <v>772</v>
      </c>
    </row>
    <row r="744" spans="6:8" x14ac:dyDescent="0.25">
      <c r="F744" s="32">
        <v>2</v>
      </c>
      <c r="G744" s="32">
        <v>760</v>
      </c>
      <c r="H744" s="28" t="s">
        <v>773</v>
      </c>
    </row>
    <row r="745" spans="6:8" x14ac:dyDescent="0.25">
      <c r="F745" s="32">
        <v>2</v>
      </c>
      <c r="G745" s="32">
        <v>810</v>
      </c>
      <c r="H745" s="28" t="s">
        <v>774</v>
      </c>
    </row>
    <row r="746" spans="6:8" x14ac:dyDescent="0.25">
      <c r="F746" s="32">
        <v>2</v>
      </c>
      <c r="G746" s="32">
        <v>1400</v>
      </c>
      <c r="H746" s="28" t="s">
        <v>775</v>
      </c>
    </row>
    <row r="747" spans="6:8" x14ac:dyDescent="0.25">
      <c r="F747" s="32">
        <v>2</v>
      </c>
      <c r="G747" s="32">
        <v>1402</v>
      </c>
      <c r="H747" s="28" t="s">
        <v>776</v>
      </c>
    </row>
    <row r="748" spans="6:8" x14ac:dyDescent="0.25">
      <c r="F748" s="32">
        <v>2</v>
      </c>
      <c r="G748" s="32">
        <v>1404</v>
      </c>
      <c r="H748" s="28" t="s">
        <v>777</v>
      </c>
    </row>
    <row r="749" spans="6:8" x14ac:dyDescent="0.25">
      <c r="F749" s="32">
        <v>2</v>
      </c>
      <c r="G749" s="32">
        <v>1406</v>
      </c>
      <c r="H749" s="28" t="s">
        <v>778</v>
      </c>
    </row>
    <row r="750" spans="6:8" x14ac:dyDescent="0.25">
      <c r="F750" s="32">
        <v>2</v>
      </c>
      <c r="G750" s="32">
        <v>1408</v>
      </c>
      <c r="H750" s="28" t="s">
        <v>779</v>
      </c>
    </row>
    <row r="751" spans="6:8" x14ac:dyDescent="0.25">
      <c r="F751" s="32">
        <v>2</v>
      </c>
      <c r="G751" s="32">
        <v>1410</v>
      </c>
      <c r="H751" s="28" t="s">
        <v>780</v>
      </c>
    </row>
    <row r="752" spans="6:8" x14ac:dyDescent="0.25">
      <c r="F752" s="32">
        <v>2</v>
      </c>
      <c r="G752" s="32">
        <v>1411</v>
      </c>
      <c r="H752" s="28" t="s">
        <v>781</v>
      </c>
    </row>
    <row r="753" spans="6:8" x14ac:dyDescent="0.25">
      <c r="F753" s="32">
        <v>2</v>
      </c>
      <c r="G753" s="32">
        <v>1412</v>
      </c>
      <c r="H753" s="28" t="s">
        <v>782</v>
      </c>
    </row>
    <row r="754" spans="6:8" x14ac:dyDescent="0.25">
      <c r="F754" s="32">
        <v>2</v>
      </c>
      <c r="G754" s="32">
        <v>1413</v>
      </c>
      <c r="H754" s="28" t="s">
        <v>783</v>
      </c>
    </row>
    <row r="755" spans="6:8" x14ac:dyDescent="0.25">
      <c r="F755" s="32">
        <v>2</v>
      </c>
      <c r="G755" s="32">
        <v>1414</v>
      </c>
      <c r="H755" s="28" t="s">
        <v>784</v>
      </c>
    </row>
    <row r="756" spans="6:8" x14ac:dyDescent="0.25">
      <c r="F756" s="32">
        <v>2</v>
      </c>
      <c r="G756" s="32">
        <v>1415</v>
      </c>
      <c r="H756" s="28" t="s">
        <v>785</v>
      </c>
    </row>
    <row r="757" spans="6:8" x14ac:dyDescent="0.25">
      <c r="F757" s="32">
        <v>2</v>
      </c>
      <c r="G757" s="32">
        <v>1416</v>
      </c>
      <c r="H757" s="28" t="s">
        <v>786</v>
      </c>
    </row>
    <row r="758" spans="6:8" x14ac:dyDescent="0.25">
      <c r="F758" s="32">
        <v>2</v>
      </c>
      <c r="G758" s="32">
        <v>1417</v>
      </c>
      <c r="H758" s="28" t="s">
        <v>787</v>
      </c>
    </row>
    <row r="759" spans="6:8" x14ac:dyDescent="0.25">
      <c r="F759" s="32">
        <v>2</v>
      </c>
      <c r="G759" s="32">
        <v>1418</v>
      </c>
      <c r="H759" s="28" t="s">
        <v>788</v>
      </c>
    </row>
    <row r="760" spans="6:8" x14ac:dyDescent="0.25">
      <c r="F760" s="32">
        <v>2</v>
      </c>
      <c r="G760" s="32">
        <v>1419</v>
      </c>
      <c r="H760" s="28" t="s">
        <v>789</v>
      </c>
    </row>
    <row r="761" spans="6:8" x14ac:dyDescent="0.25">
      <c r="F761" s="32">
        <v>2</v>
      </c>
      <c r="G761" s="32">
        <v>1420</v>
      </c>
      <c r="H761" s="28" t="s">
        <v>790</v>
      </c>
    </row>
    <row r="762" spans="6:8" x14ac:dyDescent="0.25">
      <c r="F762" s="32">
        <v>2</v>
      </c>
      <c r="G762" s="32">
        <v>1421</v>
      </c>
      <c r="H762" s="28" t="s">
        <v>791</v>
      </c>
    </row>
    <row r="763" spans="6:8" x14ac:dyDescent="0.25">
      <c r="F763" s="32">
        <v>2</v>
      </c>
      <c r="G763" s="32">
        <v>1422</v>
      </c>
      <c r="H763" s="28" t="s">
        <v>792</v>
      </c>
    </row>
    <row r="764" spans="6:8" x14ac:dyDescent="0.25">
      <c r="F764" s="32">
        <v>2</v>
      </c>
      <c r="G764" s="32">
        <v>1423</v>
      </c>
      <c r="H764" s="28" t="s">
        <v>793</v>
      </c>
    </row>
    <row r="765" spans="6:8" x14ac:dyDescent="0.25">
      <c r="F765" s="32">
        <v>2</v>
      </c>
      <c r="G765" s="32">
        <v>1424</v>
      </c>
      <c r="H765" s="28" t="s">
        <v>794</v>
      </c>
    </row>
    <row r="766" spans="6:8" x14ac:dyDescent="0.25">
      <c r="F766" s="32">
        <v>2</v>
      </c>
      <c r="G766" s="32">
        <v>1425</v>
      </c>
      <c r="H766" s="28" t="s">
        <v>795</v>
      </c>
    </row>
    <row r="767" spans="6:8" x14ac:dyDescent="0.25">
      <c r="F767" s="32">
        <v>2</v>
      </c>
      <c r="G767" s="32">
        <v>1426</v>
      </c>
      <c r="H767" s="28" t="s">
        <v>796</v>
      </c>
    </row>
    <row r="768" spans="6:8" x14ac:dyDescent="0.25">
      <c r="F768" s="32">
        <v>2</v>
      </c>
      <c r="G768" s="32">
        <v>1454</v>
      </c>
      <c r="H768" s="28" t="s">
        <v>797</v>
      </c>
    </row>
    <row r="769" spans="6:8" x14ac:dyDescent="0.25">
      <c r="F769" s="32">
        <v>2</v>
      </c>
      <c r="G769" s="32">
        <v>1455</v>
      </c>
      <c r="H769" s="28" t="s">
        <v>798</v>
      </c>
    </row>
    <row r="770" spans="6:8" x14ac:dyDescent="0.25">
      <c r="F770" s="32">
        <v>2</v>
      </c>
      <c r="G770" s="32">
        <v>1456</v>
      </c>
      <c r="H770" s="28" t="s">
        <v>799</v>
      </c>
    </row>
    <row r="771" spans="6:8" x14ac:dyDescent="0.25">
      <c r="F771" s="32">
        <v>2</v>
      </c>
      <c r="G771" s="32">
        <v>1457</v>
      </c>
      <c r="H771" s="28" t="s">
        <v>800</v>
      </c>
    </row>
    <row r="772" spans="6:8" x14ac:dyDescent="0.25">
      <c r="F772" s="32">
        <v>2</v>
      </c>
      <c r="G772" s="32">
        <v>1458</v>
      </c>
      <c r="H772" s="28" t="s">
        <v>801</v>
      </c>
    </row>
    <row r="773" spans="6:8" x14ac:dyDescent="0.25">
      <c r="F773" s="32">
        <v>2</v>
      </c>
      <c r="G773" s="32">
        <v>1724</v>
      </c>
      <c r="H773" s="28" t="s">
        <v>802</v>
      </c>
    </row>
    <row r="774" spans="6:8" x14ac:dyDescent="0.25">
      <c r="F774" s="32">
        <v>2</v>
      </c>
      <c r="G774" s="32">
        <v>1725</v>
      </c>
      <c r="H774" s="28" t="s">
        <v>803</v>
      </c>
    </row>
    <row r="775" spans="6:8" x14ac:dyDescent="0.25">
      <c r="F775" s="32">
        <v>2</v>
      </c>
      <c r="G775" s="32">
        <v>1726</v>
      </c>
      <c r="H775" s="28" t="s">
        <v>804</v>
      </c>
    </row>
    <row r="776" spans="6:8" x14ac:dyDescent="0.25">
      <c r="F776" s="32">
        <v>2</v>
      </c>
      <c r="G776" s="32">
        <v>1727</v>
      </c>
      <c r="H776" s="28" t="s">
        <v>805</v>
      </c>
    </row>
    <row r="777" spans="6:8" x14ac:dyDescent="0.25">
      <c r="F777" s="32">
        <v>2</v>
      </c>
      <c r="G777" s="32">
        <v>1728</v>
      </c>
      <c r="H777" s="28" t="s">
        <v>806</v>
      </c>
    </row>
    <row r="778" spans="6:8" x14ac:dyDescent="0.25">
      <c r="F778" s="32">
        <v>2</v>
      </c>
      <c r="G778" s="32">
        <v>1729</v>
      </c>
      <c r="H778" s="28" t="s">
        <v>807</v>
      </c>
    </row>
    <row r="779" spans="6:8" x14ac:dyDescent="0.25">
      <c r="F779" s="32">
        <v>2</v>
      </c>
      <c r="G779" s="32">
        <v>1730</v>
      </c>
      <c r="H779" s="28" t="s">
        <v>808</v>
      </c>
    </row>
    <row r="780" spans="6:8" x14ac:dyDescent="0.25">
      <c r="F780" s="32">
        <v>2</v>
      </c>
      <c r="G780" s="32">
        <v>1732</v>
      </c>
      <c r="H780" s="28" t="s">
        <v>809</v>
      </c>
    </row>
    <row r="781" spans="6:8" x14ac:dyDescent="0.25">
      <c r="F781" s="32">
        <v>3</v>
      </c>
      <c r="G781" s="32">
        <v>6</v>
      </c>
      <c r="H781" s="28" t="s">
        <v>810</v>
      </c>
    </row>
    <row r="782" spans="6:8" x14ac:dyDescent="0.25">
      <c r="F782" s="32">
        <v>3</v>
      </c>
      <c r="G782" s="32">
        <v>14</v>
      </c>
      <c r="H782" s="28" t="s">
        <v>62</v>
      </c>
    </row>
    <row r="783" spans="6:8" x14ac:dyDescent="0.25">
      <c r="F783" s="32">
        <v>3</v>
      </c>
      <c r="G783" s="32">
        <v>47</v>
      </c>
      <c r="H783" s="28" t="s">
        <v>811</v>
      </c>
    </row>
    <row r="784" spans="6:8" x14ac:dyDescent="0.25">
      <c r="F784" s="32">
        <v>3</v>
      </c>
      <c r="G784" s="32">
        <v>49</v>
      </c>
      <c r="H784" s="28" t="s">
        <v>812</v>
      </c>
    </row>
    <row r="785" spans="6:8" x14ac:dyDescent="0.25">
      <c r="F785" s="32">
        <v>3</v>
      </c>
      <c r="G785" s="32">
        <v>50</v>
      </c>
      <c r="H785" s="28" t="s">
        <v>813</v>
      </c>
    </row>
    <row r="786" spans="6:8" x14ac:dyDescent="0.25">
      <c r="F786" s="32">
        <v>3</v>
      </c>
      <c r="G786" s="32">
        <v>51</v>
      </c>
      <c r="H786" s="28" t="s">
        <v>814</v>
      </c>
    </row>
    <row r="787" spans="6:8" x14ac:dyDescent="0.25">
      <c r="F787" s="32">
        <v>3</v>
      </c>
      <c r="G787" s="32">
        <v>52</v>
      </c>
      <c r="H787" s="28" t="s">
        <v>815</v>
      </c>
    </row>
    <row r="788" spans="6:8" x14ac:dyDescent="0.25">
      <c r="F788" s="32">
        <v>3</v>
      </c>
      <c r="G788" s="32">
        <v>53</v>
      </c>
      <c r="H788" s="28" t="s">
        <v>816</v>
      </c>
    </row>
    <row r="789" spans="6:8" x14ac:dyDescent="0.25">
      <c r="F789" s="32">
        <v>3</v>
      </c>
      <c r="G789" s="32">
        <v>54</v>
      </c>
      <c r="H789" s="28" t="s">
        <v>817</v>
      </c>
    </row>
    <row r="790" spans="6:8" x14ac:dyDescent="0.25">
      <c r="F790" s="32">
        <v>3</v>
      </c>
      <c r="G790" s="32">
        <v>55</v>
      </c>
      <c r="H790" s="28" t="s">
        <v>818</v>
      </c>
    </row>
    <row r="791" spans="6:8" x14ac:dyDescent="0.25">
      <c r="F791" s="32">
        <v>3</v>
      </c>
      <c r="G791" s="32">
        <v>63</v>
      </c>
      <c r="H791" s="28" t="s">
        <v>819</v>
      </c>
    </row>
    <row r="792" spans="6:8" x14ac:dyDescent="0.25">
      <c r="F792" s="32">
        <v>3</v>
      </c>
      <c r="G792" s="32">
        <v>64</v>
      </c>
      <c r="H792" s="28" t="s">
        <v>820</v>
      </c>
    </row>
    <row r="793" spans="6:8" x14ac:dyDescent="0.25">
      <c r="F793" s="32">
        <v>3</v>
      </c>
      <c r="G793" s="32">
        <v>65</v>
      </c>
      <c r="H793" s="28" t="s">
        <v>821</v>
      </c>
    </row>
    <row r="794" spans="6:8" x14ac:dyDescent="0.25">
      <c r="F794" s="32">
        <v>3</v>
      </c>
      <c r="G794" s="32">
        <v>66</v>
      </c>
      <c r="H794" s="28" t="s">
        <v>822</v>
      </c>
    </row>
    <row r="795" spans="6:8" x14ac:dyDescent="0.25">
      <c r="F795" s="32">
        <v>3</v>
      </c>
      <c r="G795" s="32">
        <v>67</v>
      </c>
      <c r="H795" s="28" t="s">
        <v>823</v>
      </c>
    </row>
    <row r="796" spans="6:8" x14ac:dyDescent="0.25">
      <c r="F796" s="32">
        <v>3</v>
      </c>
      <c r="G796" s="32">
        <v>93</v>
      </c>
      <c r="H796" s="28" t="s">
        <v>824</v>
      </c>
    </row>
    <row r="797" spans="6:8" x14ac:dyDescent="0.25">
      <c r="F797" s="32">
        <v>3</v>
      </c>
      <c r="G797" s="32">
        <v>141</v>
      </c>
      <c r="H797" s="28" t="s">
        <v>122</v>
      </c>
    </row>
    <row r="798" spans="6:8" x14ac:dyDescent="0.25">
      <c r="F798" s="32">
        <v>3</v>
      </c>
      <c r="G798" s="32">
        <v>150</v>
      </c>
      <c r="H798" s="28" t="s">
        <v>126</v>
      </c>
    </row>
    <row r="799" spans="6:8" x14ac:dyDescent="0.25">
      <c r="F799" s="32">
        <v>3</v>
      </c>
      <c r="G799" s="32">
        <v>151</v>
      </c>
      <c r="H799" s="28" t="s">
        <v>127</v>
      </c>
    </row>
    <row r="800" spans="6:8" x14ac:dyDescent="0.25">
      <c r="F800" s="32">
        <v>3</v>
      </c>
      <c r="G800" s="32">
        <v>152</v>
      </c>
      <c r="H800" s="28" t="s">
        <v>128</v>
      </c>
    </row>
    <row r="801" spans="6:8" x14ac:dyDescent="0.25">
      <c r="F801" s="32">
        <v>3</v>
      </c>
      <c r="G801" s="32">
        <v>153</v>
      </c>
      <c r="H801" s="28" t="s">
        <v>129</v>
      </c>
    </row>
    <row r="802" spans="6:8" x14ac:dyDescent="0.25">
      <c r="F802" s="32">
        <v>3</v>
      </c>
      <c r="G802" s="32">
        <v>154</v>
      </c>
      <c r="H802" s="28" t="s">
        <v>130</v>
      </c>
    </row>
    <row r="803" spans="6:8" x14ac:dyDescent="0.25">
      <c r="F803" s="32">
        <v>3</v>
      </c>
      <c r="G803" s="32">
        <v>155</v>
      </c>
      <c r="H803" s="28" t="s">
        <v>131</v>
      </c>
    </row>
    <row r="804" spans="6:8" x14ac:dyDescent="0.25">
      <c r="F804" s="32">
        <v>3</v>
      </c>
      <c r="G804" s="32">
        <v>158</v>
      </c>
      <c r="H804" s="28" t="s">
        <v>825</v>
      </c>
    </row>
    <row r="805" spans="6:8" x14ac:dyDescent="0.25">
      <c r="F805" s="32">
        <v>3</v>
      </c>
      <c r="G805" s="32">
        <v>210</v>
      </c>
      <c r="H805" s="28" t="s">
        <v>826</v>
      </c>
    </row>
    <row r="806" spans="6:8" x14ac:dyDescent="0.25">
      <c r="F806" s="32">
        <v>3</v>
      </c>
      <c r="G806" s="32">
        <v>211</v>
      </c>
      <c r="H806" s="28" t="s">
        <v>827</v>
      </c>
    </row>
    <row r="807" spans="6:8" x14ac:dyDescent="0.25">
      <c r="F807" s="32">
        <v>3</v>
      </c>
      <c r="G807" s="32">
        <v>212</v>
      </c>
      <c r="H807" s="28" t="s">
        <v>828</v>
      </c>
    </row>
    <row r="808" spans="6:8" x14ac:dyDescent="0.25">
      <c r="F808" s="32">
        <v>3</v>
      </c>
      <c r="G808" s="32">
        <v>213</v>
      </c>
      <c r="H808" s="28" t="s">
        <v>829</v>
      </c>
    </row>
    <row r="809" spans="6:8" x14ac:dyDescent="0.25">
      <c r="F809" s="32">
        <v>3</v>
      </c>
      <c r="G809" s="32">
        <v>214</v>
      </c>
      <c r="H809" s="28" t="s">
        <v>830</v>
      </c>
    </row>
    <row r="810" spans="6:8" x14ac:dyDescent="0.25">
      <c r="F810" s="32">
        <v>3</v>
      </c>
      <c r="G810" s="32">
        <v>215</v>
      </c>
      <c r="H810" s="28" t="s">
        <v>831</v>
      </c>
    </row>
    <row r="811" spans="6:8" x14ac:dyDescent="0.25">
      <c r="F811" s="32">
        <v>3</v>
      </c>
      <c r="G811" s="32">
        <v>216</v>
      </c>
      <c r="H811" s="28" t="s">
        <v>832</v>
      </c>
    </row>
    <row r="812" spans="6:8" x14ac:dyDescent="0.25">
      <c r="F812" s="32">
        <v>3</v>
      </c>
      <c r="G812" s="32">
        <v>217</v>
      </c>
      <c r="H812" s="28" t="s">
        <v>833</v>
      </c>
    </row>
    <row r="813" spans="6:8" x14ac:dyDescent="0.25">
      <c r="F813" s="32">
        <v>3</v>
      </c>
      <c r="G813" s="32">
        <v>218</v>
      </c>
      <c r="H813" s="28" t="s">
        <v>834</v>
      </c>
    </row>
    <row r="814" spans="6:8" x14ac:dyDescent="0.25">
      <c r="F814" s="32">
        <v>3</v>
      </c>
      <c r="G814" s="32">
        <v>220</v>
      </c>
      <c r="H814" s="28" t="s">
        <v>835</v>
      </c>
    </row>
    <row r="815" spans="6:8" x14ac:dyDescent="0.25">
      <c r="F815" s="32">
        <v>3</v>
      </c>
      <c r="G815" s="32">
        <v>222</v>
      </c>
      <c r="H815" s="28" t="s">
        <v>836</v>
      </c>
    </row>
    <row r="816" spans="6:8" x14ac:dyDescent="0.25">
      <c r="F816" s="32">
        <v>3</v>
      </c>
      <c r="G816" s="32">
        <v>223</v>
      </c>
      <c r="H816" s="28" t="s">
        <v>837</v>
      </c>
    </row>
    <row r="817" spans="6:8" x14ac:dyDescent="0.25">
      <c r="F817" s="32">
        <v>3</v>
      </c>
      <c r="G817" s="32">
        <v>224</v>
      </c>
      <c r="H817" s="28" t="s">
        <v>838</v>
      </c>
    </row>
    <row r="818" spans="6:8" x14ac:dyDescent="0.25">
      <c r="F818" s="32">
        <v>3</v>
      </c>
      <c r="G818" s="32">
        <v>225</v>
      </c>
      <c r="H818" s="28" t="s">
        <v>839</v>
      </c>
    </row>
    <row r="819" spans="6:8" x14ac:dyDescent="0.25">
      <c r="F819" s="32">
        <v>3</v>
      </c>
      <c r="G819" s="32">
        <v>226</v>
      </c>
      <c r="H819" s="28" t="s">
        <v>840</v>
      </c>
    </row>
    <row r="820" spans="6:8" x14ac:dyDescent="0.25">
      <c r="F820" s="32">
        <v>3</v>
      </c>
      <c r="G820" s="32">
        <v>227</v>
      </c>
      <c r="H820" s="28" t="s">
        <v>841</v>
      </c>
    </row>
    <row r="821" spans="6:8" x14ac:dyDescent="0.25">
      <c r="F821" s="32">
        <v>3</v>
      </c>
      <c r="G821" s="32">
        <v>230</v>
      </c>
      <c r="H821" s="28" t="s">
        <v>842</v>
      </c>
    </row>
    <row r="822" spans="6:8" x14ac:dyDescent="0.25">
      <c r="F822" s="32">
        <v>3</v>
      </c>
      <c r="G822" s="32">
        <v>260</v>
      </c>
      <c r="H822" s="28" t="s">
        <v>843</v>
      </c>
    </row>
    <row r="823" spans="6:8" x14ac:dyDescent="0.25">
      <c r="F823" s="32">
        <v>3</v>
      </c>
      <c r="G823" s="32">
        <v>321</v>
      </c>
      <c r="H823" s="28" t="s">
        <v>844</v>
      </c>
    </row>
    <row r="824" spans="6:8" x14ac:dyDescent="0.25">
      <c r="F824" s="32">
        <v>3</v>
      </c>
      <c r="G824" s="32">
        <v>322</v>
      </c>
      <c r="H824" s="28" t="s">
        <v>845</v>
      </c>
    </row>
    <row r="825" spans="6:8" x14ac:dyDescent="0.25">
      <c r="F825" s="32">
        <v>3</v>
      </c>
      <c r="G825" s="32">
        <v>323</v>
      </c>
      <c r="H825" s="28" t="s">
        <v>846</v>
      </c>
    </row>
    <row r="826" spans="6:8" x14ac:dyDescent="0.25">
      <c r="F826" s="32">
        <v>3</v>
      </c>
      <c r="G826" s="32">
        <v>324</v>
      </c>
      <c r="H826" s="28" t="s">
        <v>847</v>
      </c>
    </row>
    <row r="827" spans="6:8" x14ac:dyDescent="0.25">
      <c r="F827" s="32">
        <v>3</v>
      </c>
      <c r="G827" s="32">
        <v>325</v>
      </c>
      <c r="H827" s="28" t="s">
        <v>848</v>
      </c>
    </row>
    <row r="828" spans="6:8" x14ac:dyDescent="0.25">
      <c r="F828" s="32">
        <v>3</v>
      </c>
      <c r="G828" s="32">
        <v>460</v>
      </c>
      <c r="H828" s="28" t="s">
        <v>173</v>
      </c>
    </row>
    <row r="829" spans="6:8" x14ac:dyDescent="0.25">
      <c r="F829" s="32">
        <v>3</v>
      </c>
      <c r="G829" s="32">
        <v>501</v>
      </c>
      <c r="H829" s="28" t="s">
        <v>849</v>
      </c>
    </row>
    <row r="830" spans="6:8" x14ac:dyDescent="0.25">
      <c r="F830" s="32">
        <v>3</v>
      </c>
      <c r="G830" s="32">
        <v>502</v>
      </c>
      <c r="H830" s="28" t="s">
        <v>850</v>
      </c>
    </row>
    <row r="831" spans="6:8" x14ac:dyDescent="0.25">
      <c r="F831" s="32">
        <v>3</v>
      </c>
      <c r="G831" s="32">
        <v>503</v>
      </c>
      <c r="H831" s="28" t="s">
        <v>851</v>
      </c>
    </row>
    <row r="832" spans="6:8" x14ac:dyDescent="0.25">
      <c r="F832" s="32">
        <v>3</v>
      </c>
      <c r="G832" s="32">
        <v>504</v>
      </c>
      <c r="H832" s="28" t="s">
        <v>852</v>
      </c>
    </row>
    <row r="833" spans="6:8" x14ac:dyDescent="0.25">
      <c r="F833" s="32">
        <v>3</v>
      </c>
      <c r="G833" s="32">
        <v>505</v>
      </c>
      <c r="H833" s="28" t="s">
        <v>853</v>
      </c>
    </row>
    <row r="834" spans="6:8" x14ac:dyDescent="0.25">
      <c r="F834" s="32">
        <v>3</v>
      </c>
      <c r="G834" s="32">
        <v>506</v>
      </c>
      <c r="H834" s="28" t="s">
        <v>854</v>
      </c>
    </row>
    <row r="835" spans="6:8" x14ac:dyDescent="0.25">
      <c r="F835" s="32">
        <v>3</v>
      </c>
      <c r="G835" s="32">
        <v>507</v>
      </c>
      <c r="H835" s="28" t="s">
        <v>855</v>
      </c>
    </row>
    <row r="836" spans="6:8" x14ac:dyDescent="0.25">
      <c r="F836" s="32">
        <v>3</v>
      </c>
      <c r="G836" s="32">
        <v>508</v>
      </c>
      <c r="H836" s="28" t="s">
        <v>856</v>
      </c>
    </row>
    <row r="837" spans="6:8" x14ac:dyDescent="0.25">
      <c r="F837" s="32">
        <v>3</v>
      </c>
      <c r="G837" s="32">
        <v>509</v>
      </c>
      <c r="H837" s="28" t="s">
        <v>857</v>
      </c>
    </row>
    <row r="838" spans="6:8" x14ac:dyDescent="0.25">
      <c r="F838" s="32">
        <v>3</v>
      </c>
      <c r="G838" s="32">
        <v>510</v>
      </c>
      <c r="H838" s="28" t="s">
        <v>858</v>
      </c>
    </row>
    <row r="839" spans="6:8" x14ac:dyDescent="0.25">
      <c r="F839" s="32">
        <v>3</v>
      </c>
      <c r="G839" s="32">
        <v>511</v>
      </c>
      <c r="H839" s="28" t="s">
        <v>859</v>
      </c>
    </row>
    <row r="840" spans="6:8" x14ac:dyDescent="0.25">
      <c r="F840" s="32">
        <v>3</v>
      </c>
      <c r="G840" s="32">
        <v>512</v>
      </c>
      <c r="H840" s="28" t="s">
        <v>860</v>
      </c>
    </row>
    <row r="841" spans="6:8" x14ac:dyDescent="0.25">
      <c r="F841" s="32">
        <v>3</v>
      </c>
      <c r="G841" s="32">
        <v>513</v>
      </c>
      <c r="H841" s="28" t="s">
        <v>861</v>
      </c>
    </row>
    <row r="842" spans="6:8" x14ac:dyDescent="0.25">
      <c r="F842" s="32">
        <v>3</v>
      </c>
      <c r="G842" s="32">
        <v>514</v>
      </c>
      <c r="H842" s="28" t="s">
        <v>862</v>
      </c>
    </row>
    <row r="843" spans="6:8" x14ac:dyDescent="0.25">
      <c r="F843" s="32">
        <v>3</v>
      </c>
      <c r="G843" s="32">
        <v>515</v>
      </c>
      <c r="H843" s="28" t="s">
        <v>863</v>
      </c>
    </row>
    <row r="844" spans="6:8" x14ac:dyDescent="0.25">
      <c r="F844" s="32">
        <v>3</v>
      </c>
      <c r="G844" s="32">
        <v>516</v>
      </c>
      <c r="H844" s="28" t="s">
        <v>864</v>
      </c>
    </row>
    <row r="845" spans="6:8" x14ac:dyDescent="0.25">
      <c r="F845" s="32">
        <v>3</v>
      </c>
      <c r="G845" s="32">
        <v>517</v>
      </c>
      <c r="H845" s="28" t="s">
        <v>865</v>
      </c>
    </row>
    <row r="846" spans="6:8" x14ac:dyDescent="0.25">
      <c r="F846" s="32">
        <v>3</v>
      </c>
      <c r="G846" s="32">
        <v>518</v>
      </c>
      <c r="H846" s="28" t="s">
        <v>866</v>
      </c>
    </row>
    <row r="847" spans="6:8" x14ac:dyDescent="0.25">
      <c r="F847" s="32">
        <v>3</v>
      </c>
      <c r="G847" s="32">
        <v>520</v>
      </c>
      <c r="H847" s="28" t="s">
        <v>867</v>
      </c>
    </row>
    <row r="848" spans="6:8" x14ac:dyDescent="0.25">
      <c r="F848" s="32">
        <v>3</v>
      </c>
      <c r="G848" s="32">
        <v>523</v>
      </c>
      <c r="H848" s="28" t="s">
        <v>868</v>
      </c>
    </row>
    <row r="849" spans="6:8" x14ac:dyDescent="0.25">
      <c r="F849" s="32">
        <v>3</v>
      </c>
      <c r="G849" s="32">
        <v>524</v>
      </c>
      <c r="H849" s="28" t="s">
        <v>869</v>
      </c>
    </row>
    <row r="850" spans="6:8" x14ac:dyDescent="0.25">
      <c r="F850" s="32">
        <v>3</v>
      </c>
      <c r="G850" s="32">
        <v>527</v>
      </c>
      <c r="H850" s="28" t="s">
        <v>870</v>
      </c>
    </row>
    <row r="851" spans="6:8" x14ac:dyDescent="0.25">
      <c r="F851" s="32">
        <v>3</v>
      </c>
      <c r="G851" s="32">
        <v>528</v>
      </c>
      <c r="H851" s="28" t="s">
        <v>871</v>
      </c>
    </row>
    <row r="852" spans="6:8" x14ac:dyDescent="0.25">
      <c r="F852" s="32">
        <v>3</v>
      </c>
      <c r="G852" s="32">
        <v>529</v>
      </c>
      <c r="H852" s="28" t="s">
        <v>872</v>
      </c>
    </row>
    <row r="853" spans="6:8" x14ac:dyDescent="0.25">
      <c r="F853" s="32">
        <v>3</v>
      </c>
      <c r="G853" s="32">
        <v>530</v>
      </c>
      <c r="H853" s="28" t="s">
        <v>873</v>
      </c>
    </row>
    <row r="854" spans="6:8" x14ac:dyDescent="0.25">
      <c r="F854" s="32">
        <v>3</v>
      </c>
      <c r="G854" s="32">
        <v>531</v>
      </c>
      <c r="H854" s="28" t="s">
        <v>874</v>
      </c>
    </row>
    <row r="855" spans="6:8" x14ac:dyDescent="0.25">
      <c r="F855" s="32">
        <v>3</v>
      </c>
      <c r="G855" s="32">
        <v>532</v>
      </c>
      <c r="H855" s="28" t="s">
        <v>875</v>
      </c>
    </row>
    <row r="856" spans="6:8" x14ac:dyDescent="0.25">
      <c r="F856" s="32">
        <v>3</v>
      </c>
      <c r="G856" s="32">
        <v>533</v>
      </c>
      <c r="H856" s="28" t="s">
        <v>876</v>
      </c>
    </row>
    <row r="857" spans="6:8" x14ac:dyDescent="0.25">
      <c r="F857" s="32">
        <v>3</v>
      </c>
      <c r="G857" s="32">
        <v>534</v>
      </c>
      <c r="H857" s="28" t="s">
        <v>877</v>
      </c>
    </row>
    <row r="858" spans="6:8" x14ac:dyDescent="0.25">
      <c r="F858" s="32">
        <v>3</v>
      </c>
      <c r="G858" s="32">
        <v>535</v>
      </c>
      <c r="H858" s="28" t="s">
        <v>878</v>
      </c>
    </row>
    <row r="859" spans="6:8" x14ac:dyDescent="0.25">
      <c r="F859" s="32">
        <v>3</v>
      </c>
      <c r="G859" s="32">
        <v>536</v>
      </c>
      <c r="H859" s="28" t="s">
        <v>879</v>
      </c>
    </row>
    <row r="860" spans="6:8" x14ac:dyDescent="0.25">
      <c r="F860" s="32">
        <v>3</v>
      </c>
      <c r="G860" s="32">
        <v>537</v>
      </c>
      <c r="H860" s="28" t="s">
        <v>880</v>
      </c>
    </row>
    <row r="861" spans="6:8" x14ac:dyDescent="0.25">
      <c r="F861" s="32">
        <v>3</v>
      </c>
      <c r="G861" s="32">
        <v>538</v>
      </c>
      <c r="H861" s="28" t="s">
        <v>881</v>
      </c>
    </row>
    <row r="862" spans="6:8" x14ac:dyDescent="0.25">
      <c r="F862" s="32">
        <v>3</v>
      </c>
      <c r="G862" s="32">
        <v>539</v>
      </c>
      <c r="H862" s="28" t="s">
        <v>882</v>
      </c>
    </row>
    <row r="863" spans="6:8" x14ac:dyDescent="0.25">
      <c r="F863" s="32">
        <v>3</v>
      </c>
      <c r="G863" s="32">
        <v>540</v>
      </c>
      <c r="H863" s="28" t="s">
        <v>883</v>
      </c>
    </row>
    <row r="864" spans="6:8" x14ac:dyDescent="0.25">
      <c r="F864" s="32">
        <v>3</v>
      </c>
      <c r="G864" s="32">
        <v>541</v>
      </c>
      <c r="H864" s="28" t="s">
        <v>884</v>
      </c>
    </row>
    <row r="865" spans="6:8" x14ac:dyDescent="0.25">
      <c r="F865" s="32">
        <v>3</v>
      </c>
      <c r="G865" s="32">
        <v>543</v>
      </c>
      <c r="H865" s="28" t="s">
        <v>885</v>
      </c>
    </row>
    <row r="866" spans="6:8" x14ac:dyDescent="0.25">
      <c r="F866" s="32">
        <v>3</v>
      </c>
      <c r="G866" s="32">
        <v>544</v>
      </c>
      <c r="H866" s="28" t="s">
        <v>886</v>
      </c>
    </row>
    <row r="867" spans="6:8" x14ac:dyDescent="0.25">
      <c r="F867" s="32">
        <v>3</v>
      </c>
      <c r="G867" s="32">
        <v>545</v>
      </c>
      <c r="H867" s="28" t="s">
        <v>887</v>
      </c>
    </row>
    <row r="868" spans="6:8" x14ac:dyDescent="0.25">
      <c r="F868" s="32">
        <v>3</v>
      </c>
      <c r="G868" s="32">
        <v>546</v>
      </c>
      <c r="H868" s="28" t="s">
        <v>888</v>
      </c>
    </row>
    <row r="869" spans="6:8" x14ac:dyDescent="0.25">
      <c r="F869" s="32">
        <v>3</v>
      </c>
      <c r="G869" s="32">
        <v>547</v>
      </c>
      <c r="H869" s="28" t="s">
        <v>889</v>
      </c>
    </row>
    <row r="870" spans="6:8" x14ac:dyDescent="0.25">
      <c r="F870" s="32">
        <v>3</v>
      </c>
      <c r="G870" s="32">
        <v>548</v>
      </c>
      <c r="H870" s="28" t="s">
        <v>890</v>
      </c>
    </row>
    <row r="871" spans="6:8" x14ac:dyDescent="0.25">
      <c r="F871" s="32">
        <v>3</v>
      </c>
      <c r="G871" s="32">
        <v>549</v>
      </c>
      <c r="H871" s="28" t="s">
        <v>891</v>
      </c>
    </row>
    <row r="872" spans="6:8" x14ac:dyDescent="0.25">
      <c r="F872" s="32">
        <v>3</v>
      </c>
      <c r="G872" s="32">
        <v>550</v>
      </c>
      <c r="H872" s="28" t="s">
        <v>892</v>
      </c>
    </row>
    <row r="873" spans="6:8" x14ac:dyDescent="0.25">
      <c r="F873" s="32">
        <v>3</v>
      </c>
      <c r="G873" s="32">
        <v>551</v>
      </c>
      <c r="H873" s="28" t="s">
        <v>893</v>
      </c>
    </row>
    <row r="874" spans="6:8" x14ac:dyDescent="0.25">
      <c r="F874" s="32">
        <v>3</v>
      </c>
      <c r="G874" s="32">
        <v>552</v>
      </c>
      <c r="H874" s="28" t="s">
        <v>894</v>
      </c>
    </row>
    <row r="875" spans="6:8" x14ac:dyDescent="0.25">
      <c r="F875" s="32">
        <v>3</v>
      </c>
      <c r="G875" s="32">
        <v>553</v>
      </c>
      <c r="H875" s="28" t="s">
        <v>895</v>
      </c>
    </row>
    <row r="876" spans="6:8" x14ac:dyDescent="0.25">
      <c r="F876" s="32">
        <v>3</v>
      </c>
      <c r="G876" s="32">
        <v>554</v>
      </c>
      <c r="H876" s="28" t="s">
        <v>896</v>
      </c>
    </row>
    <row r="877" spans="6:8" x14ac:dyDescent="0.25">
      <c r="F877" s="32">
        <v>3</v>
      </c>
      <c r="G877" s="32">
        <v>555</v>
      </c>
      <c r="H877" s="28" t="s">
        <v>897</v>
      </c>
    </row>
    <row r="878" spans="6:8" x14ac:dyDescent="0.25">
      <c r="F878" s="32">
        <v>3</v>
      </c>
      <c r="G878" s="32">
        <v>556</v>
      </c>
      <c r="H878" s="28" t="s">
        <v>898</v>
      </c>
    </row>
    <row r="879" spans="6:8" x14ac:dyDescent="0.25">
      <c r="F879" s="32">
        <v>3</v>
      </c>
      <c r="G879" s="32">
        <v>557</v>
      </c>
      <c r="H879" s="28" t="s">
        <v>899</v>
      </c>
    </row>
    <row r="880" spans="6:8" x14ac:dyDescent="0.25">
      <c r="F880" s="32">
        <v>3</v>
      </c>
      <c r="G880" s="32">
        <v>558</v>
      </c>
      <c r="H880" s="28" t="s">
        <v>900</v>
      </c>
    </row>
    <row r="881" spans="6:8" x14ac:dyDescent="0.25">
      <c r="F881" s="32">
        <v>3</v>
      </c>
      <c r="G881" s="32">
        <v>559</v>
      </c>
      <c r="H881" s="28" t="s">
        <v>901</v>
      </c>
    </row>
    <row r="882" spans="6:8" x14ac:dyDescent="0.25">
      <c r="F882" s="32">
        <v>3</v>
      </c>
      <c r="G882" s="32">
        <v>560</v>
      </c>
      <c r="H882" s="28" t="s">
        <v>902</v>
      </c>
    </row>
    <row r="883" spans="6:8" x14ac:dyDescent="0.25">
      <c r="F883" s="32">
        <v>3</v>
      </c>
      <c r="G883" s="32">
        <v>561</v>
      </c>
      <c r="H883" s="28" t="s">
        <v>903</v>
      </c>
    </row>
    <row r="884" spans="6:8" x14ac:dyDescent="0.25">
      <c r="F884" s="32">
        <v>3</v>
      </c>
      <c r="G884" s="32">
        <v>563</v>
      </c>
      <c r="H884" s="28" t="s">
        <v>904</v>
      </c>
    </row>
    <row r="885" spans="6:8" x14ac:dyDescent="0.25">
      <c r="F885" s="32">
        <v>3</v>
      </c>
      <c r="G885" s="32">
        <v>565</v>
      </c>
      <c r="H885" s="28" t="s">
        <v>905</v>
      </c>
    </row>
    <row r="886" spans="6:8" x14ac:dyDescent="0.25">
      <c r="F886" s="32">
        <v>3</v>
      </c>
      <c r="G886" s="32">
        <v>566</v>
      </c>
      <c r="H886" s="28" t="s">
        <v>906</v>
      </c>
    </row>
    <row r="887" spans="6:8" x14ac:dyDescent="0.25">
      <c r="F887" s="32">
        <v>3</v>
      </c>
      <c r="G887" s="32">
        <v>567</v>
      </c>
      <c r="H887" s="28" t="s">
        <v>907</v>
      </c>
    </row>
    <row r="888" spans="6:8" x14ac:dyDescent="0.25">
      <c r="F888" s="32">
        <v>3</v>
      </c>
      <c r="G888" s="32">
        <v>568</v>
      </c>
      <c r="H888" s="28" t="s">
        <v>908</v>
      </c>
    </row>
    <row r="889" spans="6:8" x14ac:dyDescent="0.25">
      <c r="F889" s="32">
        <v>3</v>
      </c>
      <c r="G889" s="32">
        <v>569</v>
      </c>
      <c r="H889" s="28" t="s">
        <v>909</v>
      </c>
    </row>
    <row r="890" spans="6:8" x14ac:dyDescent="0.25">
      <c r="F890" s="32">
        <v>3</v>
      </c>
      <c r="G890" s="32">
        <v>570</v>
      </c>
      <c r="H890" s="28" t="s">
        <v>910</v>
      </c>
    </row>
    <row r="891" spans="6:8" x14ac:dyDescent="0.25">
      <c r="F891" s="32">
        <v>3</v>
      </c>
      <c r="G891" s="32">
        <v>571</v>
      </c>
      <c r="H891" s="28" t="s">
        <v>911</v>
      </c>
    </row>
    <row r="892" spans="6:8" x14ac:dyDescent="0.25">
      <c r="F892" s="32">
        <v>3</v>
      </c>
      <c r="G892" s="32">
        <v>572</v>
      </c>
      <c r="H892" s="28" t="s">
        <v>912</v>
      </c>
    </row>
    <row r="893" spans="6:8" x14ac:dyDescent="0.25">
      <c r="F893" s="32">
        <v>3</v>
      </c>
      <c r="G893" s="32">
        <v>573</v>
      </c>
      <c r="H893" s="28" t="s">
        <v>913</v>
      </c>
    </row>
    <row r="894" spans="6:8" x14ac:dyDescent="0.25">
      <c r="F894" s="32">
        <v>3</v>
      </c>
      <c r="G894" s="32">
        <v>575</v>
      </c>
      <c r="H894" s="28" t="s">
        <v>914</v>
      </c>
    </row>
    <row r="895" spans="6:8" x14ac:dyDescent="0.25">
      <c r="F895" s="32">
        <v>3</v>
      </c>
      <c r="G895" s="32">
        <v>576</v>
      </c>
      <c r="H895" s="28" t="s">
        <v>915</v>
      </c>
    </row>
    <row r="896" spans="6:8" x14ac:dyDescent="0.25">
      <c r="F896" s="32">
        <v>3</v>
      </c>
      <c r="G896" s="32">
        <v>580</v>
      </c>
      <c r="H896" s="28" t="s">
        <v>916</v>
      </c>
    </row>
    <row r="897" spans="6:8" x14ac:dyDescent="0.25">
      <c r="F897" s="32">
        <v>3</v>
      </c>
      <c r="G897" s="32">
        <v>581</v>
      </c>
      <c r="H897" s="28" t="s">
        <v>917</v>
      </c>
    </row>
    <row r="898" spans="6:8" x14ac:dyDescent="0.25">
      <c r="F898" s="32">
        <v>3</v>
      </c>
      <c r="G898" s="32">
        <v>583</v>
      </c>
      <c r="H898" s="28" t="s">
        <v>918</v>
      </c>
    </row>
    <row r="899" spans="6:8" x14ac:dyDescent="0.25">
      <c r="F899" s="32">
        <v>3</v>
      </c>
      <c r="G899" s="32">
        <v>584</v>
      </c>
      <c r="H899" s="28" t="s">
        <v>919</v>
      </c>
    </row>
    <row r="900" spans="6:8" x14ac:dyDescent="0.25">
      <c r="F900" s="32">
        <v>3</v>
      </c>
      <c r="G900" s="32">
        <v>585</v>
      </c>
      <c r="H900" s="28" t="s">
        <v>920</v>
      </c>
    </row>
    <row r="901" spans="6:8" x14ac:dyDescent="0.25">
      <c r="F901" s="32">
        <v>3</v>
      </c>
      <c r="G901" s="32">
        <v>586</v>
      </c>
      <c r="H901" s="28" t="s">
        <v>921</v>
      </c>
    </row>
    <row r="902" spans="6:8" x14ac:dyDescent="0.25">
      <c r="F902" s="32">
        <v>3</v>
      </c>
      <c r="G902" s="32">
        <v>588</v>
      </c>
      <c r="H902" s="28" t="s">
        <v>922</v>
      </c>
    </row>
    <row r="903" spans="6:8" x14ac:dyDescent="0.25">
      <c r="F903" s="32">
        <v>3</v>
      </c>
      <c r="G903" s="32">
        <v>590</v>
      </c>
      <c r="H903" s="28" t="s">
        <v>923</v>
      </c>
    </row>
    <row r="904" spans="6:8" x14ac:dyDescent="0.25">
      <c r="F904" s="32">
        <v>3</v>
      </c>
      <c r="G904" s="32">
        <v>599</v>
      </c>
      <c r="H904" s="28" t="s">
        <v>924</v>
      </c>
    </row>
    <row r="905" spans="6:8" x14ac:dyDescent="0.25">
      <c r="F905" s="32">
        <v>3</v>
      </c>
      <c r="G905" s="32">
        <v>600</v>
      </c>
      <c r="H905" s="28" t="s">
        <v>925</v>
      </c>
    </row>
    <row r="906" spans="6:8" x14ac:dyDescent="0.25">
      <c r="F906" s="32">
        <v>3</v>
      </c>
      <c r="G906" s="32">
        <v>601</v>
      </c>
      <c r="H906" s="28" t="s">
        <v>926</v>
      </c>
    </row>
    <row r="907" spans="6:8" x14ac:dyDescent="0.25">
      <c r="F907" s="32">
        <v>3</v>
      </c>
      <c r="G907" s="32">
        <v>602</v>
      </c>
      <c r="H907" s="28" t="s">
        <v>927</v>
      </c>
    </row>
    <row r="908" spans="6:8" x14ac:dyDescent="0.25">
      <c r="F908" s="32">
        <v>3</v>
      </c>
      <c r="G908" s="32">
        <v>603</v>
      </c>
      <c r="H908" s="28" t="s">
        <v>928</v>
      </c>
    </row>
    <row r="909" spans="6:8" x14ac:dyDescent="0.25">
      <c r="F909" s="32">
        <v>3</v>
      </c>
      <c r="G909" s="32">
        <v>604</v>
      </c>
      <c r="H909" s="28" t="s">
        <v>929</v>
      </c>
    </row>
    <row r="910" spans="6:8" x14ac:dyDescent="0.25">
      <c r="F910" s="32">
        <v>3</v>
      </c>
      <c r="G910" s="32">
        <v>610</v>
      </c>
      <c r="H910" s="28" t="s">
        <v>930</v>
      </c>
    </row>
    <row r="911" spans="6:8" x14ac:dyDescent="0.25">
      <c r="F911" s="32">
        <v>3</v>
      </c>
      <c r="G911" s="32">
        <v>611</v>
      </c>
      <c r="H911" s="28" t="s">
        <v>931</v>
      </c>
    </row>
    <row r="912" spans="6:8" x14ac:dyDescent="0.25">
      <c r="F912" s="32">
        <v>3</v>
      </c>
      <c r="G912" s="32">
        <v>615</v>
      </c>
      <c r="H912" s="28" t="s">
        <v>932</v>
      </c>
    </row>
    <row r="913" spans="6:8" x14ac:dyDescent="0.25">
      <c r="F913" s="32">
        <v>3</v>
      </c>
      <c r="G913" s="32">
        <v>620</v>
      </c>
      <c r="H913" s="28" t="s">
        <v>933</v>
      </c>
    </row>
    <row r="914" spans="6:8" x14ac:dyDescent="0.25">
      <c r="F914" s="32">
        <v>3</v>
      </c>
      <c r="G914" s="32">
        <v>621</v>
      </c>
      <c r="H914" s="28" t="s">
        <v>934</v>
      </c>
    </row>
    <row r="915" spans="6:8" x14ac:dyDescent="0.25">
      <c r="F915" s="32">
        <v>3</v>
      </c>
      <c r="G915" s="32">
        <v>622</v>
      </c>
      <c r="H915" s="28" t="s">
        <v>935</v>
      </c>
    </row>
    <row r="916" spans="6:8" x14ac:dyDescent="0.25">
      <c r="F916" s="32">
        <v>3</v>
      </c>
      <c r="G916" s="32">
        <v>623</v>
      </c>
      <c r="H916" s="28" t="s">
        <v>936</v>
      </c>
    </row>
    <row r="917" spans="6:8" x14ac:dyDescent="0.25">
      <c r="F917" s="32">
        <v>3</v>
      </c>
      <c r="G917" s="32">
        <v>624</v>
      </c>
      <c r="H917" s="28" t="s">
        <v>937</v>
      </c>
    </row>
    <row r="918" spans="6:8" x14ac:dyDescent="0.25">
      <c r="F918" s="32">
        <v>3</v>
      </c>
      <c r="G918" s="32">
        <v>625</v>
      </c>
      <c r="H918" s="28" t="s">
        <v>938</v>
      </c>
    </row>
    <row r="919" spans="6:8" x14ac:dyDescent="0.25">
      <c r="F919" s="32">
        <v>3</v>
      </c>
      <c r="G919" s="32">
        <v>626</v>
      </c>
      <c r="H919" s="28" t="s">
        <v>939</v>
      </c>
    </row>
    <row r="920" spans="6:8" x14ac:dyDescent="0.25">
      <c r="F920" s="32">
        <v>3</v>
      </c>
      <c r="G920" s="32">
        <v>627</v>
      </c>
      <c r="H920" s="28" t="s">
        <v>940</v>
      </c>
    </row>
    <row r="921" spans="6:8" x14ac:dyDescent="0.25">
      <c r="F921" s="32">
        <v>3</v>
      </c>
      <c r="G921" s="32">
        <v>628</v>
      </c>
      <c r="H921" s="28" t="s">
        <v>941</v>
      </c>
    </row>
    <row r="922" spans="6:8" x14ac:dyDescent="0.25">
      <c r="F922" s="32">
        <v>3</v>
      </c>
      <c r="G922" s="32">
        <v>629</v>
      </c>
      <c r="H922" s="28" t="s">
        <v>942</v>
      </c>
    </row>
    <row r="923" spans="6:8" x14ac:dyDescent="0.25">
      <c r="F923" s="32">
        <v>3</v>
      </c>
      <c r="G923" s="32">
        <v>630</v>
      </c>
      <c r="H923" s="28" t="s">
        <v>943</v>
      </c>
    </row>
    <row r="924" spans="6:8" x14ac:dyDescent="0.25">
      <c r="F924" s="32">
        <v>3</v>
      </c>
      <c r="G924" s="32">
        <v>631</v>
      </c>
      <c r="H924" s="28" t="s">
        <v>944</v>
      </c>
    </row>
    <row r="925" spans="6:8" x14ac:dyDescent="0.25">
      <c r="F925" s="32">
        <v>3</v>
      </c>
      <c r="G925" s="32">
        <v>632</v>
      </c>
      <c r="H925" s="28" t="s">
        <v>945</v>
      </c>
    </row>
    <row r="926" spans="6:8" x14ac:dyDescent="0.25">
      <c r="F926" s="32">
        <v>3</v>
      </c>
      <c r="G926" s="32">
        <v>633</v>
      </c>
      <c r="H926" s="28" t="s">
        <v>946</v>
      </c>
    </row>
    <row r="927" spans="6:8" x14ac:dyDescent="0.25">
      <c r="F927" s="32">
        <v>3</v>
      </c>
      <c r="G927" s="32">
        <v>634</v>
      </c>
      <c r="H927" s="28" t="s">
        <v>947</v>
      </c>
    </row>
    <row r="928" spans="6:8" x14ac:dyDescent="0.25">
      <c r="F928" s="32">
        <v>3</v>
      </c>
      <c r="G928" s="32">
        <v>650</v>
      </c>
      <c r="H928" s="28" t="s">
        <v>948</v>
      </c>
    </row>
    <row r="929" spans="6:8" x14ac:dyDescent="0.25">
      <c r="F929" s="32">
        <v>3</v>
      </c>
      <c r="G929" s="32">
        <v>651</v>
      </c>
      <c r="H929" s="28" t="s">
        <v>949</v>
      </c>
    </row>
    <row r="930" spans="6:8" x14ac:dyDescent="0.25">
      <c r="F930" s="32">
        <v>3</v>
      </c>
      <c r="G930" s="32">
        <v>652</v>
      </c>
      <c r="H930" s="28" t="s">
        <v>950</v>
      </c>
    </row>
    <row r="931" spans="6:8" x14ac:dyDescent="0.25">
      <c r="F931" s="32">
        <v>3</v>
      </c>
      <c r="G931" s="32">
        <v>660</v>
      </c>
      <c r="H931" s="28" t="s">
        <v>951</v>
      </c>
    </row>
    <row r="932" spans="6:8" x14ac:dyDescent="0.25">
      <c r="F932" s="32">
        <v>3</v>
      </c>
      <c r="G932" s="32">
        <v>666</v>
      </c>
      <c r="H932" s="28" t="s">
        <v>952</v>
      </c>
    </row>
    <row r="933" spans="6:8" x14ac:dyDescent="0.25">
      <c r="F933" s="32">
        <v>3</v>
      </c>
      <c r="G933" s="32">
        <v>680</v>
      </c>
      <c r="H933" s="28" t="s">
        <v>953</v>
      </c>
    </row>
    <row r="934" spans="6:8" x14ac:dyDescent="0.25">
      <c r="F934" s="32">
        <v>3</v>
      </c>
      <c r="G934" s="32">
        <v>681</v>
      </c>
      <c r="H934" s="28" t="s">
        <v>954</v>
      </c>
    </row>
    <row r="935" spans="6:8" x14ac:dyDescent="0.25">
      <c r="F935" s="32">
        <v>3</v>
      </c>
      <c r="G935" s="32">
        <v>1100</v>
      </c>
      <c r="H935" s="28" t="s">
        <v>955</v>
      </c>
    </row>
    <row r="936" spans="6:8" x14ac:dyDescent="0.25">
      <c r="F936" s="32">
        <v>3</v>
      </c>
      <c r="G936" s="32">
        <v>1101</v>
      </c>
      <c r="H936" s="28" t="s">
        <v>956</v>
      </c>
    </row>
    <row r="937" spans="6:8" x14ac:dyDescent="0.25">
      <c r="F937" s="32">
        <v>3</v>
      </c>
      <c r="G937" s="32">
        <v>1102</v>
      </c>
      <c r="H937" s="28" t="s">
        <v>957</v>
      </c>
    </row>
    <row r="938" spans="6:8" x14ac:dyDescent="0.25">
      <c r="F938" s="32">
        <v>3</v>
      </c>
      <c r="G938" s="32">
        <v>1103</v>
      </c>
      <c r="H938" s="28" t="s">
        <v>958</v>
      </c>
    </row>
    <row r="939" spans="6:8" x14ac:dyDescent="0.25">
      <c r="F939" s="32">
        <v>3</v>
      </c>
      <c r="G939" s="32">
        <v>1106</v>
      </c>
      <c r="H939" s="28" t="s">
        <v>959</v>
      </c>
    </row>
    <row r="940" spans="6:8" x14ac:dyDescent="0.25">
      <c r="F940" s="32">
        <v>3</v>
      </c>
      <c r="G940" s="32">
        <v>1108</v>
      </c>
      <c r="H940" s="28" t="s">
        <v>960</v>
      </c>
    </row>
    <row r="941" spans="6:8" x14ac:dyDescent="0.25">
      <c r="F941" s="32">
        <v>3</v>
      </c>
      <c r="G941" s="32">
        <v>1109</v>
      </c>
      <c r="H941" s="28" t="s">
        <v>961</v>
      </c>
    </row>
    <row r="942" spans="6:8" x14ac:dyDescent="0.25">
      <c r="F942" s="32">
        <v>3</v>
      </c>
      <c r="G942" s="32">
        <v>1110</v>
      </c>
      <c r="H942" s="28" t="s">
        <v>962</v>
      </c>
    </row>
    <row r="943" spans="6:8" x14ac:dyDescent="0.25">
      <c r="F943" s="32">
        <v>3</v>
      </c>
      <c r="G943" s="32">
        <v>1111</v>
      </c>
      <c r="H943" s="28" t="s">
        <v>963</v>
      </c>
    </row>
    <row r="944" spans="6:8" x14ac:dyDescent="0.25">
      <c r="F944" s="32">
        <v>3</v>
      </c>
      <c r="G944" s="32">
        <v>1112</v>
      </c>
      <c r="H944" s="28" t="s">
        <v>964</v>
      </c>
    </row>
    <row r="945" spans="6:8" x14ac:dyDescent="0.25">
      <c r="F945" s="32">
        <v>3</v>
      </c>
      <c r="G945" s="32">
        <v>1113</v>
      </c>
      <c r="H945" s="28" t="s">
        <v>965</v>
      </c>
    </row>
    <row r="946" spans="6:8" x14ac:dyDescent="0.25">
      <c r="F946" s="32">
        <v>3</v>
      </c>
      <c r="G946" s="32">
        <v>1114</v>
      </c>
      <c r="H946" s="28" t="s">
        <v>966</v>
      </c>
    </row>
    <row r="947" spans="6:8" x14ac:dyDescent="0.25">
      <c r="F947" s="32">
        <v>3</v>
      </c>
      <c r="G947" s="32">
        <v>1115</v>
      </c>
      <c r="H947" s="28" t="s">
        <v>967</v>
      </c>
    </row>
    <row r="948" spans="6:8" x14ac:dyDescent="0.25">
      <c r="F948" s="32">
        <v>3</v>
      </c>
      <c r="G948" s="32">
        <v>1116</v>
      </c>
      <c r="H948" s="28" t="s">
        <v>968</v>
      </c>
    </row>
    <row r="949" spans="6:8" x14ac:dyDescent="0.25">
      <c r="F949" s="32">
        <v>3</v>
      </c>
      <c r="G949" s="32">
        <v>1117</v>
      </c>
      <c r="H949" s="28" t="s">
        <v>969</v>
      </c>
    </row>
    <row r="950" spans="6:8" x14ac:dyDescent="0.25">
      <c r="F950" s="32">
        <v>3</v>
      </c>
      <c r="G950" s="32">
        <v>1118</v>
      </c>
      <c r="H950" s="28" t="s">
        <v>970</v>
      </c>
    </row>
    <row r="951" spans="6:8" x14ac:dyDescent="0.25">
      <c r="F951" s="32">
        <v>3</v>
      </c>
      <c r="G951" s="32">
        <v>1119</v>
      </c>
      <c r="H951" s="28" t="s">
        <v>971</v>
      </c>
    </row>
    <row r="952" spans="6:8" x14ac:dyDescent="0.25">
      <c r="F952" s="32">
        <v>3</v>
      </c>
      <c r="G952" s="32">
        <v>1120</v>
      </c>
      <c r="H952" s="28" t="s">
        <v>972</v>
      </c>
    </row>
    <row r="953" spans="6:8" x14ac:dyDescent="0.25">
      <c r="F953" s="32">
        <v>3</v>
      </c>
      <c r="G953" s="32">
        <v>1121</v>
      </c>
      <c r="H953" s="28" t="s">
        <v>973</v>
      </c>
    </row>
    <row r="954" spans="6:8" x14ac:dyDescent="0.25">
      <c r="F954" s="32">
        <v>3</v>
      </c>
      <c r="G954" s="32">
        <v>1122</v>
      </c>
      <c r="H954" s="28" t="s">
        <v>974</v>
      </c>
    </row>
    <row r="955" spans="6:8" x14ac:dyDescent="0.25">
      <c r="F955" s="32">
        <v>3</v>
      </c>
      <c r="G955" s="32">
        <v>1123</v>
      </c>
      <c r="H955" s="28" t="s">
        <v>975</v>
      </c>
    </row>
    <row r="956" spans="6:8" x14ac:dyDescent="0.25">
      <c r="F956" s="32">
        <v>3</v>
      </c>
      <c r="G956" s="32">
        <v>1124</v>
      </c>
      <c r="H956" s="28" t="s">
        <v>976</v>
      </c>
    </row>
    <row r="957" spans="6:8" x14ac:dyDescent="0.25">
      <c r="F957" s="32">
        <v>3</v>
      </c>
      <c r="G957" s="32">
        <v>1125</v>
      </c>
      <c r="H957" s="28" t="s">
        <v>977</v>
      </c>
    </row>
    <row r="958" spans="6:8" x14ac:dyDescent="0.25">
      <c r="F958" s="32">
        <v>3</v>
      </c>
      <c r="G958" s="32">
        <v>1126</v>
      </c>
      <c r="H958" s="28" t="s">
        <v>978</v>
      </c>
    </row>
    <row r="959" spans="6:8" x14ac:dyDescent="0.25">
      <c r="F959" s="32">
        <v>3</v>
      </c>
      <c r="G959" s="32">
        <v>1127</v>
      </c>
      <c r="H959" s="28" t="s">
        <v>979</v>
      </c>
    </row>
    <row r="960" spans="6:8" x14ac:dyDescent="0.25">
      <c r="F960" s="32">
        <v>3</v>
      </c>
      <c r="G960" s="32">
        <v>1128</v>
      </c>
      <c r="H960" s="28" t="s">
        <v>980</v>
      </c>
    </row>
    <row r="961" spans="6:8" x14ac:dyDescent="0.25">
      <c r="F961" s="32">
        <v>3</v>
      </c>
      <c r="G961" s="32">
        <v>1129</v>
      </c>
      <c r="H961" s="28" t="s">
        <v>981</v>
      </c>
    </row>
    <row r="962" spans="6:8" x14ac:dyDescent="0.25">
      <c r="F962" s="32">
        <v>3</v>
      </c>
      <c r="G962" s="32">
        <v>1130</v>
      </c>
      <c r="H962" s="28" t="s">
        <v>982</v>
      </c>
    </row>
    <row r="963" spans="6:8" x14ac:dyDescent="0.25">
      <c r="F963" s="32">
        <v>3</v>
      </c>
      <c r="G963" s="32">
        <v>1131</v>
      </c>
      <c r="H963" s="28" t="s">
        <v>983</v>
      </c>
    </row>
    <row r="964" spans="6:8" x14ac:dyDescent="0.25">
      <c r="F964" s="32">
        <v>3</v>
      </c>
      <c r="G964" s="32">
        <v>1132</v>
      </c>
      <c r="H964" s="28" t="s">
        <v>984</v>
      </c>
    </row>
    <row r="965" spans="6:8" x14ac:dyDescent="0.25">
      <c r="F965" s="32">
        <v>3</v>
      </c>
      <c r="G965" s="32">
        <v>1133</v>
      </c>
      <c r="H965" s="28" t="s">
        <v>985</v>
      </c>
    </row>
    <row r="966" spans="6:8" x14ac:dyDescent="0.25">
      <c r="F966" s="32">
        <v>3</v>
      </c>
      <c r="G966" s="32">
        <v>1134</v>
      </c>
      <c r="H966" s="28" t="s">
        <v>986</v>
      </c>
    </row>
    <row r="967" spans="6:8" x14ac:dyDescent="0.25">
      <c r="F967" s="32">
        <v>3</v>
      </c>
      <c r="G967" s="32">
        <v>1135</v>
      </c>
      <c r="H967" s="28" t="s">
        <v>987</v>
      </c>
    </row>
    <row r="968" spans="6:8" x14ac:dyDescent="0.25">
      <c r="F968" s="32">
        <v>3</v>
      </c>
      <c r="G968" s="32">
        <v>1136</v>
      </c>
      <c r="H968" s="28" t="s">
        <v>988</v>
      </c>
    </row>
    <row r="969" spans="6:8" x14ac:dyDescent="0.25">
      <c r="F969" s="32">
        <v>3</v>
      </c>
      <c r="G969" s="32">
        <v>1137</v>
      </c>
      <c r="H969" s="28" t="s">
        <v>989</v>
      </c>
    </row>
    <row r="970" spans="6:8" x14ac:dyDescent="0.25">
      <c r="F970" s="32">
        <v>3</v>
      </c>
      <c r="G970" s="32">
        <v>1138</v>
      </c>
      <c r="H970" s="28" t="s">
        <v>990</v>
      </c>
    </row>
    <row r="971" spans="6:8" x14ac:dyDescent="0.25">
      <c r="F971" s="32">
        <v>3</v>
      </c>
      <c r="G971" s="32">
        <v>1139</v>
      </c>
      <c r="H971" s="28" t="s">
        <v>991</v>
      </c>
    </row>
    <row r="972" spans="6:8" x14ac:dyDescent="0.25">
      <c r="F972" s="32">
        <v>3</v>
      </c>
      <c r="G972" s="32">
        <v>1140</v>
      </c>
      <c r="H972" s="28" t="s">
        <v>992</v>
      </c>
    </row>
    <row r="973" spans="6:8" x14ac:dyDescent="0.25">
      <c r="F973" s="32">
        <v>3</v>
      </c>
      <c r="G973" s="32">
        <v>1141</v>
      </c>
      <c r="H973" s="28" t="s">
        <v>993</v>
      </c>
    </row>
    <row r="974" spans="6:8" x14ac:dyDescent="0.25">
      <c r="F974" s="32">
        <v>3</v>
      </c>
      <c r="G974" s="32">
        <v>1142</v>
      </c>
      <c r="H974" s="28" t="s">
        <v>994</v>
      </c>
    </row>
    <row r="975" spans="6:8" x14ac:dyDescent="0.25">
      <c r="F975" s="32">
        <v>3</v>
      </c>
      <c r="G975" s="32">
        <v>1143</v>
      </c>
      <c r="H975" s="28" t="s">
        <v>995</v>
      </c>
    </row>
    <row r="976" spans="6:8" x14ac:dyDescent="0.25">
      <c r="F976" s="32">
        <v>3</v>
      </c>
      <c r="G976" s="32">
        <v>1144</v>
      </c>
      <c r="H976" s="28" t="s">
        <v>996</v>
      </c>
    </row>
    <row r="977" spans="6:8" x14ac:dyDescent="0.25">
      <c r="F977" s="32">
        <v>3</v>
      </c>
      <c r="G977" s="32">
        <v>1145</v>
      </c>
      <c r="H977" s="28" t="s">
        <v>997</v>
      </c>
    </row>
    <row r="978" spans="6:8" x14ac:dyDescent="0.25">
      <c r="F978" s="32">
        <v>3</v>
      </c>
      <c r="G978" s="32">
        <v>1146</v>
      </c>
      <c r="H978" s="28" t="s">
        <v>998</v>
      </c>
    </row>
    <row r="979" spans="6:8" x14ac:dyDescent="0.25">
      <c r="F979" s="32">
        <v>3</v>
      </c>
      <c r="G979" s="32">
        <v>1147</v>
      </c>
      <c r="H979" s="28" t="s">
        <v>999</v>
      </c>
    </row>
    <row r="980" spans="6:8" x14ac:dyDescent="0.25">
      <c r="F980" s="32">
        <v>3</v>
      </c>
      <c r="G980" s="32">
        <v>1148</v>
      </c>
      <c r="H980" s="28" t="s">
        <v>1000</v>
      </c>
    </row>
    <row r="981" spans="6:8" x14ac:dyDescent="0.25">
      <c r="F981" s="32">
        <v>3</v>
      </c>
      <c r="G981" s="32">
        <v>1149</v>
      </c>
      <c r="H981" s="28" t="s">
        <v>1001</v>
      </c>
    </row>
    <row r="982" spans="6:8" x14ac:dyDescent="0.25">
      <c r="F982" s="32">
        <v>3</v>
      </c>
      <c r="G982" s="32">
        <v>1150</v>
      </c>
      <c r="H982" s="28" t="s">
        <v>1002</v>
      </c>
    </row>
    <row r="983" spans="6:8" x14ac:dyDescent="0.25">
      <c r="F983" s="32">
        <v>3</v>
      </c>
      <c r="G983" s="32">
        <v>1151</v>
      </c>
      <c r="H983" s="28" t="s">
        <v>1003</v>
      </c>
    </row>
    <row r="984" spans="6:8" x14ac:dyDescent="0.25">
      <c r="F984" s="32">
        <v>3</v>
      </c>
      <c r="G984" s="32">
        <v>1152</v>
      </c>
      <c r="H984" s="28" t="s">
        <v>1004</v>
      </c>
    </row>
    <row r="985" spans="6:8" x14ac:dyDescent="0.25">
      <c r="F985" s="32">
        <v>3</v>
      </c>
      <c r="G985" s="32">
        <v>1153</v>
      </c>
      <c r="H985" s="28" t="s">
        <v>1005</v>
      </c>
    </row>
    <row r="986" spans="6:8" x14ac:dyDescent="0.25">
      <c r="F986" s="32">
        <v>3</v>
      </c>
      <c r="G986" s="32">
        <v>1154</v>
      </c>
      <c r="H986" s="28" t="s">
        <v>1006</v>
      </c>
    </row>
    <row r="987" spans="6:8" x14ac:dyDescent="0.25">
      <c r="F987" s="32">
        <v>3</v>
      </c>
      <c r="G987" s="32">
        <v>1155</v>
      </c>
      <c r="H987" s="28" t="s">
        <v>1007</v>
      </c>
    </row>
    <row r="988" spans="6:8" x14ac:dyDescent="0.25">
      <c r="F988" s="32">
        <v>3</v>
      </c>
      <c r="G988" s="32">
        <v>1156</v>
      </c>
      <c r="H988" s="28" t="s">
        <v>1008</v>
      </c>
    </row>
    <row r="989" spans="6:8" x14ac:dyDescent="0.25">
      <c r="F989" s="32">
        <v>3</v>
      </c>
      <c r="G989" s="32">
        <v>1157</v>
      </c>
      <c r="H989" s="28" t="s">
        <v>1009</v>
      </c>
    </row>
    <row r="990" spans="6:8" x14ac:dyDescent="0.25">
      <c r="F990" s="32">
        <v>3</v>
      </c>
      <c r="G990" s="32">
        <v>1158</v>
      </c>
      <c r="H990" s="28" t="s">
        <v>1010</v>
      </c>
    </row>
    <row r="991" spans="6:8" x14ac:dyDescent="0.25">
      <c r="F991" s="32">
        <v>3</v>
      </c>
      <c r="G991" s="32">
        <v>1159</v>
      </c>
      <c r="H991" s="28" t="s">
        <v>1011</v>
      </c>
    </row>
    <row r="992" spans="6:8" x14ac:dyDescent="0.25">
      <c r="F992" s="32">
        <v>3</v>
      </c>
      <c r="G992" s="32">
        <v>1160</v>
      </c>
      <c r="H992" s="28" t="s">
        <v>1012</v>
      </c>
    </row>
    <row r="993" spans="6:8" x14ac:dyDescent="0.25">
      <c r="F993" s="32">
        <v>3</v>
      </c>
      <c r="G993" s="32">
        <v>1161</v>
      </c>
      <c r="H993" s="28" t="s">
        <v>1013</v>
      </c>
    </row>
    <row r="994" spans="6:8" x14ac:dyDescent="0.25">
      <c r="F994" s="32">
        <v>3</v>
      </c>
      <c r="G994" s="32">
        <v>1162</v>
      </c>
      <c r="H994" s="28" t="s">
        <v>1014</v>
      </c>
    </row>
    <row r="995" spans="6:8" x14ac:dyDescent="0.25">
      <c r="F995" s="32">
        <v>3</v>
      </c>
      <c r="G995" s="32">
        <v>1163</v>
      </c>
      <c r="H995" s="28" t="s">
        <v>1015</v>
      </c>
    </row>
    <row r="996" spans="6:8" x14ac:dyDescent="0.25">
      <c r="F996" s="32">
        <v>3</v>
      </c>
      <c r="G996" s="32">
        <v>1164</v>
      </c>
      <c r="H996" s="28" t="s">
        <v>1016</v>
      </c>
    </row>
    <row r="997" spans="6:8" x14ac:dyDescent="0.25">
      <c r="F997" s="32">
        <v>3</v>
      </c>
      <c r="G997" s="32">
        <v>1165</v>
      </c>
      <c r="H997" s="28" t="s">
        <v>1017</v>
      </c>
    </row>
    <row r="998" spans="6:8" x14ac:dyDescent="0.25">
      <c r="F998" s="32">
        <v>3</v>
      </c>
      <c r="G998" s="32">
        <v>1166</v>
      </c>
      <c r="H998" s="28" t="s">
        <v>1018</v>
      </c>
    </row>
    <row r="999" spans="6:8" x14ac:dyDescent="0.25">
      <c r="F999" s="32">
        <v>3</v>
      </c>
      <c r="G999" s="32">
        <v>1167</v>
      </c>
      <c r="H999" s="28" t="s">
        <v>1019</v>
      </c>
    </row>
    <row r="1000" spans="6:8" x14ac:dyDescent="0.25">
      <c r="F1000" s="32">
        <v>3</v>
      </c>
      <c r="G1000" s="32">
        <v>1168</v>
      </c>
      <c r="H1000" s="28" t="s">
        <v>1020</v>
      </c>
    </row>
    <row r="1001" spans="6:8" x14ac:dyDescent="0.25">
      <c r="F1001" s="32">
        <v>3</v>
      </c>
      <c r="G1001" s="32">
        <v>1169</v>
      </c>
      <c r="H1001" s="28" t="s">
        <v>1021</v>
      </c>
    </row>
    <row r="1002" spans="6:8" x14ac:dyDescent="0.25">
      <c r="F1002" s="32">
        <v>3</v>
      </c>
      <c r="G1002" s="32">
        <v>1170</v>
      </c>
      <c r="H1002" s="28" t="s">
        <v>1022</v>
      </c>
    </row>
    <row r="1003" spans="6:8" x14ac:dyDescent="0.25">
      <c r="F1003" s="32">
        <v>3</v>
      </c>
      <c r="G1003" s="32">
        <v>1171</v>
      </c>
      <c r="H1003" s="28" t="s">
        <v>1023</v>
      </c>
    </row>
    <row r="1004" spans="6:8" x14ac:dyDescent="0.25">
      <c r="F1004" s="32">
        <v>3</v>
      </c>
      <c r="G1004" s="32">
        <v>1172</v>
      </c>
      <c r="H1004" s="28" t="s">
        <v>1024</v>
      </c>
    </row>
    <row r="1005" spans="6:8" x14ac:dyDescent="0.25">
      <c r="F1005" s="32">
        <v>3</v>
      </c>
      <c r="G1005" s="32">
        <v>1173</v>
      </c>
      <c r="H1005" s="28" t="s">
        <v>1025</v>
      </c>
    </row>
    <row r="1006" spans="6:8" x14ac:dyDescent="0.25">
      <c r="F1006" s="32">
        <v>3</v>
      </c>
      <c r="G1006" s="32">
        <v>1174</v>
      </c>
      <c r="H1006" s="28" t="s">
        <v>1026</v>
      </c>
    </row>
    <row r="1007" spans="6:8" x14ac:dyDescent="0.25">
      <c r="F1007" s="32">
        <v>3</v>
      </c>
      <c r="G1007" s="32">
        <v>1175</v>
      </c>
      <c r="H1007" s="28" t="s">
        <v>1027</v>
      </c>
    </row>
    <row r="1008" spans="6:8" x14ac:dyDescent="0.25">
      <c r="F1008" s="32">
        <v>3</v>
      </c>
      <c r="G1008" s="32">
        <v>1176</v>
      </c>
      <c r="H1008" s="28" t="s">
        <v>1028</v>
      </c>
    </row>
    <row r="1009" spans="6:8" x14ac:dyDescent="0.25">
      <c r="F1009" s="32">
        <v>3</v>
      </c>
      <c r="G1009" s="32">
        <v>1177</v>
      </c>
      <c r="H1009" s="28" t="s">
        <v>1029</v>
      </c>
    </row>
    <row r="1010" spans="6:8" x14ac:dyDescent="0.25">
      <c r="F1010" s="32">
        <v>3</v>
      </c>
      <c r="G1010" s="32">
        <v>1178</v>
      </c>
      <c r="H1010" s="28" t="s">
        <v>1030</v>
      </c>
    </row>
    <row r="1011" spans="6:8" x14ac:dyDescent="0.25">
      <c r="F1011" s="32">
        <v>3</v>
      </c>
      <c r="G1011" s="32">
        <v>1179</v>
      </c>
      <c r="H1011" s="28" t="s">
        <v>1031</v>
      </c>
    </row>
    <row r="1012" spans="6:8" x14ac:dyDescent="0.25">
      <c r="F1012" s="32">
        <v>3</v>
      </c>
      <c r="G1012" s="32">
        <v>1180</v>
      </c>
      <c r="H1012" s="28" t="s">
        <v>1032</v>
      </c>
    </row>
    <row r="1013" spans="6:8" x14ac:dyDescent="0.25">
      <c r="F1013" s="32">
        <v>3</v>
      </c>
      <c r="G1013" s="32">
        <v>1181</v>
      </c>
      <c r="H1013" s="28" t="s">
        <v>1033</v>
      </c>
    </row>
    <row r="1014" spans="6:8" x14ac:dyDescent="0.25">
      <c r="F1014" s="32">
        <v>3</v>
      </c>
      <c r="G1014" s="32">
        <v>1182</v>
      </c>
      <c r="H1014" s="28" t="s">
        <v>1034</v>
      </c>
    </row>
    <row r="1015" spans="6:8" x14ac:dyDescent="0.25">
      <c r="F1015" s="32">
        <v>3</v>
      </c>
      <c r="G1015" s="32">
        <v>1183</v>
      </c>
      <c r="H1015" s="28" t="s">
        <v>1035</v>
      </c>
    </row>
    <row r="1016" spans="6:8" x14ac:dyDescent="0.25">
      <c r="F1016" s="32">
        <v>3</v>
      </c>
      <c r="G1016" s="32">
        <v>1184</v>
      </c>
      <c r="H1016" s="28" t="s">
        <v>1036</v>
      </c>
    </row>
    <row r="1017" spans="6:8" x14ac:dyDescent="0.25">
      <c r="F1017" s="32">
        <v>3</v>
      </c>
      <c r="G1017" s="32">
        <v>1185</v>
      </c>
      <c r="H1017" s="28" t="s">
        <v>1037</v>
      </c>
    </row>
    <row r="1018" spans="6:8" x14ac:dyDescent="0.25">
      <c r="F1018" s="32">
        <v>3</v>
      </c>
      <c r="G1018" s="32">
        <v>1186</v>
      </c>
      <c r="H1018" s="28" t="s">
        <v>1038</v>
      </c>
    </row>
    <row r="1019" spans="6:8" x14ac:dyDescent="0.25">
      <c r="F1019" s="32">
        <v>3</v>
      </c>
      <c r="G1019" s="32">
        <v>1187</v>
      </c>
      <c r="H1019" s="28" t="s">
        <v>1039</v>
      </c>
    </row>
    <row r="1020" spans="6:8" x14ac:dyDescent="0.25">
      <c r="F1020" s="32">
        <v>3</v>
      </c>
      <c r="G1020" s="32">
        <v>1188</v>
      </c>
      <c r="H1020" s="28" t="s">
        <v>1040</v>
      </c>
    </row>
    <row r="1021" spans="6:8" x14ac:dyDescent="0.25">
      <c r="F1021" s="32">
        <v>3</v>
      </c>
      <c r="G1021" s="32">
        <v>1189</v>
      </c>
      <c r="H1021" s="28" t="s">
        <v>1041</v>
      </c>
    </row>
    <row r="1022" spans="6:8" x14ac:dyDescent="0.25">
      <c r="F1022" s="32">
        <v>3</v>
      </c>
      <c r="G1022" s="32">
        <v>1190</v>
      </c>
      <c r="H1022" s="28" t="s">
        <v>1042</v>
      </c>
    </row>
    <row r="1023" spans="6:8" x14ac:dyDescent="0.25">
      <c r="F1023" s="32">
        <v>3</v>
      </c>
      <c r="G1023" s="32">
        <v>1191</v>
      </c>
      <c r="H1023" s="28" t="s">
        <v>1043</v>
      </c>
    </row>
    <row r="1024" spans="6:8" x14ac:dyDescent="0.25">
      <c r="F1024" s="32">
        <v>3</v>
      </c>
      <c r="G1024" s="32">
        <v>1192</v>
      </c>
      <c r="H1024" s="28" t="s">
        <v>1044</v>
      </c>
    </row>
    <row r="1025" spans="6:8" x14ac:dyDescent="0.25">
      <c r="F1025" s="32">
        <v>3</v>
      </c>
      <c r="G1025" s="32">
        <v>1193</v>
      </c>
      <c r="H1025" s="28" t="s">
        <v>1045</v>
      </c>
    </row>
    <row r="1026" spans="6:8" x14ac:dyDescent="0.25">
      <c r="F1026" s="32">
        <v>3</v>
      </c>
      <c r="G1026" s="32">
        <v>1195</v>
      </c>
      <c r="H1026" s="28" t="s">
        <v>1046</v>
      </c>
    </row>
    <row r="1027" spans="6:8" x14ac:dyDescent="0.25">
      <c r="F1027" s="32">
        <v>3</v>
      </c>
      <c r="G1027" s="32">
        <v>1196</v>
      </c>
      <c r="H1027" s="28" t="s">
        <v>1047</v>
      </c>
    </row>
    <row r="1028" spans="6:8" x14ac:dyDescent="0.25">
      <c r="F1028" s="32">
        <v>3</v>
      </c>
      <c r="G1028" s="32">
        <v>1197</v>
      </c>
      <c r="H1028" s="28" t="s">
        <v>1048</v>
      </c>
    </row>
    <row r="1029" spans="6:8" x14ac:dyDescent="0.25">
      <c r="F1029" s="32">
        <v>3</v>
      </c>
      <c r="G1029" s="32">
        <v>1198</v>
      </c>
      <c r="H1029" s="28" t="s">
        <v>1049</v>
      </c>
    </row>
    <row r="1030" spans="6:8" x14ac:dyDescent="0.25">
      <c r="F1030" s="32">
        <v>3</v>
      </c>
      <c r="G1030" s="32">
        <v>1199</v>
      </c>
      <c r="H1030" s="28" t="s">
        <v>1050</v>
      </c>
    </row>
    <row r="1031" spans="6:8" x14ac:dyDescent="0.25">
      <c r="F1031" s="32">
        <v>3</v>
      </c>
      <c r="G1031" s="32">
        <v>1200</v>
      </c>
      <c r="H1031" s="28" t="s">
        <v>1051</v>
      </c>
    </row>
    <row r="1032" spans="6:8" x14ac:dyDescent="0.25">
      <c r="F1032" s="32">
        <v>3</v>
      </c>
      <c r="G1032" s="32">
        <v>1201</v>
      </c>
      <c r="H1032" s="28" t="s">
        <v>1052</v>
      </c>
    </row>
    <row r="1033" spans="6:8" x14ac:dyDescent="0.25">
      <c r="F1033" s="32">
        <v>3</v>
      </c>
      <c r="G1033" s="32">
        <v>1202</v>
      </c>
      <c r="H1033" s="28" t="s">
        <v>1053</v>
      </c>
    </row>
    <row r="1034" spans="6:8" x14ac:dyDescent="0.25">
      <c r="F1034" s="32">
        <v>3</v>
      </c>
      <c r="G1034" s="32">
        <v>1203</v>
      </c>
      <c r="H1034" s="28" t="s">
        <v>1054</v>
      </c>
    </row>
    <row r="1035" spans="6:8" x14ac:dyDescent="0.25">
      <c r="F1035" s="32">
        <v>3</v>
      </c>
      <c r="G1035" s="32">
        <v>1204</v>
      </c>
      <c r="H1035" s="28" t="s">
        <v>1055</v>
      </c>
    </row>
    <row r="1036" spans="6:8" x14ac:dyDescent="0.25">
      <c r="F1036" s="32">
        <v>3</v>
      </c>
      <c r="G1036" s="32">
        <v>1205</v>
      </c>
      <c r="H1036" s="28" t="s">
        <v>1056</v>
      </c>
    </row>
    <row r="1037" spans="6:8" x14ac:dyDescent="0.25">
      <c r="F1037" s="32">
        <v>3</v>
      </c>
      <c r="G1037" s="32">
        <v>1206</v>
      </c>
      <c r="H1037" s="28" t="s">
        <v>1057</v>
      </c>
    </row>
    <row r="1038" spans="6:8" x14ac:dyDescent="0.25">
      <c r="F1038" s="32">
        <v>3</v>
      </c>
      <c r="G1038" s="32">
        <v>1207</v>
      </c>
      <c r="H1038" s="28" t="s">
        <v>1058</v>
      </c>
    </row>
    <row r="1039" spans="6:8" x14ac:dyDescent="0.25">
      <c r="F1039" s="32">
        <v>3</v>
      </c>
      <c r="G1039" s="32">
        <v>1208</v>
      </c>
      <c r="H1039" s="28" t="s">
        <v>1059</v>
      </c>
    </row>
    <row r="1040" spans="6:8" x14ac:dyDescent="0.25">
      <c r="F1040" s="32">
        <v>3</v>
      </c>
      <c r="G1040" s="32">
        <v>1209</v>
      </c>
      <c r="H1040" s="28" t="s">
        <v>1060</v>
      </c>
    </row>
    <row r="1041" spans="6:8" x14ac:dyDescent="0.25">
      <c r="F1041" s="32">
        <v>3</v>
      </c>
      <c r="G1041" s="32">
        <v>1210</v>
      </c>
      <c r="H1041" s="28" t="s">
        <v>1061</v>
      </c>
    </row>
    <row r="1042" spans="6:8" x14ac:dyDescent="0.25">
      <c r="F1042" s="32">
        <v>3</v>
      </c>
      <c r="G1042" s="32">
        <v>1211</v>
      </c>
      <c r="H1042" s="28" t="s">
        <v>1062</v>
      </c>
    </row>
    <row r="1043" spans="6:8" x14ac:dyDescent="0.25">
      <c r="F1043" s="32">
        <v>3</v>
      </c>
      <c r="G1043" s="32">
        <v>1212</v>
      </c>
      <c r="H1043" s="28" t="s">
        <v>1063</v>
      </c>
    </row>
    <row r="1044" spans="6:8" x14ac:dyDescent="0.25">
      <c r="F1044" s="32">
        <v>3</v>
      </c>
      <c r="G1044" s="32">
        <v>1213</v>
      </c>
      <c r="H1044" s="28" t="s">
        <v>1064</v>
      </c>
    </row>
    <row r="1045" spans="6:8" x14ac:dyDescent="0.25">
      <c r="F1045" s="32">
        <v>3</v>
      </c>
      <c r="G1045" s="32">
        <v>1214</v>
      </c>
      <c r="H1045" s="28" t="s">
        <v>1065</v>
      </c>
    </row>
    <row r="1046" spans="6:8" x14ac:dyDescent="0.25">
      <c r="F1046" s="32">
        <v>3</v>
      </c>
      <c r="G1046" s="32">
        <v>1215</v>
      </c>
      <c r="H1046" s="28" t="s">
        <v>1066</v>
      </c>
    </row>
    <row r="1047" spans="6:8" x14ac:dyDescent="0.25">
      <c r="F1047" s="32">
        <v>3</v>
      </c>
      <c r="G1047" s="32">
        <v>1216</v>
      </c>
      <c r="H1047" s="28" t="s">
        <v>1067</v>
      </c>
    </row>
    <row r="1048" spans="6:8" x14ac:dyDescent="0.25">
      <c r="F1048" s="32">
        <v>3</v>
      </c>
      <c r="G1048" s="32">
        <v>1217</v>
      </c>
      <c r="H1048" s="28" t="s">
        <v>1068</v>
      </c>
    </row>
    <row r="1049" spans="6:8" x14ac:dyDescent="0.25">
      <c r="F1049" s="32">
        <v>3</v>
      </c>
      <c r="G1049" s="32">
        <v>1218</v>
      </c>
      <c r="H1049" s="28" t="s">
        <v>1069</v>
      </c>
    </row>
    <row r="1050" spans="6:8" x14ac:dyDescent="0.25">
      <c r="F1050" s="32">
        <v>3</v>
      </c>
      <c r="G1050" s="32">
        <v>1219</v>
      </c>
      <c r="H1050" s="28" t="s">
        <v>1070</v>
      </c>
    </row>
    <row r="1051" spans="6:8" x14ac:dyDescent="0.25">
      <c r="F1051" s="32">
        <v>3</v>
      </c>
      <c r="G1051" s="32">
        <v>1220</v>
      </c>
      <c r="H1051" s="28" t="s">
        <v>1071</v>
      </c>
    </row>
    <row r="1052" spans="6:8" x14ac:dyDescent="0.25">
      <c r="F1052" s="32">
        <v>3</v>
      </c>
      <c r="G1052" s="32">
        <v>1221</v>
      </c>
      <c r="H1052" s="28" t="s">
        <v>1072</v>
      </c>
    </row>
    <row r="1053" spans="6:8" x14ac:dyDescent="0.25">
      <c r="F1053" s="32">
        <v>3</v>
      </c>
      <c r="G1053" s="32">
        <v>1222</v>
      </c>
      <c r="H1053" s="28" t="s">
        <v>1073</v>
      </c>
    </row>
    <row r="1054" spans="6:8" x14ac:dyDescent="0.25">
      <c r="F1054" s="32">
        <v>3</v>
      </c>
      <c r="G1054" s="32">
        <v>1224</v>
      </c>
      <c r="H1054" s="28" t="s">
        <v>1074</v>
      </c>
    </row>
    <row r="1055" spans="6:8" x14ac:dyDescent="0.25">
      <c r="F1055" s="32">
        <v>3</v>
      </c>
      <c r="G1055" s="32">
        <v>1225</v>
      </c>
      <c r="H1055" s="28" t="s">
        <v>1075</v>
      </c>
    </row>
    <row r="1056" spans="6:8" x14ac:dyDescent="0.25">
      <c r="F1056" s="32">
        <v>3</v>
      </c>
      <c r="G1056" s="32">
        <v>1226</v>
      </c>
      <c r="H1056" s="28" t="s">
        <v>1076</v>
      </c>
    </row>
    <row r="1057" spans="6:8" x14ac:dyDescent="0.25">
      <c r="F1057" s="32">
        <v>3</v>
      </c>
      <c r="G1057" s="32">
        <v>1227</v>
      </c>
      <c r="H1057" s="28" t="s">
        <v>1077</v>
      </c>
    </row>
    <row r="1058" spans="6:8" x14ac:dyDescent="0.25">
      <c r="F1058" s="32">
        <v>3</v>
      </c>
      <c r="G1058" s="32">
        <v>1228</v>
      </c>
      <c r="H1058" s="28" t="s">
        <v>1078</v>
      </c>
    </row>
    <row r="1059" spans="6:8" x14ac:dyDescent="0.25">
      <c r="F1059" s="32">
        <v>3</v>
      </c>
      <c r="G1059" s="32">
        <v>1229</v>
      </c>
      <c r="H1059" s="28" t="s">
        <v>1079</v>
      </c>
    </row>
    <row r="1060" spans="6:8" x14ac:dyDescent="0.25">
      <c r="F1060" s="32">
        <v>3</v>
      </c>
      <c r="G1060" s="32">
        <v>1230</v>
      </c>
      <c r="H1060" s="28" t="s">
        <v>1080</v>
      </c>
    </row>
    <row r="1061" spans="6:8" x14ac:dyDescent="0.25">
      <c r="F1061" s="32">
        <v>3</v>
      </c>
      <c r="G1061" s="32">
        <v>1231</v>
      </c>
      <c r="H1061" s="28" t="s">
        <v>1081</v>
      </c>
    </row>
    <row r="1062" spans="6:8" x14ac:dyDescent="0.25">
      <c r="F1062" s="32">
        <v>3</v>
      </c>
      <c r="G1062" s="32">
        <v>1232</v>
      </c>
      <c r="H1062" s="28" t="s">
        <v>1082</v>
      </c>
    </row>
    <row r="1063" spans="6:8" x14ac:dyDescent="0.25">
      <c r="F1063" s="32">
        <v>3</v>
      </c>
      <c r="G1063" s="32">
        <v>1233</v>
      </c>
      <c r="H1063" s="28" t="s">
        <v>1083</v>
      </c>
    </row>
    <row r="1064" spans="6:8" x14ac:dyDescent="0.25">
      <c r="F1064" s="32">
        <v>3</v>
      </c>
      <c r="G1064" s="32">
        <v>1234</v>
      </c>
      <c r="H1064" s="28" t="s">
        <v>1084</v>
      </c>
    </row>
    <row r="1065" spans="6:8" x14ac:dyDescent="0.25">
      <c r="F1065" s="32">
        <v>3</v>
      </c>
      <c r="G1065" s="32">
        <v>1235</v>
      </c>
      <c r="H1065" s="28" t="s">
        <v>1085</v>
      </c>
    </row>
    <row r="1066" spans="6:8" x14ac:dyDescent="0.25">
      <c r="F1066" s="32">
        <v>3</v>
      </c>
      <c r="G1066" s="32">
        <v>1236</v>
      </c>
      <c r="H1066" s="28" t="s">
        <v>1086</v>
      </c>
    </row>
    <row r="1067" spans="6:8" x14ac:dyDescent="0.25">
      <c r="F1067" s="32">
        <v>3</v>
      </c>
      <c r="G1067" s="32">
        <v>1237</v>
      </c>
      <c r="H1067" s="28" t="s">
        <v>1087</v>
      </c>
    </row>
    <row r="1068" spans="6:8" x14ac:dyDescent="0.25">
      <c r="F1068" s="32">
        <v>3</v>
      </c>
      <c r="G1068" s="32">
        <v>1238</v>
      </c>
      <c r="H1068" s="28" t="s">
        <v>1088</v>
      </c>
    </row>
    <row r="1069" spans="6:8" x14ac:dyDescent="0.25">
      <c r="F1069" s="32">
        <v>3</v>
      </c>
      <c r="G1069" s="32">
        <v>1239</v>
      </c>
      <c r="H1069" s="28" t="s">
        <v>1089</v>
      </c>
    </row>
    <row r="1070" spans="6:8" x14ac:dyDescent="0.25">
      <c r="F1070" s="32">
        <v>3</v>
      </c>
      <c r="G1070" s="32">
        <v>1240</v>
      </c>
      <c r="H1070" s="28" t="s">
        <v>1090</v>
      </c>
    </row>
    <row r="1071" spans="6:8" x14ac:dyDescent="0.25">
      <c r="F1071" s="32">
        <v>3</v>
      </c>
      <c r="G1071" s="32">
        <v>1241</v>
      </c>
      <c r="H1071" s="28" t="s">
        <v>1091</v>
      </c>
    </row>
    <row r="1072" spans="6:8" x14ac:dyDescent="0.25">
      <c r="F1072" s="32">
        <v>3</v>
      </c>
      <c r="G1072" s="32">
        <v>1242</v>
      </c>
      <c r="H1072" s="28" t="s">
        <v>1092</v>
      </c>
    </row>
    <row r="1073" spans="6:8" x14ac:dyDescent="0.25">
      <c r="F1073" s="32">
        <v>3</v>
      </c>
      <c r="G1073" s="32">
        <v>1243</v>
      </c>
      <c r="H1073" s="28" t="s">
        <v>1093</v>
      </c>
    </row>
    <row r="1074" spans="6:8" x14ac:dyDescent="0.25">
      <c r="F1074" s="32">
        <v>3</v>
      </c>
      <c r="G1074" s="32">
        <v>1244</v>
      </c>
      <c r="H1074" s="28" t="s">
        <v>1094</v>
      </c>
    </row>
    <row r="1075" spans="6:8" x14ac:dyDescent="0.25">
      <c r="F1075" s="32">
        <v>3</v>
      </c>
      <c r="G1075" s="32">
        <v>1245</v>
      </c>
      <c r="H1075" s="28" t="s">
        <v>1095</v>
      </c>
    </row>
    <row r="1076" spans="6:8" x14ac:dyDescent="0.25">
      <c r="F1076" s="32">
        <v>3</v>
      </c>
      <c r="G1076" s="32">
        <v>1246</v>
      </c>
      <c r="H1076" s="28" t="s">
        <v>1096</v>
      </c>
    </row>
    <row r="1077" spans="6:8" x14ac:dyDescent="0.25">
      <c r="F1077" s="32">
        <v>3</v>
      </c>
      <c r="G1077" s="32">
        <v>1247</v>
      </c>
      <c r="H1077" s="28" t="s">
        <v>1097</v>
      </c>
    </row>
    <row r="1078" spans="6:8" x14ac:dyDescent="0.25">
      <c r="F1078" s="32">
        <v>3</v>
      </c>
      <c r="G1078" s="32">
        <v>1248</v>
      </c>
      <c r="H1078" s="28" t="s">
        <v>1098</v>
      </c>
    </row>
    <row r="1079" spans="6:8" x14ac:dyDescent="0.25">
      <c r="F1079" s="32">
        <v>3</v>
      </c>
      <c r="G1079" s="32">
        <v>1249</v>
      </c>
      <c r="H1079" s="28" t="s">
        <v>1099</v>
      </c>
    </row>
    <row r="1080" spans="6:8" x14ac:dyDescent="0.25">
      <c r="F1080" s="32">
        <v>3</v>
      </c>
      <c r="G1080" s="32">
        <v>1250</v>
      </c>
      <c r="H1080" s="28" t="s">
        <v>1100</v>
      </c>
    </row>
    <row r="1081" spans="6:8" x14ac:dyDescent="0.25">
      <c r="F1081" s="32">
        <v>3</v>
      </c>
      <c r="G1081" s="32">
        <v>1251</v>
      </c>
      <c r="H1081" s="28" t="s">
        <v>1101</v>
      </c>
    </row>
    <row r="1082" spans="6:8" x14ac:dyDescent="0.25">
      <c r="F1082" s="32">
        <v>3</v>
      </c>
      <c r="G1082" s="32">
        <v>1252</v>
      </c>
      <c r="H1082" s="28" t="s">
        <v>1102</v>
      </c>
    </row>
    <row r="1083" spans="6:8" x14ac:dyDescent="0.25">
      <c r="F1083" s="32">
        <v>3</v>
      </c>
      <c r="G1083" s="32">
        <v>1253</v>
      </c>
      <c r="H1083" s="28" t="s">
        <v>1103</v>
      </c>
    </row>
    <row r="1084" spans="6:8" x14ac:dyDescent="0.25">
      <c r="F1084" s="32">
        <v>3</v>
      </c>
      <c r="G1084" s="32">
        <v>1254</v>
      </c>
      <c r="H1084" s="28" t="s">
        <v>1104</v>
      </c>
    </row>
    <row r="1085" spans="6:8" x14ac:dyDescent="0.25">
      <c r="F1085" s="32">
        <v>3</v>
      </c>
      <c r="G1085" s="32">
        <v>1255</v>
      </c>
      <c r="H1085" s="28" t="s">
        <v>1105</v>
      </c>
    </row>
    <row r="1086" spans="6:8" x14ac:dyDescent="0.25">
      <c r="F1086" s="32">
        <v>3</v>
      </c>
      <c r="G1086" s="32">
        <v>1256</v>
      </c>
      <c r="H1086" s="28" t="s">
        <v>1106</v>
      </c>
    </row>
    <row r="1087" spans="6:8" x14ac:dyDescent="0.25">
      <c r="F1087" s="32">
        <v>3</v>
      </c>
      <c r="G1087" s="32">
        <v>1257</v>
      </c>
      <c r="H1087" s="28" t="s">
        <v>1107</v>
      </c>
    </row>
    <row r="1088" spans="6:8" x14ac:dyDescent="0.25">
      <c r="F1088" s="32">
        <v>3</v>
      </c>
      <c r="G1088" s="32">
        <v>1258</v>
      </c>
      <c r="H1088" s="28" t="s">
        <v>1108</v>
      </c>
    </row>
    <row r="1089" spans="6:8" x14ac:dyDescent="0.25">
      <c r="F1089" s="32">
        <v>3</v>
      </c>
      <c r="G1089" s="32">
        <v>1259</v>
      </c>
      <c r="H1089" s="28" t="s">
        <v>1109</v>
      </c>
    </row>
    <row r="1090" spans="6:8" x14ac:dyDescent="0.25">
      <c r="F1090" s="32">
        <v>3</v>
      </c>
      <c r="G1090" s="32">
        <v>1260</v>
      </c>
      <c r="H1090" s="28" t="s">
        <v>1110</v>
      </c>
    </row>
    <row r="1091" spans="6:8" x14ac:dyDescent="0.25">
      <c r="F1091" s="32">
        <v>3</v>
      </c>
      <c r="G1091" s="32">
        <v>1261</v>
      </c>
      <c r="H1091" s="28" t="s">
        <v>1111</v>
      </c>
    </row>
    <row r="1092" spans="6:8" x14ac:dyDescent="0.25">
      <c r="F1092" s="32">
        <v>3</v>
      </c>
      <c r="G1092" s="32">
        <v>1262</v>
      </c>
      <c r="H1092" s="28" t="s">
        <v>1112</v>
      </c>
    </row>
    <row r="1093" spans="6:8" x14ac:dyDescent="0.25">
      <c r="F1093" s="32">
        <v>3</v>
      </c>
      <c r="G1093" s="32">
        <v>1263</v>
      </c>
      <c r="H1093" s="28" t="s">
        <v>1113</v>
      </c>
    </row>
    <row r="1094" spans="6:8" x14ac:dyDescent="0.25">
      <c r="F1094" s="32">
        <v>3</v>
      </c>
      <c r="G1094" s="32">
        <v>1264</v>
      </c>
      <c r="H1094" s="28" t="s">
        <v>1114</v>
      </c>
    </row>
    <row r="1095" spans="6:8" x14ac:dyDescent="0.25">
      <c r="F1095" s="32">
        <v>3</v>
      </c>
      <c r="G1095" s="32">
        <v>1265</v>
      </c>
      <c r="H1095" s="28" t="s">
        <v>1115</v>
      </c>
    </row>
    <row r="1096" spans="6:8" x14ac:dyDescent="0.25">
      <c r="F1096" s="32">
        <v>3</v>
      </c>
      <c r="G1096" s="32">
        <v>1266</v>
      </c>
      <c r="H1096" s="28" t="s">
        <v>1116</v>
      </c>
    </row>
    <row r="1097" spans="6:8" x14ac:dyDescent="0.25">
      <c r="F1097" s="32">
        <v>3</v>
      </c>
      <c r="G1097" s="32">
        <v>1268</v>
      </c>
      <c r="H1097" s="28" t="s">
        <v>1117</v>
      </c>
    </row>
    <row r="1098" spans="6:8" x14ac:dyDescent="0.25">
      <c r="F1098" s="32">
        <v>3</v>
      </c>
      <c r="G1098" s="32">
        <v>1269</v>
      </c>
      <c r="H1098" s="28" t="s">
        <v>1118</v>
      </c>
    </row>
    <row r="1099" spans="6:8" x14ac:dyDescent="0.25">
      <c r="F1099" s="32">
        <v>3</v>
      </c>
      <c r="G1099" s="32">
        <v>1270</v>
      </c>
      <c r="H1099" s="28" t="s">
        <v>1119</v>
      </c>
    </row>
    <row r="1100" spans="6:8" x14ac:dyDescent="0.25">
      <c r="F1100" s="32">
        <v>3</v>
      </c>
      <c r="G1100" s="32">
        <v>1271</v>
      </c>
      <c r="H1100" s="28" t="s">
        <v>1120</v>
      </c>
    </row>
    <row r="1101" spans="6:8" x14ac:dyDescent="0.25">
      <c r="F1101" s="32">
        <v>3</v>
      </c>
      <c r="G1101" s="32">
        <v>1272</v>
      </c>
      <c r="H1101" s="28" t="s">
        <v>1121</v>
      </c>
    </row>
    <row r="1102" spans="6:8" x14ac:dyDescent="0.25">
      <c r="F1102" s="32">
        <v>3</v>
      </c>
      <c r="G1102" s="32">
        <v>1273</v>
      </c>
      <c r="H1102" s="28" t="s">
        <v>1122</v>
      </c>
    </row>
    <row r="1103" spans="6:8" x14ac:dyDescent="0.25">
      <c r="F1103" s="32">
        <v>3</v>
      </c>
      <c r="G1103" s="32">
        <v>1274</v>
      </c>
      <c r="H1103" s="28" t="s">
        <v>1123</v>
      </c>
    </row>
    <row r="1104" spans="6:8" x14ac:dyDescent="0.25">
      <c r="F1104" s="32">
        <v>3</v>
      </c>
      <c r="G1104" s="32">
        <v>1275</v>
      </c>
      <c r="H1104" s="28" t="s">
        <v>1124</v>
      </c>
    </row>
    <row r="1105" spans="6:8" x14ac:dyDescent="0.25">
      <c r="F1105" s="32">
        <v>3</v>
      </c>
      <c r="G1105" s="32">
        <v>1277</v>
      </c>
      <c r="H1105" s="28" t="s">
        <v>1125</v>
      </c>
    </row>
    <row r="1106" spans="6:8" x14ac:dyDescent="0.25">
      <c r="F1106" s="32">
        <v>3</v>
      </c>
      <c r="G1106" s="32">
        <v>1278</v>
      </c>
      <c r="H1106" s="28" t="s">
        <v>1126</v>
      </c>
    </row>
    <row r="1107" spans="6:8" x14ac:dyDescent="0.25">
      <c r="F1107" s="32">
        <v>3</v>
      </c>
      <c r="G1107" s="32">
        <v>1279</v>
      </c>
      <c r="H1107" s="28" t="s">
        <v>1127</v>
      </c>
    </row>
    <row r="1108" spans="6:8" x14ac:dyDescent="0.25">
      <c r="F1108" s="32">
        <v>3</v>
      </c>
      <c r="G1108" s="32">
        <v>1280</v>
      </c>
      <c r="H1108" s="28" t="s">
        <v>1128</v>
      </c>
    </row>
    <row r="1109" spans="6:8" x14ac:dyDescent="0.25">
      <c r="F1109" s="32">
        <v>3</v>
      </c>
      <c r="G1109" s="32">
        <v>1281</v>
      </c>
      <c r="H1109" s="28" t="s">
        <v>1129</v>
      </c>
    </row>
    <row r="1110" spans="6:8" x14ac:dyDescent="0.25">
      <c r="F1110" s="32">
        <v>3</v>
      </c>
      <c r="G1110" s="32">
        <v>1282</v>
      </c>
      <c r="H1110" s="28" t="s">
        <v>1130</v>
      </c>
    </row>
    <row r="1111" spans="6:8" x14ac:dyDescent="0.25">
      <c r="F1111" s="32">
        <v>3</v>
      </c>
      <c r="G1111" s="32">
        <v>1283</v>
      </c>
      <c r="H1111" s="28" t="s">
        <v>1131</v>
      </c>
    </row>
    <row r="1112" spans="6:8" x14ac:dyDescent="0.25">
      <c r="F1112" s="32">
        <v>3</v>
      </c>
      <c r="G1112" s="32">
        <v>1284</v>
      </c>
      <c r="H1112" s="28" t="s">
        <v>1132</v>
      </c>
    </row>
    <row r="1113" spans="6:8" x14ac:dyDescent="0.25">
      <c r="F1113" s="32">
        <v>3</v>
      </c>
      <c r="G1113" s="32">
        <v>1285</v>
      </c>
      <c r="H1113" s="28" t="s">
        <v>1133</v>
      </c>
    </row>
    <row r="1114" spans="6:8" x14ac:dyDescent="0.25">
      <c r="F1114" s="32">
        <v>3</v>
      </c>
      <c r="G1114" s="32">
        <v>1286</v>
      </c>
      <c r="H1114" s="28" t="s">
        <v>1134</v>
      </c>
    </row>
    <row r="1115" spans="6:8" x14ac:dyDescent="0.25">
      <c r="F1115" s="32">
        <v>3</v>
      </c>
      <c r="G1115" s="32">
        <v>1287</v>
      </c>
      <c r="H1115" s="28" t="s">
        <v>1135</v>
      </c>
    </row>
    <row r="1116" spans="6:8" x14ac:dyDescent="0.25">
      <c r="F1116" s="32">
        <v>3</v>
      </c>
      <c r="G1116" s="32">
        <v>1288</v>
      </c>
      <c r="H1116" s="28" t="s">
        <v>1136</v>
      </c>
    </row>
    <row r="1117" spans="6:8" x14ac:dyDescent="0.25">
      <c r="F1117" s="32">
        <v>3</v>
      </c>
      <c r="G1117" s="32">
        <v>1289</v>
      </c>
      <c r="H1117" s="28" t="s">
        <v>1137</v>
      </c>
    </row>
    <row r="1118" spans="6:8" x14ac:dyDescent="0.25">
      <c r="F1118" s="32">
        <v>3</v>
      </c>
      <c r="G1118" s="32">
        <v>1290</v>
      </c>
      <c r="H1118" s="28" t="s">
        <v>1138</v>
      </c>
    </row>
    <row r="1119" spans="6:8" x14ac:dyDescent="0.25">
      <c r="F1119" s="32">
        <v>3</v>
      </c>
      <c r="G1119" s="32">
        <v>1291</v>
      </c>
      <c r="H1119" s="28" t="s">
        <v>1139</v>
      </c>
    </row>
    <row r="1120" spans="6:8" x14ac:dyDescent="0.25">
      <c r="F1120" s="32">
        <v>3</v>
      </c>
      <c r="G1120" s="32">
        <v>1292</v>
      </c>
      <c r="H1120" s="28" t="s">
        <v>1140</v>
      </c>
    </row>
    <row r="1121" spans="6:8" x14ac:dyDescent="0.25">
      <c r="F1121" s="32">
        <v>3</v>
      </c>
      <c r="G1121" s="32">
        <v>1293</v>
      </c>
      <c r="H1121" s="28" t="s">
        <v>1141</v>
      </c>
    </row>
    <row r="1122" spans="6:8" x14ac:dyDescent="0.25">
      <c r="F1122" s="32">
        <v>3</v>
      </c>
      <c r="G1122" s="32">
        <v>1294</v>
      </c>
      <c r="H1122" s="28" t="s">
        <v>1142</v>
      </c>
    </row>
    <row r="1123" spans="6:8" x14ac:dyDescent="0.25">
      <c r="F1123" s="32">
        <v>3</v>
      </c>
      <c r="G1123" s="32">
        <v>1295</v>
      </c>
      <c r="H1123" s="28" t="s">
        <v>1143</v>
      </c>
    </row>
    <row r="1124" spans="6:8" x14ac:dyDescent="0.25">
      <c r="F1124" s="32">
        <v>3</v>
      </c>
      <c r="G1124" s="32">
        <v>1296</v>
      </c>
      <c r="H1124" s="28" t="s">
        <v>1144</v>
      </c>
    </row>
    <row r="1125" spans="6:8" x14ac:dyDescent="0.25">
      <c r="F1125" s="32">
        <v>3</v>
      </c>
      <c r="G1125" s="32">
        <v>1297</v>
      </c>
      <c r="H1125" s="28" t="s">
        <v>1145</v>
      </c>
    </row>
    <row r="1126" spans="6:8" x14ac:dyDescent="0.25">
      <c r="F1126" s="32">
        <v>3</v>
      </c>
      <c r="G1126" s="32">
        <v>1298</v>
      </c>
      <c r="H1126" s="28" t="s">
        <v>1146</v>
      </c>
    </row>
    <row r="1127" spans="6:8" x14ac:dyDescent="0.25">
      <c r="F1127" s="32">
        <v>3</v>
      </c>
      <c r="G1127" s="32">
        <v>1300</v>
      </c>
      <c r="H1127" s="28" t="s">
        <v>1147</v>
      </c>
    </row>
    <row r="1128" spans="6:8" x14ac:dyDescent="0.25">
      <c r="F1128" s="32">
        <v>3</v>
      </c>
      <c r="G1128" s="32">
        <v>1301</v>
      </c>
      <c r="H1128" s="28" t="s">
        <v>1148</v>
      </c>
    </row>
    <row r="1129" spans="6:8" x14ac:dyDescent="0.25">
      <c r="F1129" s="32">
        <v>3</v>
      </c>
      <c r="G1129" s="32">
        <v>1302</v>
      </c>
      <c r="H1129" s="28" t="s">
        <v>1149</v>
      </c>
    </row>
    <row r="1130" spans="6:8" x14ac:dyDescent="0.25">
      <c r="F1130" s="32">
        <v>3</v>
      </c>
      <c r="G1130" s="32">
        <v>1303</v>
      </c>
      <c r="H1130" s="28" t="s">
        <v>1150</v>
      </c>
    </row>
    <row r="1131" spans="6:8" x14ac:dyDescent="0.25">
      <c r="F1131" s="32">
        <v>3</v>
      </c>
      <c r="G1131" s="32">
        <v>1304</v>
      </c>
      <c r="H1131" s="28" t="s">
        <v>1151</v>
      </c>
    </row>
    <row r="1132" spans="6:8" x14ac:dyDescent="0.25">
      <c r="F1132" s="32">
        <v>3</v>
      </c>
      <c r="G1132" s="32">
        <v>1305</v>
      </c>
      <c r="H1132" s="28" t="s">
        <v>1152</v>
      </c>
    </row>
    <row r="1133" spans="6:8" x14ac:dyDescent="0.25">
      <c r="F1133" s="32">
        <v>3</v>
      </c>
      <c r="G1133" s="32">
        <v>1306</v>
      </c>
      <c r="H1133" s="28" t="s">
        <v>1153</v>
      </c>
    </row>
    <row r="1134" spans="6:8" x14ac:dyDescent="0.25">
      <c r="F1134" s="32">
        <v>3</v>
      </c>
      <c r="G1134" s="32">
        <v>1307</v>
      </c>
      <c r="H1134" s="28" t="s">
        <v>1154</v>
      </c>
    </row>
    <row r="1135" spans="6:8" x14ac:dyDescent="0.25">
      <c r="F1135" s="32">
        <v>3</v>
      </c>
      <c r="G1135" s="32">
        <v>1308</v>
      </c>
      <c r="H1135" s="28" t="s">
        <v>1155</v>
      </c>
    </row>
    <row r="1136" spans="6:8" x14ac:dyDescent="0.25">
      <c r="F1136" s="32">
        <v>3</v>
      </c>
      <c r="G1136" s="32">
        <v>1309</v>
      </c>
      <c r="H1136" s="28" t="s">
        <v>1156</v>
      </c>
    </row>
    <row r="1137" spans="6:8" x14ac:dyDescent="0.25">
      <c r="F1137" s="32">
        <v>3</v>
      </c>
      <c r="G1137" s="32">
        <v>1310</v>
      </c>
      <c r="H1137" s="28" t="s">
        <v>1157</v>
      </c>
    </row>
    <row r="1138" spans="6:8" x14ac:dyDescent="0.25">
      <c r="F1138" s="32">
        <v>3</v>
      </c>
      <c r="G1138" s="32">
        <v>1311</v>
      </c>
      <c r="H1138" s="28" t="s">
        <v>1158</v>
      </c>
    </row>
    <row r="1139" spans="6:8" x14ac:dyDescent="0.25">
      <c r="F1139" s="32">
        <v>3</v>
      </c>
      <c r="G1139" s="32">
        <v>1312</v>
      </c>
      <c r="H1139" s="28" t="s">
        <v>1159</v>
      </c>
    </row>
    <row r="1140" spans="6:8" x14ac:dyDescent="0.25">
      <c r="F1140" s="32">
        <v>3</v>
      </c>
      <c r="G1140" s="32">
        <v>1314</v>
      </c>
      <c r="H1140" s="28" t="s">
        <v>1160</v>
      </c>
    </row>
    <row r="1141" spans="6:8" x14ac:dyDescent="0.25">
      <c r="F1141" s="32">
        <v>3</v>
      </c>
      <c r="G1141" s="32">
        <v>1315</v>
      </c>
      <c r="H1141" s="28" t="s">
        <v>1161</v>
      </c>
    </row>
    <row r="1142" spans="6:8" x14ac:dyDescent="0.25">
      <c r="F1142" s="32">
        <v>3</v>
      </c>
      <c r="G1142" s="32">
        <v>1316</v>
      </c>
      <c r="H1142" s="28" t="s">
        <v>1162</v>
      </c>
    </row>
    <row r="1143" spans="6:8" x14ac:dyDescent="0.25">
      <c r="F1143" s="32">
        <v>3</v>
      </c>
      <c r="G1143" s="32">
        <v>1317</v>
      </c>
      <c r="H1143" s="28" t="s">
        <v>1163</v>
      </c>
    </row>
    <row r="1144" spans="6:8" x14ac:dyDescent="0.25">
      <c r="F1144" s="32">
        <v>3</v>
      </c>
      <c r="G1144" s="32">
        <v>1318</v>
      </c>
      <c r="H1144" s="28" t="s">
        <v>1164</v>
      </c>
    </row>
    <row r="1145" spans="6:8" x14ac:dyDescent="0.25">
      <c r="F1145" s="32">
        <v>3</v>
      </c>
      <c r="G1145" s="32">
        <v>1319</v>
      </c>
      <c r="H1145" s="28" t="s">
        <v>1165</v>
      </c>
    </row>
    <row r="1146" spans="6:8" x14ac:dyDescent="0.25">
      <c r="F1146" s="32">
        <v>3</v>
      </c>
      <c r="G1146" s="32">
        <v>1320</v>
      </c>
      <c r="H1146" s="28" t="s">
        <v>1166</v>
      </c>
    </row>
    <row r="1147" spans="6:8" x14ac:dyDescent="0.25">
      <c r="F1147" s="32">
        <v>3</v>
      </c>
      <c r="G1147" s="32">
        <v>1321</v>
      </c>
      <c r="H1147" s="28" t="s">
        <v>1167</v>
      </c>
    </row>
    <row r="1148" spans="6:8" x14ac:dyDescent="0.25">
      <c r="F1148" s="32">
        <v>3</v>
      </c>
      <c r="G1148" s="32">
        <v>1322</v>
      </c>
      <c r="H1148" s="28" t="s">
        <v>1168</v>
      </c>
    </row>
    <row r="1149" spans="6:8" x14ac:dyDescent="0.25">
      <c r="F1149" s="32">
        <v>3</v>
      </c>
      <c r="G1149" s="32">
        <v>1323</v>
      </c>
      <c r="H1149" s="28" t="s">
        <v>1169</v>
      </c>
    </row>
    <row r="1150" spans="6:8" x14ac:dyDescent="0.25">
      <c r="F1150" s="32">
        <v>3</v>
      </c>
      <c r="G1150" s="32">
        <v>1324</v>
      </c>
      <c r="H1150" s="28" t="s">
        <v>1170</v>
      </c>
    </row>
    <row r="1151" spans="6:8" x14ac:dyDescent="0.25">
      <c r="F1151" s="32">
        <v>3</v>
      </c>
      <c r="G1151" s="32">
        <v>1325</v>
      </c>
      <c r="H1151" s="28" t="s">
        <v>1171</v>
      </c>
    </row>
    <row r="1152" spans="6:8" x14ac:dyDescent="0.25">
      <c r="F1152" s="32">
        <v>3</v>
      </c>
      <c r="G1152" s="32">
        <v>1326</v>
      </c>
      <c r="H1152" s="28" t="s">
        <v>1172</v>
      </c>
    </row>
    <row r="1153" spans="6:8" x14ac:dyDescent="0.25">
      <c r="F1153" s="32">
        <v>3</v>
      </c>
      <c r="G1153" s="32">
        <v>1327</v>
      </c>
      <c r="H1153" s="28" t="s">
        <v>1173</v>
      </c>
    </row>
    <row r="1154" spans="6:8" x14ac:dyDescent="0.25">
      <c r="F1154" s="32">
        <v>3</v>
      </c>
      <c r="G1154" s="32">
        <v>1328</v>
      </c>
      <c r="H1154" s="28" t="s">
        <v>1174</v>
      </c>
    </row>
    <row r="1155" spans="6:8" x14ac:dyDescent="0.25">
      <c r="F1155" s="32">
        <v>3</v>
      </c>
      <c r="G1155" s="32">
        <v>1329</v>
      </c>
      <c r="H1155" s="28" t="s">
        <v>1175</v>
      </c>
    </row>
    <row r="1156" spans="6:8" x14ac:dyDescent="0.25">
      <c r="F1156" s="32">
        <v>3</v>
      </c>
      <c r="G1156" s="32">
        <v>1330</v>
      </c>
      <c r="H1156" s="28" t="s">
        <v>1176</v>
      </c>
    </row>
    <row r="1157" spans="6:8" x14ac:dyDescent="0.25">
      <c r="F1157" s="32">
        <v>3</v>
      </c>
      <c r="G1157" s="32">
        <v>1331</v>
      </c>
      <c r="H1157" s="28" t="s">
        <v>1177</v>
      </c>
    </row>
    <row r="1158" spans="6:8" x14ac:dyDescent="0.25">
      <c r="F1158" s="32">
        <v>3</v>
      </c>
      <c r="G1158" s="32">
        <v>1332</v>
      </c>
      <c r="H1158" s="28" t="s">
        <v>1178</v>
      </c>
    </row>
    <row r="1159" spans="6:8" x14ac:dyDescent="0.25">
      <c r="F1159" s="32">
        <v>3</v>
      </c>
      <c r="G1159" s="32">
        <v>1333</v>
      </c>
      <c r="H1159" s="28" t="s">
        <v>1179</v>
      </c>
    </row>
    <row r="1160" spans="6:8" x14ac:dyDescent="0.25">
      <c r="F1160" s="32">
        <v>3</v>
      </c>
      <c r="G1160" s="32">
        <v>1334</v>
      </c>
      <c r="H1160" s="28" t="s">
        <v>1180</v>
      </c>
    </row>
    <row r="1161" spans="6:8" x14ac:dyDescent="0.25">
      <c r="F1161" s="32">
        <v>3</v>
      </c>
      <c r="G1161" s="32">
        <v>1335</v>
      </c>
      <c r="H1161" s="28" t="s">
        <v>1181</v>
      </c>
    </row>
    <row r="1162" spans="6:8" x14ac:dyDescent="0.25">
      <c r="F1162" s="32">
        <v>3</v>
      </c>
      <c r="G1162" s="32">
        <v>1336</v>
      </c>
      <c r="H1162" s="28" t="s">
        <v>1182</v>
      </c>
    </row>
    <row r="1163" spans="6:8" x14ac:dyDescent="0.25">
      <c r="F1163" s="32">
        <v>3</v>
      </c>
      <c r="G1163" s="32">
        <v>1337</v>
      </c>
      <c r="H1163" s="28" t="s">
        <v>1183</v>
      </c>
    </row>
    <row r="1164" spans="6:8" x14ac:dyDescent="0.25">
      <c r="F1164" s="32">
        <v>3</v>
      </c>
      <c r="G1164" s="32">
        <v>1338</v>
      </c>
      <c r="H1164" s="28" t="s">
        <v>1184</v>
      </c>
    </row>
    <row r="1165" spans="6:8" x14ac:dyDescent="0.25">
      <c r="F1165" s="32">
        <v>3</v>
      </c>
      <c r="G1165" s="32">
        <v>1339</v>
      </c>
      <c r="H1165" s="28" t="s">
        <v>1185</v>
      </c>
    </row>
    <row r="1166" spans="6:8" x14ac:dyDescent="0.25">
      <c r="F1166" s="32">
        <v>3</v>
      </c>
      <c r="G1166" s="32">
        <v>1340</v>
      </c>
      <c r="H1166" s="28" t="s">
        <v>1186</v>
      </c>
    </row>
    <row r="1167" spans="6:8" x14ac:dyDescent="0.25">
      <c r="F1167" s="32">
        <v>3</v>
      </c>
      <c r="G1167" s="32">
        <v>1341</v>
      </c>
      <c r="H1167" s="28" t="s">
        <v>1187</v>
      </c>
    </row>
    <row r="1168" spans="6:8" x14ac:dyDescent="0.25">
      <c r="F1168" s="32">
        <v>3</v>
      </c>
      <c r="G1168" s="32">
        <v>1342</v>
      </c>
      <c r="H1168" s="28" t="s">
        <v>1188</v>
      </c>
    </row>
    <row r="1169" spans="6:8" x14ac:dyDescent="0.25">
      <c r="F1169" s="32">
        <v>3</v>
      </c>
      <c r="G1169" s="32">
        <v>1343</v>
      </c>
      <c r="H1169" s="28" t="s">
        <v>1189</v>
      </c>
    </row>
    <row r="1170" spans="6:8" x14ac:dyDescent="0.25">
      <c r="F1170" s="32">
        <v>3</v>
      </c>
      <c r="G1170" s="32">
        <v>1344</v>
      </c>
      <c r="H1170" s="28" t="s">
        <v>1190</v>
      </c>
    </row>
    <row r="1171" spans="6:8" x14ac:dyDescent="0.25">
      <c r="F1171" s="32">
        <v>3</v>
      </c>
      <c r="G1171" s="32">
        <v>1345</v>
      </c>
      <c r="H1171" s="28" t="s">
        <v>1191</v>
      </c>
    </row>
    <row r="1172" spans="6:8" x14ac:dyDescent="0.25">
      <c r="F1172" s="32">
        <v>3</v>
      </c>
      <c r="G1172" s="32">
        <v>1346</v>
      </c>
      <c r="H1172" s="28" t="s">
        <v>1192</v>
      </c>
    </row>
    <row r="1173" spans="6:8" x14ac:dyDescent="0.25">
      <c r="F1173" s="32">
        <v>3</v>
      </c>
      <c r="G1173" s="32">
        <v>1347</v>
      </c>
      <c r="H1173" s="28" t="s">
        <v>1193</v>
      </c>
    </row>
    <row r="1174" spans="6:8" x14ac:dyDescent="0.25">
      <c r="F1174" s="32">
        <v>3</v>
      </c>
      <c r="G1174" s="32">
        <v>1348</v>
      </c>
      <c r="H1174" s="28" t="s">
        <v>1194</v>
      </c>
    </row>
    <row r="1175" spans="6:8" x14ac:dyDescent="0.25">
      <c r="F1175" s="32">
        <v>3</v>
      </c>
      <c r="G1175" s="32">
        <v>1349</v>
      </c>
      <c r="H1175" s="28" t="s">
        <v>1195</v>
      </c>
    </row>
    <row r="1176" spans="6:8" x14ac:dyDescent="0.25">
      <c r="F1176" s="32">
        <v>3</v>
      </c>
      <c r="G1176" s="32">
        <v>1350</v>
      </c>
      <c r="H1176" s="28" t="s">
        <v>1196</v>
      </c>
    </row>
    <row r="1177" spans="6:8" x14ac:dyDescent="0.25">
      <c r="F1177" s="32">
        <v>3</v>
      </c>
      <c r="G1177" s="32">
        <v>1351</v>
      </c>
      <c r="H1177" s="28" t="s">
        <v>1197</v>
      </c>
    </row>
    <row r="1178" spans="6:8" x14ac:dyDescent="0.25">
      <c r="F1178" s="32">
        <v>3</v>
      </c>
      <c r="G1178" s="32">
        <v>1352</v>
      </c>
      <c r="H1178" s="28" t="s">
        <v>1198</v>
      </c>
    </row>
    <row r="1179" spans="6:8" x14ac:dyDescent="0.25">
      <c r="F1179" s="32">
        <v>3</v>
      </c>
      <c r="G1179" s="32">
        <v>1353</v>
      </c>
      <c r="H1179" s="28" t="s">
        <v>1199</v>
      </c>
    </row>
    <row r="1180" spans="6:8" x14ac:dyDescent="0.25">
      <c r="F1180" s="32">
        <v>3</v>
      </c>
      <c r="G1180" s="32">
        <v>1354</v>
      </c>
      <c r="H1180" s="28" t="s">
        <v>1200</v>
      </c>
    </row>
    <row r="1181" spans="6:8" x14ac:dyDescent="0.25">
      <c r="F1181" s="32">
        <v>3</v>
      </c>
      <c r="G1181" s="32">
        <v>1355</v>
      </c>
      <c r="H1181" s="28" t="s">
        <v>1201</v>
      </c>
    </row>
    <row r="1182" spans="6:8" x14ac:dyDescent="0.25">
      <c r="F1182" s="32">
        <v>3</v>
      </c>
      <c r="G1182" s="32">
        <v>1356</v>
      </c>
      <c r="H1182" s="28" t="s">
        <v>1202</v>
      </c>
    </row>
    <row r="1183" spans="6:8" x14ac:dyDescent="0.25">
      <c r="F1183" s="32">
        <v>3</v>
      </c>
      <c r="G1183" s="32">
        <v>1357</v>
      </c>
      <c r="H1183" s="28" t="s">
        <v>1203</v>
      </c>
    </row>
    <row r="1184" spans="6:8" x14ac:dyDescent="0.25">
      <c r="F1184" s="32">
        <v>3</v>
      </c>
      <c r="G1184" s="32">
        <v>1358</v>
      </c>
      <c r="H1184" s="28" t="s">
        <v>1204</v>
      </c>
    </row>
    <row r="1185" spans="6:8" x14ac:dyDescent="0.25">
      <c r="F1185" s="32">
        <v>3</v>
      </c>
      <c r="G1185" s="32">
        <v>1359</v>
      </c>
      <c r="H1185" s="28" t="s">
        <v>1205</v>
      </c>
    </row>
    <row r="1186" spans="6:8" x14ac:dyDescent="0.25">
      <c r="F1186" s="32">
        <v>3</v>
      </c>
      <c r="G1186" s="32">
        <v>1360</v>
      </c>
      <c r="H1186" s="28" t="s">
        <v>1206</v>
      </c>
    </row>
    <row r="1187" spans="6:8" x14ac:dyDescent="0.25">
      <c r="F1187" s="32">
        <v>3</v>
      </c>
      <c r="G1187" s="32">
        <v>1361</v>
      </c>
      <c r="H1187" s="28" t="s">
        <v>1207</v>
      </c>
    </row>
    <row r="1188" spans="6:8" x14ac:dyDescent="0.25">
      <c r="F1188" s="32">
        <v>3</v>
      </c>
      <c r="G1188" s="32">
        <v>1362</v>
      </c>
      <c r="H1188" s="28" t="s">
        <v>1208</v>
      </c>
    </row>
    <row r="1189" spans="6:8" x14ac:dyDescent="0.25">
      <c r="F1189" s="32">
        <v>3</v>
      </c>
      <c r="G1189" s="32">
        <v>1363</v>
      </c>
      <c r="H1189" s="28" t="s">
        <v>1209</v>
      </c>
    </row>
    <row r="1190" spans="6:8" x14ac:dyDescent="0.25">
      <c r="F1190" s="32">
        <v>3</v>
      </c>
      <c r="G1190" s="32">
        <v>1364</v>
      </c>
      <c r="H1190" s="28" t="s">
        <v>1210</v>
      </c>
    </row>
    <row r="1191" spans="6:8" x14ac:dyDescent="0.25">
      <c r="F1191" s="32">
        <v>3</v>
      </c>
      <c r="G1191" s="32">
        <v>1365</v>
      </c>
      <c r="H1191" s="28" t="s">
        <v>1211</v>
      </c>
    </row>
    <row r="1192" spans="6:8" x14ac:dyDescent="0.25">
      <c r="F1192" s="32">
        <v>3</v>
      </c>
      <c r="G1192" s="32">
        <v>1366</v>
      </c>
      <c r="H1192" s="28" t="s">
        <v>1212</v>
      </c>
    </row>
    <row r="1193" spans="6:8" x14ac:dyDescent="0.25">
      <c r="F1193" s="32">
        <v>3</v>
      </c>
      <c r="G1193" s="32">
        <v>1367</v>
      </c>
      <c r="H1193" s="28" t="s">
        <v>1213</v>
      </c>
    </row>
    <row r="1194" spans="6:8" x14ac:dyDescent="0.25">
      <c r="F1194" s="32">
        <v>3</v>
      </c>
      <c r="G1194" s="32">
        <v>1368</v>
      </c>
      <c r="H1194" s="28" t="s">
        <v>1214</v>
      </c>
    </row>
    <row r="1195" spans="6:8" x14ac:dyDescent="0.25">
      <c r="F1195" s="32">
        <v>3</v>
      </c>
      <c r="G1195" s="32">
        <v>1369</v>
      </c>
      <c r="H1195" s="28" t="s">
        <v>1215</v>
      </c>
    </row>
    <row r="1196" spans="6:8" x14ac:dyDescent="0.25">
      <c r="F1196" s="32">
        <v>3</v>
      </c>
      <c r="G1196" s="32">
        <v>1370</v>
      </c>
      <c r="H1196" s="28" t="s">
        <v>1216</v>
      </c>
    </row>
    <row r="1197" spans="6:8" x14ac:dyDescent="0.25">
      <c r="F1197" s="32">
        <v>3</v>
      </c>
      <c r="G1197" s="32">
        <v>1371</v>
      </c>
      <c r="H1197" s="28" t="s">
        <v>1217</v>
      </c>
    </row>
    <row r="1198" spans="6:8" x14ac:dyDescent="0.25">
      <c r="F1198" s="32">
        <v>3</v>
      </c>
      <c r="G1198" s="32">
        <v>1372</v>
      </c>
      <c r="H1198" s="28" t="s">
        <v>1218</v>
      </c>
    </row>
    <row r="1199" spans="6:8" x14ac:dyDescent="0.25">
      <c r="F1199" s="32">
        <v>3</v>
      </c>
      <c r="G1199" s="32">
        <v>1373</v>
      </c>
      <c r="H1199" s="28" t="s">
        <v>1219</v>
      </c>
    </row>
    <row r="1200" spans="6:8" x14ac:dyDescent="0.25">
      <c r="F1200" s="32">
        <v>3</v>
      </c>
      <c r="G1200" s="32">
        <v>1374</v>
      </c>
      <c r="H1200" s="28" t="s">
        <v>1220</v>
      </c>
    </row>
    <row r="1201" spans="6:8" x14ac:dyDescent="0.25">
      <c r="F1201" s="32">
        <v>3</v>
      </c>
      <c r="G1201" s="32">
        <v>1375</v>
      </c>
      <c r="H1201" s="28" t="s">
        <v>1221</v>
      </c>
    </row>
    <row r="1202" spans="6:8" x14ac:dyDescent="0.25">
      <c r="F1202" s="32">
        <v>3</v>
      </c>
      <c r="G1202" s="32">
        <v>1376</v>
      </c>
      <c r="H1202" s="28" t="s">
        <v>1222</v>
      </c>
    </row>
    <row r="1203" spans="6:8" x14ac:dyDescent="0.25">
      <c r="F1203" s="32">
        <v>3</v>
      </c>
      <c r="G1203" s="32">
        <v>1377</v>
      </c>
      <c r="H1203" s="28" t="s">
        <v>1223</v>
      </c>
    </row>
    <row r="1204" spans="6:8" x14ac:dyDescent="0.25">
      <c r="F1204" s="32">
        <v>3</v>
      </c>
      <c r="G1204" s="32">
        <v>1378</v>
      </c>
      <c r="H1204" s="28" t="s">
        <v>1224</v>
      </c>
    </row>
    <row r="1205" spans="6:8" x14ac:dyDescent="0.25">
      <c r="F1205" s="32">
        <v>3</v>
      </c>
      <c r="G1205" s="32">
        <v>1379</v>
      </c>
      <c r="H1205" s="28" t="s">
        <v>1225</v>
      </c>
    </row>
    <row r="1206" spans="6:8" x14ac:dyDescent="0.25">
      <c r="F1206" s="32">
        <v>3</v>
      </c>
      <c r="G1206" s="32">
        <v>1380</v>
      </c>
      <c r="H1206" s="28" t="s">
        <v>1226</v>
      </c>
    </row>
    <row r="1207" spans="6:8" x14ac:dyDescent="0.25">
      <c r="F1207" s="32">
        <v>3</v>
      </c>
      <c r="G1207" s="32">
        <v>1381</v>
      </c>
      <c r="H1207" s="28" t="s">
        <v>1227</v>
      </c>
    </row>
    <row r="1208" spans="6:8" x14ac:dyDescent="0.25">
      <c r="F1208" s="32">
        <v>3</v>
      </c>
      <c r="G1208" s="32">
        <v>1382</v>
      </c>
      <c r="H1208" s="28" t="s">
        <v>1228</v>
      </c>
    </row>
    <row r="1209" spans="6:8" x14ac:dyDescent="0.25">
      <c r="F1209" s="32">
        <v>3</v>
      </c>
      <c r="G1209" s="32">
        <v>1383</v>
      </c>
      <c r="H1209" s="28" t="s">
        <v>1229</v>
      </c>
    </row>
    <row r="1210" spans="6:8" x14ac:dyDescent="0.25">
      <c r="F1210" s="32">
        <v>3</v>
      </c>
      <c r="G1210" s="32">
        <v>1384</v>
      </c>
      <c r="H1210" s="28" t="s">
        <v>1230</v>
      </c>
    </row>
    <row r="1211" spans="6:8" x14ac:dyDescent="0.25">
      <c r="F1211" s="32">
        <v>3</v>
      </c>
      <c r="G1211" s="32">
        <v>1385</v>
      </c>
      <c r="H1211" s="28" t="s">
        <v>1231</v>
      </c>
    </row>
    <row r="1212" spans="6:8" x14ac:dyDescent="0.25">
      <c r="F1212" s="32">
        <v>3</v>
      </c>
      <c r="G1212" s="32">
        <v>1386</v>
      </c>
      <c r="H1212" s="28" t="s">
        <v>1232</v>
      </c>
    </row>
    <row r="1213" spans="6:8" x14ac:dyDescent="0.25">
      <c r="F1213" s="32">
        <v>3</v>
      </c>
      <c r="G1213" s="32">
        <v>1387</v>
      </c>
      <c r="H1213" s="28" t="s">
        <v>1233</v>
      </c>
    </row>
    <row r="1214" spans="6:8" x14ac:dyDescent="0.25">
      <c r="F1214" s="32">
        <v>3</v>
      </c>
      <c r="G1214" s="32">
        <v>1388</v>
      </c>
      <c r="H1214" s="28" t="s">
        <v>1234</v>
      </c>
    </row>
    <row r="1215" spans="6:8" x14ac:dyDescent="0.25">
      <c r="F1215" s="32">
        <v>3</v>
      </c>
      <c r="G1215" s="32">
        <v>1389</v>
      </c>
      <c r="H1215" s="28" t="s">
        <v>1235</v>
      </c>
    </row>
    <row r="1216" spans="6:8" x14ac:dyDescent="0.25">
      <c r="F1216" s="32">
        <v>3</v>
      </c>
      <c r="G1216" s="32">
        <v>1390</v>
      </c>
      <c r="H1216" s="28" t="s">
        <v>1236</v>
      </c>
    </row>
    <row r="1217" spans="6:8" x14ac:dyDescent="0.25">
      <c r="F1217" s="32">
        <v>3</v>
      </c>
      <c r="G1217" s="32">
        <v>1391</v>
      </c>
      <c r="H1217" s="28" t="s">
        <v>1237</v>
      </c>
    </row>
    <row r="1218" spans="6:8" x14ac:dyDescent="0.25">
      <c r="F1218" s="32">
        <v>3</v>
      </c>
      <c r="G1218" s="32">
        <v>1392</v>
      </c>
      <c r="H1218" s="28" t="s">
        <v>1238</v>
      </c>
    </row>
    <row r="1219" spans="6:8" x14ac:dyDescent="0.25">
      <c r="F1219" s="32">
        <v>3</v>
      </c>
      <c r="G1219" s="32">
        <v>1393</v>
      </c>
      <c r="H1219" s="28" t="s">
        <v>1239</v>
      </c>
    </row>
    <row r="1220" spans="6:8" x14ac:dyDescent="0.25">
      <c r="F1220" s="32">
        <v>3</v>
      </c>
      <c r="G1220" s="32">
        <v>1394</v>
      </c>
      <c r="H1220" s="28" t="s">
        <v>1240</v>
      </c>
    </row>
    <row r="1221" spans="6:8" x14ac:dyDescent="0.25">
      <c r="F1221" s="32">
        <v>3</v>
      </c>
      <c r="G1221" s="32">
        <v>1395</v>
      </c>
      <c r="H1221" s="28" t="s">
        <v>1241</v>
      </c>
    </row>
    <row r="1222" spans="6:8" x14ac:dyDescent="0.25">
      <c r="F1222" s="32">
        <v>3</v>
      </c>
      <c r="G1222" s="32">
        <v>1396</v>
      </c>
      <c r="H1222" s="28" t="s">
        <v>1242</v>
      </c>
    </row>
    <row r="1223" spans="6:8" x14ac:dyDescent="0.25">
      <c r="F1223" s="32">
        <v>3</v>
      </c>
      <c r="G1223" s="32">
        <v>1397</v>
      </c>
      <c r="H1223" s="28" t="s">
        <v>1243</v>
      </c>
    </row>
    <row r="1224" spans="6:8" x14ac:dyDescent="0.25">
      <c r="F1224" s="32">
        <v>3</v>
      </c>
      <c r="G1224" s="32">
        <v>1398</v>
      </c>
      <c r="H1224" s="28" t="s">
        <v>1244</v>
      </c>
    </row>
    <row r="1225" spans="6:8" x14ac:dyDescent="0.25">
      <c r="F1225" s="32">
        <v>3</v>
      </c>
      <c r="G1225" s="32">
        <v>1399</v>
      </c>
      <c r="H1225" s="28" t="s">
        <v>1245</v>
      </c>
    </row>
    <row r="1226" spans="6:8" x14ac:dyDescent="0.25">
      <c r="F1226" s="32">
        <v>3</v>
      </c>
      <c r="G1226" s="32">
        <v>1400</v>
      </c>
      <c r="H1226" s="28" t="s">
        <v>1246</v>
      </c>
    </row>
    <row r="1227" spans="6:8" x14ac:dyDescent="0.25">
      <c r="F1227" s="32">
        <v>3</v>
      </c>
      <c r="G1227" s="32">
        <v>1401</v>
      </c>
      <c r="H1227" s="28" t="s">
        <v>1247</v>
      </c>
    </row>
    <row r="1228" spans="6:8" x14ac:dyDescent="0.25">
      <c r="F1228" s="32">
        <v>3</v>
      </c>
      <c r="G1228" s="32">
        <v>1451</v>
      </c>
      <c r="H1228" s="28" t="s">
        <v>1248</v>
      </c>
    </row>
    <row r="1229" spans="6:8" x14ac:dyDescent="0.25">
      <c r="F1229" s="32">
        <v>3</v>
      </c>
      <c r="G1229" s="32">
        <v>1452</v>
      </c>
      <c r="H1229" s="28" t="s">
        <v>1249</v>
      </c>
    </row>
    <row r="1230" spans="6:8" x14ac:dyDescent="0.25">
      <c r="F1230" s="32">
        <v>3</v>
      </c>
      <c r="G1230" s="32">
        <v>1453</v>
      </c>
      <c r="H1230" s="28" t="s">
        <v>1250</v>
      </c>
    </row>
    <row r="1231" spans="6:8" x14ac:dyDescent="0.25">
      <c r="F1231" s="32">
        <v>3</v>
      </c>
      <c r="G1231" s="32">
        <v>1454</v>
      </c>
      <c r="H1231" s="28" t="s">
        <v>1251</v>
      </c>
    </row>
    <row r="1232" spans="6:8" x14ac:dyDescent="0.25">
      <c r="F1232" s="32">
        <v>3</v>
      </c>
      <c r="G1232" s="32">
        <v>1455</v>
      </c>
      <c r="H1232" s="28" t="s">
        <v>1252</v>
      </c>
    </row>
    <row r="1233" spans="6:8" x14ac:dyDescent="0.25">
      <c r="F1233" s="32">
        <v>3</v>
      </c>
      <c r="G1233" s="32">
        <v>1456</v>
      </c>
      <c r="H1233" s="28" t="s">
        <v>1253</v>
      </c>
    </row>
    <row r="1234" spans="6:8" x14ac:dyDescent="0.25">
      <c r="F1234" s="32">
        <v>3</v>
      </c>
      <c r="G1234" s="32">
        <v>1457</v>
      </c>
      <c r="H1234" s="28" t="s">
        <v>1254</v>
      </c>
    </row>
    <row r="1235" spans="6:8" x14ac:dyDescent="0.25">
      <c r="F1235" s="32">
        <v>3</v>
      </c>
      <c r="G1235" s="32">
        <v>1458</v>
      </c>
      <c r="H1235" s="28" t="s">
        <v>1255</v>
      </c>
    </row>
    <row r="1236" spans="6:8" x14ac:dyDescent="0.25">
      <c r="F1236" s="32">
        <v>3</v>
      </c>
      <c r="G1236" s="32">
        <v>1459</v>
      </c>
      <c r="H1236" s="28" t="s">
        <v>1256</v>
      </c>
    </row>
    <row r="1237" spans="6:8" x14ac:dyDescent="0.25">
      <c r="F1237" s="32">
        <v>3</v>
      </c>
      <c r="G1237" s="32">
        <v>1460</v>
      </c>
      <c r="H1237" s="28" t="s">
        <v>1257</v>
      </c>
    </row>
    <row r="1238" spans="6:8" x14ac:dyDescent="0.25">
      <c r="F1238" s="32">
        <v>3</v>
      </c>
      <c r="G1238" s="32">
        <v>1461</v>
      </c>
      <c r="H1238" s="28" t="s">
        <v>1258</v>
      </c>
    </row>
    <row r="1239" spans="6:8" x14ac:dyDescent="0.25">
      <c r="F1239" s="32">
        <v>3</v>
      </c>
      <c r="G1239" s="32">
        <v>1462</v>
      </c>
      <c r="H1239" s="28" t="s">
        <v>1259</v>
      </c>
    </row>
    <row r="1240" spans="6:8" x14ac:dyDescent="0.25">
      <c r="F1240" s="32">
        <v>3</v>
      </c>
      <c r="G1240" s="32">
        <v>1464</v>
      </c>
      <c r="H1240" s="28" t="s">
        <v>1260</v>
      </c>
    </row>
    <row r="1241" spans="6:8" x14ac:dyDescent="0.25">
      <c r="F1241" s="32">
        <v>4</v>
      </c>
      <c r="G1241" s="32">
        <v>1</v>
      </c>
      <c r="H1241" s="28" t="s">
        <v>1261</v>
      </c>
    </row>
    <row r="1242" spans="6:8" x14ac:dyDescent="0.25">
      <c r="F1242" s="32">
        <v>4</v>
      </c>
      <c r="G1242" s="32">
        <v>2</v>
      </c>
      <c r="H1242" s="28" t="s">
        <v>1262</v>
      </c>
    </row>
    <row r="1243" spans="6:8" x14ac:dyDescent="0.25">
      <c r="F1243" s="32">
        <v>4</v>
      </c>
      <c r="G1243" s="32">
        <v>3</v>
      </c>
      <c r="H1243" s="28" t="s">
        <v>1263</v>
      </c>
    </row>
    <row r="1244" spans="6:8" x14ac:dyDescent="0.25">
      <c r="F1244" s="32">
        <v>4</v>
      </c>
      <c r="G1244" s="32">
        <v>4</v>
      </c>
      <c r="H1244" s="28" t="s">
        <v>1264</v>
      </c>
    </row>
    <row r="1245" spans="6:8" x14ac:dyDescent="0.25">
      <c r="F1245" s="32">
        <v>4</v>
      </c>
      <c r="G1245" s="32">
        <v>21</v>
      </c>
      <c r="H1245" s="28" t="s">
        <v>1265</v>
      </c>
    </row>
    <row r="1246" spans="6:8" x14ac:dyDescent="0.25">
      <c r="F1246" s="32">
        <v>4</v>
      </c>
      <c r="G1246" s="32">
        <v>26</v>
      </c>
      <c r="H1246" s="28" t="s">
        <v>1266</v>
      </c>
    </row>
    <row r="1247" spans="6:8" x14ac:dyDescent="0.25">
      <c r="F1247" s="32">
        <v>4</v>
      </c>
      <c r="G1247" s="32">
        <v>27</v>
      </c>
      <c r="H1247" s="28" t="s">
        <v>1267</v>
      </c>
    </row>
    <row r="1248" spans="6:8" x14ac:dyDescent="0.25">
      <c r="F1248" s="32">
        <v>4</v>
      </c>
      <c r="G1248" s="32">
        <v>28</v>
      </c>
      <c r="H1248" s="28" t="s">
        <v>1268</v>
      </c>
    </row>
    <row r="1249" spans="6:8" x14ac:dyDescent="0.25">
      <c r="F1249" s="32">
        <v>4</v>
      </c>
      <c r="G1249" s="32">
        <v>31</v>
      </c>
      <c r="H1249" s="28" t="s">
        <v>1269</v>
      </c>
    </row>
    <row r="1250" spans="6:8" x14ac:dyDescent="0.25">
      <c r="F1250" s="32">
        <v>4</v>
      </c>
      <c r="G1250" s="32">
        <v>32</v>
      </c>
      <c r="H1250" s="28" t="s">
        <v>1270</v>
      </c>
    </row>
    <row r="1251" spans="6:8" x14ac:dyDescent="0.25">
      <c r="F1251" s="32">
        <v>4</v>
      </c>
      <c r="G1251" s="32">
        <v>40</v>
      </c>
      <c r="H1251" s="28" t="s">
        <v>1271</v>
      </c>
    </row>
    <row r="1252" spans="6:8" x14ac:dyDescent="0.25">
      <c r="F1252" s="32">
        <v>4</v>
      </c>
      <c r="G1252" s="32">
        <v>41</v>
      </c>
      <c r="H1252" s="28" t="s">
        <v>1272</v>
      </c>
    </row>
    <row r="1253" spans="6:8" x14ac:dyDescent="0.25">
      <c r="F1253" s="32">
        <v>4</v>
      </c>
      <c r="G1253" s="32">
        <v>46</v>
      </c>
      <c r="H1253" s="28" t="s">
        <v>1273</v>
      </c>
    </row>
    <row r="1254" spans="6:8" x14ac:dyDescent="0.25">
      <c r="F1254" s="32">
        <v>4</v>
      </c>
      <c r="G1254" s="32">
        <v>52</v>
      </c>
      <c r="H1254" s="28" t="s">
        <v>1274</v>
      </c>
    </row>
    <row r="1255" spans="6:8" x14ac:dyDescent="0.25">
      <c r="F1255" s="32">
        <v>4</v>
      </c>
      <c r="G1255" s="32">
        <v>53</v>
      </c>
      <c r="H1255" s="28" t="s">
        <v>1275</v>
      </c>
    </row>
    <row r="1256" spans="6:8" x14ac:dyDescent="0.25">
      <c r="F1256" s="32">
        <v>4</v>
      </c>
      <c r="G1256" s="32">
        <v>55</v>
      </c>
      <c r="H1256" s="28" t="s">
        <v>1276</v>
      </c>
    </row>
    <row r="1257" spans="6:8" x14ac:dyDescent="0.25">
      <c r="F1257" s="32">
        <v>4</v>
      </c>
      <c r="G1257" s="32">
        <v>58</v>
      </c>
      <c r="H1257" s="28" t="s">
        <v>1277</v>
      </c>
    </row>
    <row r="1258" spans="6:8" x14ac:dyDescent="0.25">
      <c r="F1258" s="32">
        <v>4</v>
      </c>
      <c r="G1258" s="32">
        <v>60</v>
      </c>
      <c r="H1258" s="28" t="s">
        <v>1278</v>
      </c>
    </row>
    <row r="1259" spans="6:8" x14ac:dyDescent="0.25">
      <c r="F1259" s="32">
        <v>4</v>
      </c>
      <c r="G1259" s="32">
        <v>62</v>
      </c>
      <c r="H1259" s="28" t="s">
        <v>1279</v>
      </c>
    </row>
    <row r="1260" spans="6:8" x14ac:dyDescent="0.25">
      <c r="F1260" s="32">
        <v>4</v>
      </c>
      <c r="G1260" s="32">
        <v>64</v>
      </c>
      <c r="H1260" s="28" t="s">
        <v>1280</v>
      </c>
    </row>
    <row r="1261" spans="6:8" x14ac:dyDescent="0.25">
      <c r="F1261" s="32">
        <v>4</v>
      </c>
      <c r="G1261" s="32">
        <v>65</v>
      </c>
      <c r="H1261" s="28" t="s">
        <v>1281</v>
      </c>
    </row>
    <row r="1262" spans="6:8" x14ac:dyDescent="0.25">
      <c r="F1262" s="32">
        <v>4</v>
      </c>
      <c r="G1262" s="32">
        <v>68</v>
      </c>
      <c r="H1262" s="28" t="s">
        <v>1282</v>
      </c>
    </row>
    <row r="1263" spans="6:8" x14ac:dyDescent="0.25">
      <c r="F1263" s="32">
        <v>4</v>
      </c>
      <c r="G1263" s="32">
        <v>70</v>
      </c>
      <c r="H1263" s="28" t="s">
        <v>1283</v>
      </c>
    </row>
    <row r="1264" spans="6:8" x14ac:dyDescent="0.25">
      <c r="F1264" s="32">
        <v>4</v>
      </c>
      <c r="G1264" s="32">
        <v>71</v>
      </c>
      <c r="H1264" s="28" t="s">
        <v>1284</v>
      </c>
    </row>
    <row r="1265" spans="6:8" x14ac:dyDescent="0.25">
      <c r="F1265" s="32">
        <v>4</v>
      </c>
      <c r="G1265" s="32">
        <v>79</v>
      </c>
      <c r="H1265" s="28" t="s">
        <v>1285</v>
      </c>
    </row>
    <row r="1266" spans="6:8" x14ac:dyDescent="0.25">
      <c r="F1266" s="32">
        <v>4</v>
      </c>
      <c r="G1266" s="32">
        <v>90</v>
      </c>
      <c r="H1266" s="28" t="s">
        <v>1286</v>
      </c>
    </row>
    <row r="1267" spans="6:8" x14ac:dyDescent="0.25">
      <c r="F1267" s="32">
        <v>4</v>
      </c>
      <c r="G1267" s="32">
        <v>100</v>
      </c>
      <c r="H1267" s="28" t="s">
        <v>1287</v>
      </c>
    </row>
    <row r="1268" spans="6:8" x14ac:dyDescent="0.25">
      <c r="F1268" s="32">
        <v>4</v>
      </c>
      <c r="G1268" s="32">
        <v>103</v>
      </c>
      <c r="H1268" s="28" t="s">
        <v>1288</v>
      </c>
    </row>
    <row r="1269" spans="6:8" x14ac:dyDescent="0.25">
      <c r="F1269" s="32">
        <v>4</v>
      </c>
      <c r="G1269" s="32">
        <v>105</v>
      </c>
      <c r="H1269" s="28" t="s">
        <v>1289</v>
      </c>
    </row>
    <row r="1270" spans="6:8" x14ac:dyDescent="0.25">
      <c r="F1270" s="32">
        <v>4</v>
      </c>
      <c r="G1270" s="32">
        <v>107</v>
      </c>
      <c r="H1270" s="28" t="s">
        <v>1290</v>
      </c>
    </row>
    <row r="1271" spans="6:8" x14ac:dyDescent="0.25">
      <c r="F1271" s="32">
        <v>4</v>
      </c>
      <c r="G1271" s="32">
        <v>108</v>
      </c>
      <c r="H1271" s="28" t="s">
        <v>1291</v>
      </c>
    </row>
    <row r="1272" spans="6:8" x14ac:dyDescent="0.25">
      <c r="F1272" s="32">
        <v>4</v>
      </c>
      <c r="G1272" s="32">
        <v>109</v>
      </c>
      <c r="H1272" s="28" t="s">
        <v>1292</v>
      </c>
    </row>
    <row r="1273" spans="6:8" x14ac:dyDescent="0.25">
      <c r="F1273" s="32">
        <v>4</v>
      </c>
      <c r="G1273" s="32">
        <v>111</v>
      </c>
      <c r="H1273" s="28" t="s">
        <v>1293</v>
      </c>
    </row>
    <row r="1274" spans="6:8" x14ac:dyDescent="0.25">
      <c r="F1274" s="32">
        <v>4</v>
      </c>
      <c r="G1274" s="32">
        <v>117</v>
      </c>
      <c r="H1274" s="28" t="s">
        <v>1294</v>
      </c>
    </row>
    <row r="1275" spans="6:8" x14ac:dyDescent="0.25">
      <c r="F1275" s="32">
        <v>4</v>
      </c>
      <c r="G1275" s="32">
        <v>121</v>
      </c>
      <c r="H1275" s="28" t="s">
        <v>1295</v>
      </c>
    </row>
    <row r="1276" spans="6:8" x14ac:dyDescent="0.25">
      <c r="F1276" s="32">
        <v>4</v>
      </c>
      <c r="G1276" s="32">
        <v>127</v>
      </c>
      <c r="H1276" s="28" t="s">
        <v>1296</v>
      </c>
    </row>
    <row r="1277" spans="6:8" x14ac:dyDescent="0.25">
      <c r="F1277" s="32">
        <v>4</v>
      </c>
      <c r="G1277" s="32">
        <v>129</v>
      </c>
      <c r="H1277" s="28" t="s">
        <v>1297</v>
      </c>
    </row>
    <row r="1278" spans="6:8" x14ac:dyDescent="0.25">
      <c r="F1278" s="32">
        <v>4</v>
      </c>
      <c r="G1278" s="32">
        <v>130</v>
      </c>
      <c r="H1278" s="28" t="s">
        <v>1298</v>
      </c>
    </row>
    <row r="1279" spans="6:8" x14ac:dyDescent="0.25">
      <c r="F1279" s="32">
        <v>4</v>
      </c>
      <c r="G1279" s="32">
        <v>151</v>
      </c>
      <c r="H1279" s="28" t="s">
        <v>1299</v>
      </c>
    </row>
    <row r="1280" spans="6:8" x14ac:dyDescent="0.25">
      <c r="F1280" s="32">
        <v>4</v>
      </c>
      <c r="G1280" s="32">
        <v>156</v>
      </c>
      <c r="H1280" s="28" t="s">
        <v>1300</v>
      </c>
    </row>
    <row r="1281" spans="6:8" x14ac:dyDescent="0.25">
      <c r="F1281" s="32">
        <v>4</v>
      </c>
      <c r="G1281" s="32">
        <v>157</v>
      </c>
      <c r="H1281" s="28" t="s">
        <v>1301</v>
      </c>
    </row>
    <row r="1282" spans="6:8" x14ac:dyDescent="0.25">
      <c r="F1282" s="32">
        <v>4</v>
      </c>
      <c r="G1282" s="32">
        <v>158</v>
      </c>
      <c r="H1282" s="28" t="s">
        <v>1302</v>
      </c>
    </row>
    <row r="1283" spans="6:8" x14ac:dyDescent="0.25">
      <c r="F1283" s="32">
        <v>4</v>
      </c>
      <c r="G1283" s="32">
        <v>163</v>
      </c>
      <c r="H1283" s="28" t="s">
        <v>1303</v>
      </c>
    </row>
    <row r="1284" spans="6:8" x14ac:dyDescent="0.25">
      <c r="F1284" s="32">
        <v>4</v>
      </c>
      <c r="G1284" s="32">
        <v>171</v>
      </c>
      <c r="H1284" s="28" t="s">
        <v>1304</v>
      </c>
    </row>
    <row r="1285" spans="6:8" x14ac:dyDescent="0.25">
      <c r="F1285" s="32">
        <v>4</v>
      </c>
      <c r="G1285" s="32">
        <v>174</v>
      </c>
      <c r="H1285" s="28" t="s">
        <v>1305</v>
      </c>
    </row>
    <row r="1286" spans="6:8" x14ac:dyDescent="0.25">
      <c r="F1286" s="32">
        <v>4</v>
      </c>
      <c r="G1286" s="32">
        <v>207</v>
      </c>
      <c r="H1286" s="28" t="s">
        <v>1306</v>
      </c>
    </row>
    <row r="1287" spans="6:8" x14ac:dyDescent="0.25">
      <c r="F1287" s="32">
        <v>4</v>
      </c>
      <c r="G1287" s="32">
        <v>210</v>
      </c>
      <c r="H1287" s="28" t="s">
        <v>1307</v>
      </c>
    </row>
    <row r="1288" spans="6:8" x14ac:dyDescent="0.25">
      <c r="F1288" s="32">
        <v>4</v>
      </c>
      <c r="G1288" s="32">
        <v>231</v>
      </c>
      <c r="H1288" s="28" t="s">
        <v>1308</v>
      </c>
    </row>
    <row r="1289" spans="6:8" x14ac:dyDescent="0.25">
      <c r="F1289" s="32">
        <v>4</v>
      </c>
      <c r="G1289" s="32">
        <v>257</v>
      </c>
      <c r="H1289" s="28" t="s">
        <v>1309</v>
      </c>
    </row>
    <row r="1290" spans="6:8" x14ac:dyDescent="0.25">
      <c r="F1290" s="32">
        <v>4</v>
      </c>
      <c r="G1290" s="32">
        <v>301</v>
      </c>
      <c r="H1290" s="28" t="s">
        <v>1310</v>
      </c>
    </row>
    <row r="1291" spans="6:8" x14ac:dyDescent="0.25">
      <c r="F1291" s="32">
        <v>4</v>
      </c>
      <c r="G1291" s="32">
        <v>502</v>
      </c>
      <c r="H1291" s="28" t="s">
        <v>1311</v>
      </c>
    </row>
    <row r="1292" spans="6:8" x14ac:dyDescent="0.25">
      <c r="F1292" s="32">
        <v>4</v>
      </c>
      <c r="G1292" s="32">
        <v>503</v>
      </c>
      <c r="H1292" s="28" t="s">
        <v>1312</v>
      </c>
    </row>
    <row r="1293" spans="6:8" x14ac:dyDescent="0.25">
      <c r="F1293" s="32">
        <v>4</v>
      </c>
      <c r="G1293" s="32">
        <v>504</v>
      </c>
      <c r="H1293" s="28" t="s">
        <v>1313</v>
      </c>
    </row>
    <row r="1294" spans="6:8" x14ac:dyDescent="0.25">
      <c r="F1294" s="32">
        <v>4</v>
      </c>
      <c r="G1294" s="32">
        <v>505</v>
      </c>
      <c r="H1294" s="28" t="s">
        <v>1314</v>
      </c>
    </row>
    <row r="1295" spans="6:8" x14ac:dyDescent="0.25">
      <c r="F1295" s="32">
        <v>4</v>
      </c>
      <c r="G1295" s="32">
        <v>506</v>
      </c>
      <c r="H1295" s="28" t="s">
        <v>1315</v>
      </c>
    </row>
    <row r="1296" spans="6:8" x14ac:dyDescent="0.25">
      <c r="F1296" s="32">
        <v>4</v>
      </c>
      <c r="G1296" s="32">
        <v>507</v>
      </c>
      <c r="H1296" s="28" t="s">
        <v>1316</v>
      </c>
    </row>
    <row r="1297" spans="6:8" x14ac:dyDescent="0.25">
      <c r="F1297" s="32">
        <v>4</v>
      </c>
      <c r="G1297" s="32">
        <v>508</v>
      </c>
      <c r="H1297" s="28" t="s">
        <v>1317</v>
      </c>
    </row>
    <row r="1298" spans="6:8" x14ac:dyDescent="0.25">
      <c r="F1298" s="32">
        <v>4</v>
      </c>
      <c r="G1298" s="32">
        <v>509</v>
      </c>
      <c r="H1298" s="28" t="s">
        <v>1318</v>
      </c>
    </row>
    <row r="1299" spans="6:8" x14ac:dyDescent="0.25">
      <c r="F1299" s="32">
        <v>4</v>
      </c>
      <c r="G1299" s="32">
        <v>510</v>
      </c>
      <c r="H1299" s="28" t="s">
        <v>1319</v>
      </c>
    </row>
    <row r="1300" spans="6:8" x14ac:dyDescent="0.25">
      <c r="F1300" s="32">
        <v>4</v>
      </c>
      <c r="G1300" s="32">
        <v>512</v>
      </c>
      <c r="H1300" s="28" t="s">
        <v>1320</v>
      </c>
    </row>
    <row r="1301" spans="6:8" x14ac:dyDescent="0.25">
      <c r="F1301" s="32">
        <v>4</v>
      </c>
      <c r="G1301" s="32">
        <v>513</v>
      </c>
      <c r="H1301" s="28" t="s">
        <v>1321</v>
      </c>
    </row>
    <row r="1302" spans="6:8" x14ac:dyDescent="0.25">
      <c r="F1302" s="32">
        <v>4</v>
      </c>
      <c r="G1302" s="32">
        <v>514</v>
      </c>
      <c r="H1302" s="28" t="s">
        <v>1322</v>
      </c>
    </row>
    <row r="1303" spans="6:8" x14ac:dyDescent="0.25">
      <c r="F1303" s="32">
        <v>4</v>
      </c>
      <c r="G1303" s="32">
        <v>515</v>
      </c>
      <c r="H1303" s="28" t="s">
        <v>1323</v>
      </c>
    </row>
    <row r="1304" spans="6:8" x14ac:dyDescent="0.25">
      <c r="F1304" s="32">
        <v>4</v>
      </c>
      <c r="G1304" s="32">
        <v>516</v>
      </c>
      <c r="H1304" s="28" t="s">
        <v>1324</v>
      </c>
    </row>
    <row r="1305" spans="6:8" x14ac:dyDescent="0.25">
      <c r="F1305" s="32">
        <v>4</v>
      </c>
      <c r="G1305" s="32">
        <v>517</v>
      </c>
      <c r="H1305" s="28" t="s">
        <v>1325</v>
      </c>
    </row>
    <row r="1306" spans="6:8" x14ac:dyDescent="0.25">
      <c r="F1306" s="32">
        <v>4</v>
      </c>
      <c r="G1306" s="32">
        <v>518</v>
      </c>
      <c r="H1306" s="28" t="s">
        <v>1326</v>
      </c>
    </row>
    <row r="1307" spans="6:8" x14ac:dyDescent="0.25">
      <c r="F1307" s="32">
        <v>4</v>
      </c>
      <c r="G1307" s="32">
        <v>522</v>
      </c>
      <c r="H1307" s="28" t="s">
        <v>1327</v>
      </c>
    </row>
    <row r="1308" spans="6:8" x14ac:dyDescent="0.25">
      <c r="F1308" s="32">
        <v>4</v>
      </c>
      <c r="G1308" s="32">
        <v>523</v>
      </c>
      <c r="H1308" s="28" t="s">
        <v>1328</v>
      </c>
    </row>
    <row r="1309" spans="6:8" x14ac:dyDescent="0.25">
      <c r="F1309" s="32">
        <v>4</v>
      </c>
      <c r="G1309" s="32">
        <v>524</v>
      </c>
      <c r="H1309" s="28" t="s">
        <v>1329</v>
      </c>
    </row>
    <row r="1310" spans="6:8" x14ac:dyDescent="0.25">
      <c r="F1310" s="32">
        <v>4</v>
      </c>
      <c r="G1310" s="32">
        <v>525</v>
      </c>
      <c r="H1310" s="28" t="s">
        <v>1330</v>
      </c>
    </row>
    <row r="1311" spans="6:8" x14ac:dyDescent="0.25">
      <c r="F1311" s="32">
        <v>4</v>
      </c>
      <c r="G1311" s="32">
        <v>526</v>
      </c>
      <c r="H1311" s="28" t="s">
        <v>1331</v>
      </c>
    </row>
    <row r="1312" spans="6:8" x14ac:dyDescent="0.25">
      <c r="F1312" s="32">
        <v>4</v>
      </c>
      <c r="G1312" s="32">
        <v>527</v>
      </c>
      <c r="H1312" s="28" t="s">
        <v>1332</v>
      </c>
    </row>
    <row r="1313" spans="6:8" x14ac:dyDescent="0.25">
      <c r="F1313" s="32">
        <v>4</v>
      </c>
      <c r="G1313" s="32">
        <v>528</v>
      </c>
      <c r="H1313" s="28" t="s">
        <v>1333</v>
      </c>
    </row>
    <row r="1314" spans="6:8" x14ac:dyDescent="0.25">
      <c r="F1314" s="32">
        <v>4</v>
      </c>
      <c r="G1314" s="32">
        <v>529</v>
      </c>
      <c r="H1314" s="28" t="s">
        <v>1334</v>
      </c>
    </row>
    <row r="1315" spans="6:8" x14ac:dyDescent="0.25">
      <c r="F1315" s="32">
        <v>4</v>
      </c>
      <c r="G1315" s="32">
        <v>530</v>
      </c>
      <c r="H1315" s="28" t="s">
        <v>1335</v>
      </c>
    </row>
    <row r="1316" spans="6:8" x14ac:dyDescent="0.25">
      <c r="F1316" s="32">
        <v>4</v>
      </c>
      <c r="G1316" s="32">
        <v>531</v>
      </c>
      <c r="H1316" s="28" t="s">
        <v>1336</v>
      </c>
    </row>
    <row r="1317" spans="6:8" x14ac:dyDescent="0.25">
      <c r="F1317" s="32">
        <v>4</v>
      </c>
      <c r="G1317" s="32">
        <v>532</v>
      </c>
      <c r="H1317" s="28" t="s">
        <v>1337</v>
      </c>
    </row>
    <row r="1318" spans="6:8" x14ac:dyDescent="0.25">
      <c r="F1318" s="32">
        <v>4</v>
      </c>
      <c r="G1318" s="32">
        <v>533</v>
      </c>
      <c r="H1318" s="28" t="s">
        <v>1338</v>
      </c>
    </row>
    <row r="1319" spans="6:8" x14ac:dyDescent="0.25">
      <c r="F1319" s="32">
        <v>4</v>
      </c>
      <c r="G1319" s="32">
        <v>534</v>
      </c>
      <c r="H1319" s="28" t="s">
        <v>1339</v>
      </c>
    </row>
    <row r="1320" spans="6:8" x14ac:dyDescent="0.25">
      <c r="F1320" s="32">
        <v>4</v>
      </c>
      <c r="G1320" s="32">
        <v>535</v>
      </c>
      <c r="H1320" s="28" t="s">
        <v>1340</v>
      </c>
    </row>
    <row r="1321" spans="6:8" x14ac:dyDescent="0.25">
      <c r="F1321" s="32">
        <v>4</v>
      </c>
      <c r="G1321" s="32">
        <v>536</v>
      </c>
      <c r="H1321" s="28" t="s">
        <v>1341</v>
      </c>
    </row>
    <row r="1322" spans="6:8" x14ac:dyDescent="0.25">
      <c r="F1322" s="32">
        <v>4</v>
      </c>
      <c r="G1322" s="32">
        <v>537</v>
      </c>
      <c r="H1322" s="28" t="s">
        <v>1342</v>
      </c>
    </row>
    <row r="1323" spans="6:8" x14ac:dyDescent="0.25">
      <c r="F1323" s="32">
        <v>4</v>
      </c>
      <c r="G1323" s="32">
        <v>538</v>
      </c>
      <c r="H1323" s="28" t="s">
        <v>1343</v>
      </c>
    </row>
    <row r="1324" spans="6:8" x14ac:dyDescent="0.25">
      <c r="F1324" s="32">
        <v>4</v>
      </c>
      <c r="G1324" s="32">
        <v>539</v>
      </c>
      <c r="H1324" s="28" t="s">
        <v>1344</v>
      </c>
    </row>
    <row r="1325" spans="6:8" x14ac:dyDescent="0.25">
      <c r="F1325" s="32">
        <v>4</v>
      </c>
      <c r="G1325" s="32">
        <v>540</v>
      </c>
      <c r="H1325" s="28" t="s">
        <v>1345</v>
      </c>
    </row>
    <row r="1326" spans="6:8" x14ac:dyDescent="0.25">
      <c r="F1326" s="32">
        <v>4</v>
      </c>
      <c r="G1326" s="32">
        <v>542</v>
      </c>
      <c r="H1326" s="28" t="s">
        <v>1346</v>
      </c>
    </row>
    <row r="1327" spans="6:8" x14ac:dyDescent="0.25">
      <c r="F1327" s="32">
        <v>4</v>
      </c>
      <c r="G1327" s="32">
        <v>543</v>
      </c>
      <c r="H1327" s="28" t="s">
        <v>1347</v>
      </c>
    </row>
    <row r="1328" spans="6:8" x14ac:dyDescent="0.25">
      <c r="F1328" s="32">
        <v>4</v>
      </c>
      <c r="G1328" s="32">
        <v>545</v>
      </c>
      <c r="H1328" s="28" t="s">
        <v>1348</v>
      </c>
    </row>
    <row r="1329" spans="6:8" x14ac:dyDescent="0.25">
      <c r="F1329" s="32">
        <v>4</v>
      </c>
      <c r="G1329" s="32">
        <v>546</v>
      </c>
      <c r="H1329" s="28" t="s">
        <v>1349</v>
      </c>
    </row>
    <row r="1330" spans="6:8" x14ac:dyDescent="0.25">
      <c r="F1330" s="32">
        <v>4</v>
      </c>
      <c r="G1330" s="32">
        <v>547</v>
      </c>
      <c r="H1330" s="28" t="s">
        <v>1350</v>
      </c>
    </row>
  </sheetData>
  <mergeCells count="2">
    <mergeCell ref="A4:S4"/>
    <mergeCell ref="A1:O1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Q11">
    <tabColor theme="6" tint="0.59999389629810485"/>
  </sheetPr>
  <dimension ref="A1:G13"/>
  <sheetViews>
    <sheetView showGridLines="0" workbookViewId="0">
      <selection sqref="A1:G1"/>
    </sheetView>
  </sheetViews>
  <sheetFormatPr defaultRowHeight="15" x14ac:dyDescent="0.25"/>
  <cols>
    <col min="1" max="1" width="21.140625" bestFit="1" customWidth="1"/>
    <col min="2" max="2" width="19" customWidth="1"/>
    <col min="3" max="3" width="21" customWidth="1"/>
    <col min="4" max="4" width="30.140625" customWidth="1"/>
    <col min="5" max="5" width="18" customWidth="1"/>
    <col min="6" max="6" width="22.85546875" customWidth="1"/>
    <col min="7" max="7" width="22" bestFit="1" customWidth="1"/>
  </cols>
  <sheetData>
    <row r="1" spans="1:7" ht="154.5" customHeight="1" thickBot="1" x14ac:dyDescent="0.3">
      <c r="A1" s="134" t="s">
        <v>19</v>
      </c>
      <c r="B1" s="135"/>
      <c r="C1" s="135"/>
      <c r="D1" s="135"/>
      <c r="E1" s="135"/>
      <c r="F1" s="135"/>
      <c r="G1" s="136"/>
    </row>
    <row r="9" spans="1:7" ht="15.75" thickBot="1" x14ac:dyDescent="0.3">
      <c r="A9" s="86"/>
    </row>
    <row r="10" spans="1:7" ht="15.75" thickBot="1" x14ac:dyDescent="0.3">
      <c r="A10" s="39"/>
    </row>
    <row r="11" spans="1:7" x14ac:dyDescent="0.25">
      <c r="F11" s="101"/>
    </row>
    <row r="12" spans="1:7" x14ac:dyDescent="0.25">
      <c r="F12" s="101"/>
    </row>
    <row r="13" spans="1:7" x14ac:dyDescent="0.25">
      <c r="F13" s="101"/>
    </row>
  </sheetData>
  <mergeCells count="1">
    <mergeCell ref="A1:G1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Q12">
    <tabColor theme="7" tint="0.59999389629810485"/>
  </sheetPr>
  <dimension ref="A1:G29"/>
  <sheetViews>
    <sheetView showGridLines="0" workbookViewId="0">
      <selection sqref="A1:G1"/>
    </sheetView>
  </sheetViews>
  <sheetFormatPr defaultRowHeight="15" x14ac:dyDescent="0.25"/>
  <cols>
    <col min="1" max="1" width="21.140625" bestFit="1" customWidth="1"/>
    <col min="2" max="2" width="19" customWidth="1"/>
    <col min="3" max="3" width="21" customWidth="1"/>
    <col min="4" max="4" width="30.140625" customWidth="1"/>
    <col min="5" max="5" width="18" customWidth="1"/>
    <col min="6" max="6" width="22.85546875" customWidth="1"/>
    <col min="7" max="7" width="22" bestFit="1" customWidth="1"/>
  </cols>
  <sheetData>
    <row r="1" spans="1:7" ht="219" customHeight="1" thickBot="1" x14ac:dyDescent="0.3">
      <c r="A1" s="134" t="s">
        <v>1426</v>
      </c>
      <c r="B1" s="135"/>
      <c r="C1" s="135"/>
      <c r="D1" s="135"/>
      <c r="E1" s="135"/>
      <c r="F1" s="135"/>
      <c r="G1" s="136"/>
    </row>
    <row r="8" spans="1:7" x14ac:dyDescent="0.25">
      <c r="A8" s="86"/>
    </row>
    <row r="9" spans="1:7" ht="15.75" thickBot="1" x14ac:dyDescent="0.3">
      <c r="A9" s="92"/>
      <c r="B9" s="86"/>
    </row>
    <row r="10" spans="1:7" ht="15.75" thickBot="1" x14ac:dyDescent="0.3">
      <c r="A10" s="39"/>
      <c r="B10" s="104"/>
    </row>
    <row r="11" spans="1:7" x14ac:dyDescent="0.25">
      <c r="B11" s="104"/>
    </row>
    <row r="12" spans="1:7" x14ac:dyDescent="0.25">
      <c r="B12" s="104"/>
    </row>
    <row r="13" spans="1:7" x14ac:dyDescent="0.25">
      <c r="B13" s="104"/>
    </row>
    <row r="14" spans="1:7" x14ac:dyDescent="0.25">
      <c r="B14" s="104"/>
    </row>
    <row r="15" spans="1:7" x14ac:dyDescent="0.25">
      <c r="B15" s="104"/>
    </row>
    <row r="16" spans="1:7" x14ac:dyDescent="0.25">
      <c r="B16" s="104"/>
    </row>
    <row r="17" spans="2:2" x14ac:dyDescent="0.25">
      <c r="B17" s="104"/>
    </row>
    <row r="18" spans="2:2" x14ac:dyDescent="0.25">
      <c r="B18" s="104"/>
    </row>
    <row r="19" spans="2:2" x14ac:dyDescent="0.25">
      <c r="B19" s="104"/>
    </row>
    <row r="20" spans="2:2" x14ac:dyDescent="0.25">
      <c r="B20" s="104"/>
    </row>
    <row r="21" spans="2:2" x14ac:dyDescent="0.25">
      <c r="B21" s="104"/>
    </row>
    <row r="22" spans="2:2" x14ac:dyDescent="0.25">
      <c r="B22" s="104"/>
    </row>
    <row r="23" spans="2:2" x14ac:dyDescent="0.25">
      <c r="B23" s="104"/>
    </row>
    <row r="24" spans="2:2" x14ac:dyDescent="0.25">
      <c r="B24" s="104"/>
    </row>
    <row r="25" spans="2:2" x14ac:dyDescent="0.25">
      <c r="B25" s="104"/>
    </row>
    <row r="26" spans="2:2" x14ac:dyDescent="0.25">
      <c r="B26" s="104"/>
    </row>
    <row r="27" spans="2:2" x14ac:dyDescent="0.25">
      <c r="B27" s="104"/>
    </row>
    <row r="28" spans="2:2" x14ac:dyDescent="0.25">
      <c r="B28" s="104"/>
    </row>
    <row r="29" spans="2:2" x14ac:dyDescent="0.25">
      <c r="B29" s="104"/>
    </row>
  </sheetData>
  <mergeCells count="1">
    <mergeCell ref="A1:G1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Q13">
    <tabColor theme="7" tint="0.59999389629810485"/>
  </sheetPr>
  <dimension ref="A1:G1211"/>
  <sheetViews>
    <sheetView showGridLines="0" workbookViewId="0">
      <selection sqref="A1:G1"/>
    </sheetView>
  </sheetViews>
  <sheetFormatPr defaultRowHeight="15" x14ac:dyDescent="0.25"/>
  <cols>
    <col min="1" max="1" width="21.140625" bestFit="1" customWidth="1"/>
    <col min="2" max="2" width="19" customWidth="1"/>
    <col min="3" max="3" width="21" customWidth="1"/>
    <col min="4" max="4" width="30.140625" customWidth="1"/>
    <col min="5" max="5" width="18" customWidth="1"/>
    <col min="6" max="6" width="22.85546875" customWidth="1"/>
    <col min="7" max="7" width="22" bestFit="1" customWidth="1"/>
    <col min="16384" max="16384" width="11" bestFit="1" customWidth="1"/>
  </cols>
  <sheetData>
    <row r="1" spans="1:7" ht="219" customHeight="1" thickBot="1" x14ac:dyDescent="0.3">
      <c r="A1" s="134" t="s">
        <v>1427</v>
      </c>
      <c r="B1" s="135"/>
      <c r="C1" s="135"/>
      <c r="D1" s="135"/>
      <c r="E1" s="135"/>
      <c r="F1" s="135"/>
      <c r="G1" s="136"/>
    </row>
    <row r="11" spans="1:7" x14ac:dyDescent="0.25">
      <c r="C11" s="104"/>
    </row>
    <row r="12" spans="1:7" x14ac:dyDescent="0.25">
      <c r="C12" s="104"/>
    </row>
    <row r="13" spans="1:7" x14ac:dyDescent="0.25">
      <c r="C13" s="104"/>
    </row>
    <row r="14" spans="1:7" x14ac:dyDescent="0.25">
      <c r="C14" s="104"/>
    </row>
    <row r="15" spans="1:7" x14ac:dyDescent="0.25">
      <c r="C15" s="104"/>
    </row>
    <row r="16" spans="1:7" x14ac:dyDescent="0.25">
      <c r="C16" s="104"/>
    </row>
    <row r="17" spans="3:3" x14ac:dyDescent="0.25">
      <c r="C17" s="104"/>
    </row>
    <row r="18" spans="3:3" x14ac:dyDescent="0.25">
      <c r="C18" s="104"/>
    </row>
    <row r="19" spans="3:3" x14ac:dyDescent="0.25">
      <c r="C19" s="104"/>
    </row>
    <row r="20" spans="3:3" x14ac:dyDescent="0.25">
      <c r="C20" s="104"/>
    </row>
    <row r="21" spans="3:3" x14ac:dyDescent="0.25">
      <c r="C21" s="104"/>
    </row>
    <row r="22" spans="3:3" x14ac:dyDescent="0.25">
      <c r="C22" s="104"/>
    </row>
    <row r="23" spans="3:3" x14ac:dyDescent="0.25">
      <c r="C23" s="104"/>
    </row>
    <row r="24" spans="3:3" x14ac:dyDescent="0.25">
      <c r="C24" s="104"/>
    </row>
    <row r="25" spans="3:3" x14ac:dyDescent="0.25">
      <c r="C25" s="104"/>
    </row>
    <row r="26" spans="3:3" x14ac:dyDescent="0.25">
      <c r="C26" s="104"/>
    </row>
    <row r="27" spans="3:3" x14ac:dyDescent="0.25">
      <c r="C27" s="104"/>
    </row>
    <row r="28" spans="3:3" x14ac:dyDescent="0.25">
      <c r="C28" s="104"/>
    </row>
    <row r="29" spans="3:3" x14ac:dyDescent="0.25">
      <c r="C29" s="104"/>
    </row>
    <row r="30" spans="3:3" x14ac:dyDescent="0.25">
      <c r="C30" s="104"/>
    </row>
    <row r="31" spans="3:3" x14ac:dyDescent="0.25">
      <c r="C31" s="104"/>
    </row>
    <row r="32" spans="3:3" x14ac:dyDescent="0.25">
      <c r="C32" s="104"/>
    </row>
    <row r="33" spans="3:3" x14ac:dyDescent="0.25">
      <c r="C33" s="104"/>
    </row>
    <row r="34" spans="3:3" x14ac:dyDescent="0.25">
      <c r="C34" s="104"/>
    </row>
    <row r="35" spans="3:3" x14ac:dyDescent="0.25">
      <c r="C35" s="104"/>
    </row>
    <row r="36" spans="3:3" x14ac:dyDescent="0.25">
      <c r="C36" s="104"/>
    </row>
    <row r="37" spans="3:3" x14ac:dyDescent="0.25">
      <c r="C37" s="104"/>
    </row>
    <row r="38" spans="3:3" x14ac:dyDescent="0.25">
      <c r="C38" s="104"/>
    </row>
    <row r="39" spans="3:3" x14ac:dyDescent="0.25">
      <c r="C39" s="104"/>
    </row>
    <row r="40" spans="3:3" x14ac:dyDescent="0.25">
      <c r="C40" s="104"/>
    </row>
    <row r="41" spans="3:3" x14ac:dyDescent="0.25">
      <c r="C41" s="104"/>
    </row>
    <row r="42" spans="3:3" x14ac:dyDescent="0.25">
      <c r="C42" s="104"/>
    </row>
    <row r="43" spans="3:3" x14ac:dyDescent="0.25">
      <c r="C43" s="104"/>
    </row>
    <row r="44" spans="3:3" x14ac:dyDescent="0.25">
      <c r="C44" s="104"/>
    </row>
    <row r="45" spans="3:3" x14ac:dyDescent="0.25">
      <c r="C45" s="104"/>
    </row>
    <row r="46" spans="3:3" x14ac:dyDescent="0.25">
      <c r="C46" s="104"/>
    </row>
    <row r="47" spans="3:3" x14ac:dyDescent="0.25">
      <c r="C47" s="104"/>
    </row>
    <row r="48" spans="3:3" x14ac:dyDescent="0.25">
      <c r="C48" s="104"/>
    </row>
    <row r="49" spans="3:3" x14ac:dyDescent="0.25">
      <c r="C49" s="104"/>
    </row>
    <row r="50" spans="3:3" x14ac:dyDescent="0.25">
      <c r="C50" s="104"/>
    </row>
    <row r="51" spans="3:3" x14ac:dyDescent="0.25">
      <c r="C51" s="104"/>
    </row>
    <row r="52" spans="3:3" x14ac:dyDescent="0.25">
      <c r="C52" s="104"/>
    </row>
    <row r="53" spans="3:3" x14ac:dyDescent="0.25">
      <c r="C53" s="104"/>
    </row>
    <row r="54" spans="3:3" x14ac:dyDescent="0.25">
      <c r="C54" s="104"/>
    </row>
    <row r="55" spans="3:3" x14ac:dyDescent="0.25">
      <c r="C55" s="104"/>
    </row>
    <row r="56" spans="3:3" x14ac:dyDescent="0.25">
      <c r="C56" s="104"/>
    </row>
    <row r="57" spans="3:3" x14ac:dyDescent="0.25">
      <c r="C57" s="104"/>
    </row>
    <row r="58" spans="3:3" x14ac:dyDescent="0.25">
      <c r="C58" s="104"/>
    </row>
    <row r="59" spans="3:3" x14ac:dyDescent="0.25">
      <c r="C59" s="104"/>
    </row>
    <row r="60" spans="3:3" x14ac:dyDescent="0.25">
      <c r="C60" s="104"/>
    </row>
    <row r="61" spans="3:3" x14ac:dyDescent="0.25">
      <c r="C61" s="104"/>
    </row>
    <row r="62" spans="3:3" x14ac:dyDescent="0.25">
      <c r="C62" s="104"/>
    </row>
    <row r="63" spans="3:3" x14ac:dyDescent="0.25">
      <c r="C63" s="104"/>
    </row>
    <row r="64" spans="3:3" x14ac:dyDescent="0.25">
      <c r="C64" s="104"/>
    </row>
    <row r="65" spans="3:3" x14ac:dyDescent="0.25">
      <c r="C65" s="104"/>
    </row>
    <row r="66" spans="3:3" x14ac:dyDescent="0.25">
      <c r="C66" s="104"/>
    </row>
    <row r="67" spans="3:3" x14ac:dyDescent="0.25">
      <c r="C67" s="104"/>
    </row>
    <row r="68" spans="3:3" x14ac:dyDescent="0.25">
      <c r="C68" s="104"/>
    </row>
    <row r="69" spans="3:3" x14ac:dyDescent="0.25">
      <c r="C69" s="104"/>
    </row>
    <row r="70" spans="3:3" x14ac:dyDescent="0.25">
      <c r="C70" s="104"/>
    </row>
    <row r="71" spans="3:3" x14ac:dyDescent="0.25">
      <c r="C71" s="104"/>
    </row>
    <row r="72" spans="3:3" x14ac:dyDescent="0.25">
      <c r="C72" s="104"/>
    </row>
    <row r="73" spans="3:3" x14ac:dyDescent="0.25">
      <c r="C73" s="104"/>
    </row>
    <row r="74" spans="3:3" x14ac:dyDescent="0.25">
      <c r="C74" s="104"/>
    </row>
    <row r="75" spans="3:3" x14ac:dyDescent="0.25">
      <c r="C75" s="104"/>
    </row>
    <row r="76" spans="3:3" x14ac:dyDescent="0.25">
      <c r="C76" s="104"/>
    </row>
    <row r="77" spans="3:3" x14ac:dyDescent="0.25">
      <c r="C77" s="104"/>
    </row>
    <row r="78" spans="3:3" x14ac:dyDescent="0.25">
      <c r="C78" s="104"/>
    </row>
    <row r="79" spans="3:3" x14ac:dyDescent="0.25">
      <c r="C79" s="104"/>
    </row>
    <row r="80" spans="3:3" x14ac:dyDescent="0.25">
      <c r="C80" s="104"/>
    </row>
    <row r="81" spans="3:3" x14ac:dyDescent="0.25">
      <c r="C81" s="104"/>
    </row>
    <row r="82" spans="3:3" x14ac:dyDescent="0.25">
      <c r="C82" s="104"/>
    </row>
    <row r="83" spans="3:3" x14ac:dyDescent="0.25">
      <c r="C83" s="104"/>
    </row>
    <row r="84" spans="3:3" x14ac:dyDescent="0.25">
      <c r="C84" s="104"/>
    </row>
    <row r="85" spans="3:3" x14ac:dyDescent="0.25">
      <c r="C85" s="104"/>
    </row>
    <row r="86" spans="3:3" x14ac:dyDescent="0.25">
      <c r="C86" s="104"/>
    </row>
    <row r="87" spans="3:3" x14ac:dyDescent="0.25">
      <c r="C87" s="104"/>
    </row>
    <row r="88" spans="3:3" x14ac:dyDescent="0.25">
      <c r="C88" s="104"/>
    </row>
    <row r="89" spans="3:3" x14ac:dyDescent="0.25">
      <c r="C89" s="104"/>
    </row>
    <row r="90" spans="3:3" x14ac:dyDescent="0.25">
      <c r="C90" s="104"/>
    </row>
    <row r="91" spans="3:3" x14ac:dyDescent="0.25">
      <c r="C91" s="104"/>
    </row>
    <row r="92" spans="3:3" x14ac:dyDescent="0.25">
      <c r="C92" s="104"/>
    </row>
    <row r="93" spans="3:3" x14ac:dyDescent="0.25">
      <c r="C93" s="104"/>
    </row>
    <row r="94" spans="3:3" x14ac:dyDescent="0.25">
      <c r="C94" s="104"/>
    </row>
    <row r="95" spans="3:3" x14ac:dyDescent="0.25">
      <c r="C95" s="104"/>
    </row>
    <row r="96" spans="3:3" x14ac:dyDescent="0.25">
      <c r="C96" s="104"/>
    </row>
    <row r="97" spans="3:3" x14ac:dyDescent="0.25">
      <c r="C97" s="104"/>
    </row>
    <row r="98" spans="3:3" x14ac:dyDescent="0.25">
      <c r="C98" s="104"/>
    </row>
    <row r="99" spans="3:3" x14ac:dyDescent="0.25">
      <c r="C99" s="104"/>
    </row>
    <row r="100" spans="3:3" x14ac:dyDescent="0.25">
      <c r="C100" s="104"/>
    </row>
    <row r="101" spans="3:3" x14ac:dyDescent="0.25">
      <c r="C101" s="104"/>
    </row>
    <row r="102" spans="3:3" x14ac:dyDescent="0.25">
      <c r="C102" s="104"/>
    </row>
    <row r="103" spans="3:3" x14ac:dyDescent="0.25">
      <c r="C103" s="104"/>
    </row>
    <row r="104" spans="3:3" x14ac:dyDescent="0.25">
      <c r="C104" s="104"/>
    </row>
    <row r="105" spans="3:3" x14ac:dyDescent="0.25">
      <c r="C105" s="104"/>
    </row>
    <row r="106" spans="3:3" x14ac:dyDescent="0.25">
      <c r="C106" s="104"/>
    </row>
    <row r="107" spans="3:3" x14ac:dyDescent="0.25">
      <c r="C107" s="104"/>
    </row>
    <row r="108" spans="3:3" x14ac:dyDescent="0.25">
      <c r="C108" s="104"/>
    </row>
    <row r="109" spans="3:3" x14ac:dyDescent="0.25">
      <c r="C109" s="104"/>
    </row>
    <row r="110" spans="3:3" x14ac:dyDescent="0.25">
      <c r="C110" s="104"/>
    </row>
    <row r="111" spans="3:3" x14ac:dyDescent="0.25">
      <c r="C111" s="104"/>
    </row>
    <row r="112" spans="3:3" x14ac:dyDescent="0.25">
      <c r="C112" s="104"/>
    </row>
    <row r="113" spans="3:3" x14ac:dyDescent="0.25">
      <c r="C113" s="104"/>
    </row>
    <row r="114" spans="3:3" x14ac:dyDescent="0.25">
      <c r="C114" s="104"/>
    </row>
    <row r="115" spans="3:3" x14ac:dyDescent="0.25">
      <c r="C115" s="104"/>
    </row>
    <row r="116" spans="3:3" x14ac:dyDescent="0.25">
      <c r="C116" s="104"/>
    </row>
    <row r="117" spans="3:3" x14ac:dyDescent="0.25">
      <c r="C117" s="104"/>
    </row>
    <row r="118" spans="3:3" x14ac:dyDescent="0.25">
      <c r="C118" s="104"/>
    </row>
    <row r="119" spans="3:3" x14ac:dyDescent="0.25">
      <c r="C119" s="104"/>
    </row>
    <row r="120" spans="3:3" x14ac:dyDescent="0.25">
      <c r="C120" s="104"/>
    </row>
    <row r="121" spans="3:3" x14ac:dyDescent="0.25">
      <c r="C121" s="104"/>
    </row>
    <row r="122" spans="3:3" x14ac:dyDescent="0.25">
      <c r="C122" s="104"/>
    </row>
    <row r="123" spans="3:3" x14ac:dyDescent="0.25">
      <c r="C123" s="104"/>
    </row>
    <row r="124" spans="3:3" x14ac:dyDescent="0.25">
      <c r="C124" s="104"/>
    </row>
    <row r="125" spans="3:3" x14ac:dyDescent="0.25">
      <c r="C125" s="104"/>
    </row>
    <row r="126" spans="3:3" x14ac:dyDescent="0.25">
      <c r="C126" s="104"/>
    </row>
    <row r="127" spans="3:3" x14ac:dyDescent="0.25">
      <c r="C127" s="104"/>
    </row>
    <row r="128" spans="3:3" x14ac:dyDescent="0.25">
      <c r="C128" s="104"/>
    </row>
    <row r="129" spans="3:3" x14ac:dyDescent="0.25">
      <c r="C129" s="104"/>
    </row>
    <row r="130" spans="3:3" x14ac:dyDescent="0.25">
      <c r="C130" s="104"/>
    </row>
    <row r="131" spans="3:3" x14ac:dyDescent="0.25">
      <c r="C131" s="104"/>
    </row>
    <row r="132" spans="3:3" x14ac:dyDescent="0.25">
      <c r="C132" s="104"/>
    </row>
    <row r="133" spans="3:3" x14ac:dyDescent="0.25">
      <c r="C133" s="104"/>
    </row>
    <row r="134" spans="3:3" x14ac:dyDescent="0.25">
      <c r="C134" s="104"/>
    </row>
    <row r="135" spans="3:3" x14ac:dyDescent="0.25">
      <c r="C135" s="104"/>
    </row>
    <row r="136" spans="3:3" x14ac:dyDescent="0.25">
      <c r="C136" s="104"/>
    </row>
    <row r="137" spans="3:3" x14ac:dyDescent="0.25">
      <c r="C137" s="104"/>
    </row>
    <row r="138" spans="3:3" x14ac:dyDescent="0.25">
      <c r="C138" s="104"/>
    </row>
    <row r="139" spans="3:3" x14ac:dyDescent="0.25">
      <c r="C139" s="104"/>
    </row>
    <row r="140" spans="3:3" x14ac:dyDescent="0.25">
      <c r="C140" s="104"/>
    </row>
    <row r="141" spans="3:3" x14ac:dyDescent="0.25">
      <c r="C141" s="104"/>
    </row>
    <row r="142" spans="3:3" x14ac:dyDescent="0.25">
      <c r="C142" s="104"/>
    </row>
    <row r="143" spans="3:3" x14ac:dyDescent="0.25">
      <c r="C143" s="104"/>
    </row>
    <row r="144" spans="3:3" x14ac:dyDescent="0.25">
      <c r="C144" s="104"/>
    </row>
    <row r="145" spans="3:3" x14ac:dyDescent="0.25">
      <c r="C145" s="104"/>
    </row>
    <row r="146" spans="3:3" x14ac:dyDescent="0.25">
      <c r="C146" s="104"/>
    </row>
    <row r="147" spans="3:3" x14ac:dyDescent="0.25">
      <c r="C147" s="104"/>
    </row>
    <row r="148" spans="3:3" x14ac:dyDescent="0.25">
      <c r="C148" s="104"/>
    </row>
    <row r="149" spans="3:3" x14ac:dyDescent="0.25">
      <c r="C149" s="104"/>
    </row>
    <row r="150" spans="3:3" x14ac:dyDescent="0.25">
      <c r="C150" s="104"/>
    </row>
    <row r="151" spans="3:3" x14ac:dyDescent="0.25">
      <c r="C151" s="104"/>
    </row>
    <row r="152" spans="3:3" x14ac:dyDescent="0.25">
      <c r="C152" s="104"/>
    </row>
    <row r="153" spans="3:3" x14ac:dyDescent="0.25">
      <c r="C153" s="104"/>
    </row>
    <row r="154" spans="3:3" x14ac:dyDescent="0.25">
      <c r="C154" s="104"/>
    </row>
    <row r="155" spans="3:3" x14ac:dyDescent="0.25">
      <c r="C155" s="104"/>
    </row>
    <row r="156" spans="3:3" x14ac:dyDescent="0.25">
      <c r="C156" s="104"/>
    </row>
    <row r="157" spans="3:3" x14ac:dyDescent="0.25">
      <c r="C157" s="104"/>
    </row>
    <row r="158" spans="3:3" x14ac:dyDescent="0.25">
      <c r="C158" s="104"/>
    </row>
    <row r="159" spans="3:3" x14ac:dyDescent="0.25">
      <c r="C159" s="104"/>
    </row>
    <row r="160" spans="3:3" x14ac:dyDescent="0.25">
      <c r="C160" s="104"/>
    </row>
    <row r="161" spans="3:3" x14ac:dyDescent="0.25">
      <c r="C161" s="104"/>
    </row>
    <row r="162" spans="3:3" x14ac:dyDescent="0.25">
      <c r="C162" s="104"/>
    </row>
    <row r="163" spans="3:3" x14ac:dyDescent="0.25">
      <c r="C163" s="104"/>
    </row>
    <row r="164" spans="3:3" x14ac:dyDescent="0.25">
      <c r="C164" s="104"/>
    </row>
    <row r="165" spans="3:3" x14ac:dyDescent="0.25">
      <c r="C165" s="104"/>
    </row>
    <row r="166" spans="3:3" x14ac:dyDescent="0.25">
      <c r="C166" s="104"/>
    </row>
    <row r="167" spans="3:3" x14ac:dyDescent="0.25">
      <c r="C167" s="104"/>
    </row>
    <row r="168" spans="3:3" x14ac:dyDescent="0.25">
      <c r="C168" s="104"/>
    </row>
    <row r="169" spans="3:3" x14ac:dyDescent="0.25">
      <c r="C169" s="104"/>
    </row>
    <row r="170" spans="3:3" x14ac:dyDescent="0.25">
      <c r="C170" s="104"/>
    </row>
    <row r="171" spans="3:3" x14ac:dyDescent="0.25">
      <c r="C171" s="104"/>
    </row>
    <row r="172" spans="3:3" x14ac:dyDescent="0.25">
      <c r="C172" s="104"/>
    </row>
    <row r="173" spans="3:3" x14ac:dyDescent="0.25">
      <c r="C173" s="104"/>
    </row>
    <row r="174" spans="3:3" x14ac:dyDescent="0.25">
      <c r="C174" s="104"/>
    </row>
    <row r="175" spans="3:3" x14ac:dyDescent="0.25">
      <c r="C175" s="104"/>
    </row>
    <row r="176" spans="3:3" x14ac:dyDescent="0.25">
      <c r="C176" s="104"/>
    </row>
    <row r="177" spans="3:3" x14ac:dyDescent="0.25">
      <c r="C177" s="104"/>
    </row>
    <row r="178" spans="3:3" x14ac:dyDescent="0.25">
      <c r="C178" s="104"/>
    </row>
    <row r="179" spans="3:3" x14ac:dyDescent="0.25">
      <c r="C179" s="104"/>
    </row>
    <row r="180" spans="3:3" x14ac:dyDescent="0.25">
      <c r="C180" s="104"/>
    </row>
    <row r="181" spans="3:3" x14ac:dyDescent="0.25">
      <c r="C181" s="104"/>
    </row>
    <row r="182" spans="3:3" x14ac:dyDescent="0.25">
      <c r="C182" s="104"/>
    </row>
    <row r="183" spans="3:3" x14ac:dyDescent="0.25">
      <c r="C183" s="104"/>
    </row>
    <row r="184" spans="3:3" x14ac:dyDescent="0.25">
      <c r="C184" s="104"/>
    </row>
    <row r="185" spans="3:3" x14ac:dyDescent="0.25">
      <c r="C185" s="104"/>
    </row>
    <row r="186" spans="3:3" x14ac:dyDescent="0.25">
      <c r="C186" s="104"/>
    </row>
    <row r="187" spans="3:3" x14ac:dyDescent="0.25">
      <c r="C187" s="104"/>
    </row>
    <row r="188" spans="3:3" x14ac:dyDescent="0.25">
      <c r="C188" s="104"/>
    </row>
    <row r="189" spans="3:3" x14ac:dyDescent="0.25">
      <c r="C189" s="104"/>
    </row>
    <row r="190" spans="3:3" x14ac:dyDescent="0.25">
      <c r="C190" s="104"/>
    </row>
    <row r="191" spans="3:3" x14ac:dyDescent="0.25">
      <c r="C191" s="104"/>
    </row>
    <row r="192" spans="3:3" x14ac:dyDescent="0.25">
      <c r="C192" s="104"/>
    </row>
    <row r="193" spans="3:3" x14ac:dyDescent="0.25">
      <c r="C193" s="104"/>
    </row>
    <row r="194" spans="3:3" x14ac:dyDescent="0.25">
      <c r="C194" s="104"/>
    </row>
    <row r="195" spans="3:3" x14ac:dyDescent="0.25">
      <c r="C195" s="104"/>
    </row>
    <row r="196" spans="3:3" x14ac:dyDescent="0.25">
      <c r="C196" s="104"/>
    </row>
    <row r="197" spans="3:3" x14ac:dyDescent="0.25">
      <c r="C197" s="104"/>
    </row>
    <row r="198" spans="3:3" x14ac:dyDescent="0.25">
      <c r="C198" s="104"/>
    </row>
    <row r="199" spans="3:3" x14ac:dyDescent="0.25">
      <c r="C199" s="104"/>
    </row>
    <row r="200" spans="3:3" x14ac:dyDescent="0.25">
      <c r="C200" s="104"/>
    </row>
    <row r="201" spans="3:3" x14ac:dyDescent="0.25">
      <c r="C201" s="104"/>
    </row>
    <row r="202" spans="3:3" x14ac:dyDescent="0.25">
      <c r="C202" s="104"/>
    </row>
    <row r="203" spans="3:3" x14ac:dyDescent="0.25">
      <c r="C203" s="104"/>
    </row>
    <row r="204" spans="3:3" x14ac:dyDescent="0.25">
      <c r="C204" s="104"/>
    </row>
    <row r="205" spans="3:3" x14ac:dyDescent="0.25">
      <c r="C205" s="104"/>
    </row>
    <row r="206" spans="3:3" x14ac:dyDescent="0.25">
      <c r="C206" s="104"/>
    </row>
    <row r="207" spans="3:3" x14ac:dyDescent="0.25">
      <c r="C207" s="104"/>
    </row>
    <row r="208" spans="3:3" x14ac:dyDescent="0.25">
      <c r="C208" s="104"/>
    </row>
    <row r="209" spans="3:3" x14ac:dyDescent="0.25">
      <c r="C209" s="104"/>
    </row>
    <row r="210" spans="3:3" x14ac:dyDescent="0.25">
      <c r="C210" s="104"/>
    </row>
    <row r="211" spans="3:3" x14ac:dyDescent="0.25">
      <c r="C211" s="104"/>
    </row>
    <row r="212" spans="3:3" x14ac:dyDescent="0.25">
      <c r="C212" s="104"/>
    </row>
    <row r="213" spans="3:3" x14ac:dyDescent="0.25">
      <c r="C213" s="104"/>
    </row>
    <row r="214" spans="3:3" x14ac:dyDescent="0.25">
      <c r="C214" s="104"/>
    </row>
    <row r="215" spans="3:3" x14ac:dyDescent="0.25">
      <c r="C215" s="104"/>
    </row>
    <row r="216" spans="3:3" x14ac:dyDescent="0.25">
      <c r="C216" s="104"/>
    </row>
    <row r="217" spans="3:3" x14ac:dyDescent="0.25">
      <c r="C217" s="104"/>
    </row>
    <row r="218" spans="3:3" x14ac:dyDescent="0.25">
      <c r="C218" s="104"/>
    </row>
    <row r="219" spans="3:3" x14ac:dyDescent="0.25">
      <c r="C219" s="104"/>
    </row>
    <row r="220" spans="3:3" x14ac:dyDescent="0.25">
      <c r="C220" s="104"/>
    </row>
    <row r="221" spans="3:3" x14ac:dyDescent="0.25">
      <c r="C221" s="104"/>
    </row>
    <row r="222" spans="3:3" x14ac:dyDescent="0.25">
      <c r="C222" s="104"/>
    </row>
    <row r="223" spans="3:3" x14ac:dyDescent="0.25">
      <c r="C223" s="104"/>
    </row>
    <row r="224" spans="3:3" x14ac:dyDescent="0.25">
      <c r="C224" s="104"/>
    </row>
    <row r="225" spans="3:3" x14ac:dyDescent="0.25">
      <c r="C225" s="104"/>
    </row>
    <row r="226" spans="3:3" x14ac:dyDescent="0.25">
      <c r="C226" s="104"/>
    </row>
    <row r="227" spans="3:3" x14ac:dyDescent="0.25">
      <c r="C227" s="104"/>
    </row>
    <row r="228" spans="3:3" x14ac:dyDescent="0.25">
      <c r="C228" s="104"/>
    </row>
    <row r="229" spans="3:3" x14ac:dyDescent="0.25">
      <c r="C229" s="104"/>
    </row>
    <row r="230" spans="3:3" x14ac:dyDescent="0.25">
      <c r="C230" s="104"/>
    </row>
    <row r="231" spans="3:3" x14ac:dyDescent="0.25">
      <c r="C231" s="104"/>
    </row>
    <row r="232" spans="3:3" x14ac:dyDescent="0.25">
      <c r="C232" s="104"/>
    </row>
    <row r="233" spans="3:3" x14ac:dyDescent="0.25">
      <c r="C233" s="104"/>
    </row>
    <row r="234" spans="3:3" x14ac:dyDescent="0.25">
      <c r="C234" s="104"/>
    </row>
    <row r="235" spans="3:3" x14ac:dyDescent="0.25">
      <c r="C235" s="104"/>
    </row>
    <row r="236" spans="3:3" x14ac:dyDescent="0.25">
      <c r="C236" s="104"/>
    </row>
    <row r="237" spans="3:3" x14ac:dyDescent="0.25">
      <c r="C237" s="104"/>
    </row>
    <row r="238" spans="3:3" x14ac:dyDescent="0.25">
      <c r="C238" s="104"/>
    </row>
    <row r="239" spans="3:3" x14ac:dyDescent="0.25">
      <c r="C239" s="104"/>
    </row>
    <row r="240" spans="3:3" x14ac:dyDescent="0.25">
      <c r="C240" s="104"/>
    </row>
    <row r="241" spans="3:3" x14ac:dyDescent="0.25">
      <c r="C241" s="104"/>
    </row>
    <row r="242" spans="3:3" x14ac:dyDescent="0.25">
      <c r="C242" s="104"/>
    </row>
    <row r="243" spans="3:3" x14ac:dyDescent="0.25">
      <c r="C243" s="104"/>
    </row>
    <row r="244" spans="3:3" x14ac:dyDescent="0.25">
      <c r="C244" s="104"/>
    </row>
    <row r="245" spans="3:3" x14ac:dyDescent="0.25">
      <c r="C245" s="104"/>
    </row>
    <row r="246" spans="3:3" x14ac:dyDescent="0.25">
      <c r="C246" s="104"/>
    </row>
    <row r="247" spans="3:3" x14ac:dyDescent="0.25">
      <c r="C247" s="104"/>
    </row>
    <row r="248" spans="3:3" x14ac:dyDescent="0.25">
      <c r="C248" s="104"/>
    </row>
    <row r="249" spans="3:3" x14ac:dyDescent="0.25">
      <c r="C249" s="104"/>
    </row>
    <row r="250" spans="3:3" x14ac:dyDescent="0.25">
      <c r="C250" s="104"/>
    </row>
    <row r="251" spans="3:3" x14ac:dyDescent="0.25">
      <c r="C251" s="104"/>
    </row>
    <row r="252" spans="3:3" x14ac:dyDescent="0.25">
      <c r="C252" s="104"/>
    </row>
    <row r="253" spans="3:3" x14ac:dyDescent="0.25">
      <c r="C253" s="104"/>
    </row>
    <row r="254" spans="3:3" x14ac:dyDescent="0.25">
      <c r="C254" s="104"/>
    </row>
    <row r="255" spans="3:3" x14ac:dyDescent="0.25">
      <c r="C255" s="104"/>
    </row>
    <row r="256" spans="3:3" x14ac:dyDescent="0.25">
      <c r="C256" s="104"/>
    </row>
    <row r="257" spans="3:3" x14ac:dyDescent="0.25">
      <c r="C257" s="104"/>
    </row>
    <row r="258" spans="3:3" x14ac:dyDescent="0.25">
      <c r="C258" s="104"/>
    </row>
    <row r="259" spans="3:3" x14ac:dyDescent="0.25">
      <c r="C259" s="104"/>
    </row>
    <row r="260" spans="3:3" x14ac:dyDescent="0.25">
      <c r="C260" s="104"/>
    </row>
    <row r="261" spans="3:3" x14ac:dyDescent="0.25">
      <c r="C261" s="104"/>
    </row>
    <row r="262" spans="3:3" x14ac:dyDescent="0.25">
      <c r="C262" s="104"/>
    </row>
    <row r="263" spans="3:3" x14ac:dyDescent="0.25">
      <c r="C263" s="104"/>
    </row>
    <row r="264" spans="3:3" x14ac:dyDescent="0.25">
      <c r="C264" s="104"/>
    </row>
    <row r="265" spans="3:3" x14ac:dyDescent="0.25">
      <c r="C265" s="104"/>
    </row>
    <row r="266" spans="3:3" x14ac:dyDescent="0.25">
      <c r="C266" s="104"/>
    </row>
    <row r="267" spans="3:3" x14ac:dyDescent="0.25">
      <c r="C267" s="104"/>
    </row>
    <row r="268" spans="3:3" x14ac:dyDescent="0.25">
      <c r="C268" s="104"/>
    </row>
    <row r="269" spans="3:3" x14ac:dyDescent="0.25">
      <c r="C269" s="104"/>
    </row>
    <row r="270" spans="3:3" x14ac:dyDescent="0.25">
      <c r="C270" s="104"/>
    </row>
    <row r="271" spans="3:3" x14ac:dyDescent="0.25">
      <c r="C271" s="104"/>
    </row>
    <row r="272" spans="3:3" x14ac:dyDescent="0.25">
      <c r="C272" s="104"/>
    </row>
    <row r="273" spans="3:3" x14ac:dyDescent="0.25">
      <c r="C273" s="104"/>
    </row>
    <row r="274" spans="3:3" x14ac:dyDescent="0.25">
      <c r="C274" s="104"/>
    </row>
    <row r="275" spans="3:3" x14ac:dyDescent="0.25">
      <c r="C275" s="104"/>
    </row>
    <row r="276" spans="3:3" x14ac:dyDescent="0.25">
      <c r="C276" s="104"/>
    </row>
    <row r="277" spans="3:3" x14ac:dyDescent="0.25">
      <c r="C277" s="104"/>
    </row>
    <row r="278" spans="3:3" x14ac:dyDescent="0.25">
      <c r="C278" s="104"/>
    </row>
    <row r="279" spans="3:3" x14ac:dyDescent="0.25">
      <c r="C279" s="104"/>
    </row>
    <row r="280" spans="3:3" x14ac:dyDescent="0.25">
      <c r="C280" s="104"/>
    </row>
    <row r="281" spans="3:3" x14ac:dyDescent="0.25">
      <c r="C281" s="104"/>
    </row>
    <row r="282" spans="3:3" x14ac:dyDescent="0.25">
      <c r="C282" s="104"/>
    </row>
    <row r="283" spans="3:3" x14ac:dyDescent="0.25">
      <c r="C283" s="104"/>
    </row>
    <row r="284" spans="3:3" x14ac:dyDescent="0.25">
      <c r="C284" s="104"/>
    </row>
    <row r="285" spans="3:3" x14ac:dyDescent="0.25">
      <c r="C285" s="104"/>
    </row>
    <row r="286" spans="3:3" x14ac:dyDescent="0.25">
      <c r="C286" s="104"/>
    </row>
    <row r="287" spans="3:3" x14ac:dyDescent="0.25">
      <c r="C287" s="104"/>
    </row>
    <row r="288" spans="3:3" x14ac:dyDescent="0.25">
      <c r="C288" s="104"/>
    </row>
    <row r="289" spans="3:3" x14ac:dyDescent="0.25">
      <c r="C289" s="104"/>
    </row>
    <row r="290" spans="3:3" x14ac:dyDescent="0.25">
      <c r="C290" s="104"/>
    </row>
    <row r="291" spans="3:3" x14ac:dyDescent="0.25">
      <c r="C291" s="104"/>
    </row>
    <row r="292" spans="3:3" x14ac:dyDescent="0.25">
      <c r="C292" s="104"/>
    </row>
    <row r="293" spans="3:3" x14ac:dyDescent="0.25">
      <c r="C293" s="104"/>
    </row>
    <row r="294" spans="3:3" x14ac:dyDescent="0.25">
      <c r="C294" s="104"/>
    </row>
    <row r="295" spans="3:3" x14ac:dyDescent="0.25">
      <c r="C295" s="104"/>
    </row>
    <row r="296" spans="3:3" x14ac:dyDescent="0.25">
      <c r="C296" s="104"/>
    </row>
    <row r="297" spans="3:3" x14ac:dyDescent="0.25">
      <c r="C297" s="104"/>
    </row>
    <row r="298" spans="3:3" x14ac:dyDescent="0.25">
      <c r="C298" s="104"/>
    </row>
    <row r="299" spans="3:3" x14ac:dyDescent="0.25">
      <c r="C299" s="104"/>
    </row>
    <row r="300" spans="3:3" x14ac:dyDescent="0.25">
      <c r="C300" s="104"/>
    </row>
    <row r="301" spans="3:3" x14ac:dyDescent="0.25">
      <c r="C301" s="104"/>
    </row>
    <row r="302" spans="3:3" x14ac:dyDescent="0.25">
      <c r="C302" s="104"/>
    </row>
    <row r="303" spans="3:3" x14ac:dyDescent="0.25">
      <c r="C303" s="104"/>
    </row>
    <row r="304" spans="3:3" x14ac:dyDescent="0.25">
      <c r="C304" s="104"/>
    </row>
    <row r="305" spans="3:3" x14ac:dyDescent="0.25">
      <c r="C305" s="104"/>
    </row>
    <row r="306" spans="3:3" x14ac:dyDescent="0.25">
      <c r="C306" s="104"/>
    </row>
    <row r="307" spans="3:3" x14ac:dyDescent="0.25">
      <c r="C307" s="104"/>
    </row>
    <row r="308" spans="3:3" x14ac:dyDescent="0.25">
      <c r="C308" s="104"/>
    </row>
    <row r="309" spans="3:3" x14ac:dyDescent="0.25">
      <c r="C309" s="104"/>
    </row>
    <row r="310" spans="3:3" x14ac:dyDescent="0.25">
      <c r="C310" s="104"/>
    </row>
    <row r="311" spans="3:3" x14ac:dyDescent="0.25">
      <c r="C311" s="104"/>
    </row>
    <row r="312" spans="3:3" x14ac:dyDescent="0.25">
      <c r="C312" s="104"/>
    </row>
    <row r="313" spans="3:3" x14ac:dyDescent="0.25">
      <c r="C313" s="104"/>
    </row>
    <row r="314" spans="3:3" x14ac:dyDescent="0.25">
      <c r="C314" s="104"/>
    </row>
    <row r="315" spans="3:3" x14ac:dyDescent="0.25">
      <c r="C315" s="104"/>
    </row>
    <row r="316" spans="3:3" x14ac:dyDescent="0.25">
      <c r="C316" s="104"/>
    </row>
    <row r="317" spans="3:3" x14ac:dyDescent="0.25">
      <c r="C317" s="104"/>
    </row>
    <row r="318" spans="3:3" x14ac:dyDescent="0.25">
      <c r="C318" s="104"/>
    </row>
    <row r="319" spans="3:3" x14ac:dyDescent="0.25">
      <c r="C319" s="104"/>
    </row>
    <row r="320" spans="3:3" x14ac:dyDescent="0.25">
      <c r="C320" s="104"/>
    </row>
    <row r="321" spans="3:3" x14ac:dyDescent="0.25">
      <c r="C321" s="104"/>
    </row>
    <row r="322" spans="3:3" x14ac:dyDescent="0.25">
      <c r="C322" s="104"/>
    </row>
    <row r="323" spans="3:3" x14ac:dyDescent="0.25">
      <c r="C323" s="104"/>
    </row>
    <row r="324" spans="3:3" x14ac:dyDescent="0.25">
      <c r="C324" s="104"/>
    </row>
    <row r="325" spans="3:3" x14ac:dyDescent="0.25">
      <c r="C325" s="104"/>
    </row>
    <row r="326" spans="3:3" x14ac:dyDescent="0.25">
      <c r="C326" s="104"/>
    </row>
    <row r="327" spans="3:3" x14ac:dyDescent="0.25">
      <c r="C327" s="104"/>
    </row>
    <row r="328" spans="3:3" x14ac:dyDescent="0.25">
      <c r="C328" s="104"/>
    </row>
    <row r="329" spans="3:3" x14ac:dyDescent="0.25">
      <c r="C329" s="104"/>
    </row>
    <row r="330" spans="3:3" x14ac:dyDescent="0.25">
      <c r="C330" s="104"/>
    </row>
    <row r="331" spans="3:3" x14ac:dyDescent="0.25">
      <c r="C331" s="104"/>
    </row>
    <row r="332" spans="3:3" x14ac:dyDescent="0.25">
      <c r="C332" s="104"/>
    </row>
    <row r="333" spans="3:3" x14ac:dyDescent="0.25">
      <c r="C333" s="104"/>
    </row>
    <row r="334" spans="3:3" x14ac:dyDescent="0.25">
      <c r="C334" s="104"/>
    </row>
    <row r="335" spans="3:3" x14ac:dyDescent="0.25">
      <c r="C335" s="104"/>
    </row>
    <row r="336" spans="3:3" x14ac:dyDescent="0.25">
      <c r="C336" s="104"/>
    </row>
    <row r="337" spans="3:3" x14ac:dyDescent="0.25">
      <c r="C337" s="104"/>
    </row>
    <row r="338" spans="3:3" x14ac:dyDescent="0.25">
      <c r="C338" s="104"/>
    </row>
    <row r="339" spans="3:3" x14ac:dyDescent="0.25">
      <c r="C339" s="104"/>
    </row>
    <row r="340" spans="3:3" x14ac:dyDescent="0.25">
      <c r="C340" s="104"/>
    </row>
    <row r="341" spans="3:3" x14ac:dyDescent="0.25">
      <c r="C341" s="104"/>
    </row>
    <row r="342" spans="3:3" x14ac:dyDescent="0.25">
      <c r="C342" s="104"/>
    </row>
    <row r="343" spans="3:3" x14ac:dyDescent="0.25">
      <c r="C343" s="104"/>
    </row>
    <row r="344" spans="3:3" x14ac:dyDescent="0.25">
      <c r="C344" s="104"/>
    </row>
    <row r="345" spans="3:3" x14ac:dyDescent="0.25">
      <c r="C345" s="104"/>
    </row>
    <row r="346" spans="3:3" x14ac:dyDescent="0.25">
      <c r="C346" s="104"/>
    </row>
    <row r="347" spans="3:3" x14ac:dyDescent="0.25">
      <c r="C347" s="104"/>
    </row>
    <row r="348" spans="3:3" x14ac:dyDescent="0.25">
      <c r="C348" s="104"/>
    </row>
    <row r="349" spans="3:3" x14ac:dyDescent="0.25">
      <c r="C349" s="104"/>
    </row>
    <row r="350" spans="3:3" x14ac:dyDescent="0.25">
      <c r="C350" s="104"/>
    </row>
    <row r="351" spans="3:3" x14ac:dyDescent="0.25">
      <c r="C351" s="104"/>
    </row>
    <row r="352" spans="3:3" x14ac:dyDescent="0.25">
      <c r="C352" s="104"/>
    </row>
    <row r="353" spans="3:3" x14ac:dyDescent="0.25">
      <c r="C353" s="104"/>
    </row>
    <row r="354" spans="3:3" x14ac:dyDescent="0.25">
      <c r="C354" s="104"/>
    </row>
    <row r="355" spans="3:3" x14ac:dyDescent="0.25">
      <c r="C355" s="104"/>
    </row>
    <row r="356" spans="3:3" x14ac:dyDescent="0.25">
      <c r="C356" s="104"/>
    </row>
    <row r="357" spans="3:3" x14ac:dyDescent="0.25">
      <c r="C357" s="104"/>
    </row>
    <row r="358" spans="3:3" x14ac:dyDescent="0.25">
      <c r="C358" s="104"/>
    </row>
    <row r="359" spans="3:3" x14ac:dyDescent="0.25">
      <c r="C359" s="104"/>
    </row>
    <row r="360" spans="3:3" x14ac:dyDescent="0.25">
      <c r="C360" s="104"/>
    </row>
    <row r="361" spans="3:3" x14ac:dyDescent="0.25">
      <c r="C361" s="104"/>
    </row>
    <row r="362" spans="3:3" x14ac:dyDescent="0.25">
      <c r="C362" s="104"/>
    </row>
    <row r="363" spans="3:3" x14ac:dyDescent="0.25">
      <c r="C363" s="104"/>
    </row>
    <row r="364" spans="3:3" x14ac:dyDescent="0.25">
      <c r="C364" s="104"/>
    </row>
    <row r="365" spans="3:3" x14ac:dyDescent="0.25">
      <c r="C365" s="104"/>
    </row>
    <row r="366" spans="3:3" x14ac:dyDescent="0.25">
      <c r="C366" s="104"/>
    </row>
    <row r="367" spans="3:3" x14ac:dyDescent="0.25">
      <c r="C367" s="104"/>
    </row>
    <row r="368" spans="3:3" x14ac:dyDescent="0.25">
      <c r="C368" s="104"/>
    </row>
    <row r="369" spans="3:3" x14ac:dyDescent="0.25">
      <c r="C369" s="104"/>
    </row>
    <row r="370" spans="3:3" x14ac:dyDescent="0.25">
      <c r="C370" s="104"/>
    </row>
    <row r="371" spans="3:3" x14ac:dyDescent="0.25">
      <c r="C371" s="104"/>
    </row>
    <row r="372" spans="3:3" x14ac:dyDescent="0.25">
      <c r="C372" s="104"/>
    </row>
    <row r="373" spans="3:3" x14ac:dyDescent="0.25">
      <c r="C373" s="104"/>
    </row>
    <row r="374" spans="3:3" x14ac:dyDescent="0.25">
      <c r="C374" s="104"/>
    </row>
    <row r="375" spans="3:3" x14ac:dyDescent="0.25">
      <c r="C375" s="104"/>
    </row>
    <row r="376" spans="3:3" x14ac:dyDescent="0.25">
      <c r="C376" s="104"/>
    </row>
    <row r="377" spans="3:3" x14ac:dyDescent="0.25">
      <c r="C377" s="104"/>
    </row>
    <row r="378" spans="3:3" x14ac:dyDescent="0.25">
      <c r="C378" s="104"/>
    </row>
    <row r="379" spans="3:3" x14ac:dyDescent="0.25">
      <c r="C379" s="104"/>
    </row>
    <row r="380" spans="3:3" x14ac:dyDescent="0.25">
      <c r="C380" s="104"/>
    </row>
    <row r="381" spans="3:3" x14ac:dyDescent="0.25">
      <c r="C381" s="104"/>
    </row>
    <row r="382" spans="3:3" x14ac:dyDescent="0.25">
      <c r="C382" s="104"/>
    </row>
    <row r="383" spans="3:3" x14ac:dyDescent="0.25">
      <c r="C383" s="104"/>
    </row>
    <row r="384" spans="3:3" x14ac:dyDescent="0.25">
      <c r="C384" s="104"/>
    </row>
    <row r="385" spans="3:3" x14ac:dyDescent="0.25">
      <c r="C385" s="104"/>
    </row>
    <row r="386" spans="3:3" x14ac:dyDescent="0.25">
      <c r="C386" s="104"/>
    </row>
    <row r="387" spans="3:3" x14ac:dyDescent="0.25">
      <c r="C387" s="104"/>
    </row>
    <row r="388" spans="3:3" x14ac:dyDescent="0.25">
      <c r="C388" s="104"/>
    </row>
    <row r="389" spans="3:3" x14ac:dyDescent="0.25">
      <c r="C389" s="104"/>
    </row>
    <row r="390" spans="3:3" x14ac:dyDescent="0.25">
      <c r="C390" s="104"/>
    </row>
    <row r="391" spans="3:3" x14ac:dyDescent="0.25">
      <c r="C391" s="104"/>
    </row>
    <row r="392" spans="3:3" x14ac:dyDescent="0.25">
      <c r="C392" s="104"/>
    </row>
    <row r="393" spans="3:3" x14ac:dyDescent="0.25">
      <c r="C393" s="104"/>
    </row>
    <row r="394" spans="3:3" x14ac:dyDescent="0.25">
      <c r="C394" s="104"/>
    </row>
    <row r="395" spans="3:3" x14ac:dyDescent="0.25">
      <c r="C395" s="104"/>
    </row>
    <row r="396" spans="3:3" x14ac:dyDescent="0.25">
      <c r="C396" s="104"/>
    </row>
    <row r="397" spans="3:3" x14ac:dyDescent="0.25">
      <c r="C397" s="104"/>
    </row>
    <row r="398" spans="3:3" x14ac:dyDescent="0.25">
      <c r="C398" s="104"/>
    </row>
    <row r="399" spans="3:3" x14ac:dyDescent="0.25">
      <c r="C399" s="104"/>
    </row>
    <row r="400" spans="3:3" x14ac:dyDescent="0.25">
      <c r="C400" s="104"/>
    </row>
    <row r="401" spans="3:3" x14ac:dyDescent="0.25">
      <c r="C401" s="104"/>
    </row>
    <row r="402" spans="3:3" x14ac:dyDescent="0.25">
      <c r="C402" s="104"/>
    </row>
    <row r="403" spans="3:3" x14ac:dyDescent="0.25">
      <c r="C403" s="104"/>
    </row>
    <row r="404" spans="3:3" x14ac:dyDescent="0.25">
      <c r="C404" s="104"/>
    </row>
    <row r="405" spans="3:3" x14ac:dyDescent="0.25">
      <c r="C405" s="104"/>
    </row>
    <row r="406" spans="3:3" x14ac:dyDescent="0.25">
      <c r="C406" s="104"/>
    </row>
    <row r="407" spans="3:3" x14ac:dyDescent="0.25">
      <c r="C407" s="104"/>
    </row>
    <row r="408" spans="3:3" x14ac:dyDescent="0.25">
      <c r="C408" s="104"/>
    </row>
    <row r="409" spans="3:3" x14ac:dyDescent="0.25">
      <c r="C409" s="104"/>
    </row>
    <row r="410" spans="3:3" x14ac:dyDescent="0.25">
      <c r="C410" s="104"/>
    </row>
    <row r="411" spans="3:3" x14ac:dyDescent="0.25">
      <c r="C411" s="104"/>
    </row>
    <row r="412" spans="3:3" x14ac:dyDescent="0.25">
      <c r="C412" s="104"/>
    </row>
    <row r="413" spans="3:3" x14ac:dyDescent="0.25">
      <c r="C413" s="104"/>
    </row>
    <row r="414" spans="3:3" x14ac:dyDescent="0.25">
      <c r="C414" s="104"/>
    </row>
    <row r="415" spans="3:3" x14ac:dyDescent="0.25">
      <c r="C415" s="104"/>
    </row>
    <row r="416" spans="3:3" x14ac:dyDescent="0.25">
      <c r="C416" s="104"/>
    </row>
    <row r="417" spans="3:3" x14ac:dyDescent="0.25">
      <c r="C417" s="104"/>
    </row>
    <row r="418" spans="3:3" x14ac:dyDescent="0.25">
      <c r="C418" s="104"/>
    </row>
    <row r="419" spans="3:3" x14ac:dyDescent="0.25">
      <c r="C419" s="104"/>
    </row>
    <row r="420" spans="3:3" x14ac:dyDescent="0.25">
      <c r="C420" s="104"/>
    </row>
    <row r="421" spans="3:3" x14ac:dyDescent="0.25">
      <c r="C421" s="104"/>
    </row>
    <row r="422" spans="3:3" x14ac:dyDescent="0.25">
      <c r="C422" s="104"/>
    </row>
    <row r="423" spans="3:3" x14ac:dyDescent="0.25">
      <c r="C423" s="104"/>
    </row>
    <row r="424" spans="3:3" x14ac:dyDescent="0.25">
      <c r="C424" s="104"/>
    </row>
    <row r="425" spans="3:3" x14ac:dyDescent="0.25">
      <c r="C425" s="104"/>
    </row>
    <row r="426" spans="3:3" x14ac:dyDescent="0.25">
      <c r="C426" s="104"/>
    </row>
    <row r="427" spans="3:3" x14ac:dyDescent="0.25">
      <c r="C427" s="104"/>
    </row>
    <row r="428" spans="3:3" x14ac:dyDescent="0.25">
      <c r="C428" s="104"/>
    </row>
    <row r="429" spans="3:3" x14ac:dyDescent="0.25">
      <c r="C429" s="104"/>
    </row>
    <row r="430" spans="3:3" x14ac:dyDescent="0.25">
      <c r="C430" s="104"/>
    </row>
    <row r="431" spans="3:3" x14ac:dyDescent="0.25">
      <c r="C431" s="104"/>
    </row>
    <row r="432" spans="3:3" x14ac:dyDescent="0.25">
      <c r="C432" s="104"/>
    </row>
    <row r="433" spans="3:3" x14ac:dyDescent="0.25">
      <c r="C433" s="104"/>
    </row>
    <row r="434" spans="3:3" x14ac:dyDescent="0.25">
      <c r="C434" s="104"/>
    </row>
    <row r="435" spans="3:3" x14ac:dyDescent="0.25">
      <c r="C435" s="104"/>
    </row>
    <row r="436" spans="3:3" x14ac:dyDescent="0.25">
      <c r="C436" s="104"/>
    </row>
    <row r="437" spans="3:3" x14ac:dyDescent="0.25">
      <c r="C437" s="104"/>
    </row>
    <row r="438" spans="3:3" x14ac:dyDescent="0.25">
      <c r="C438" s="104"/>
    </row>
    <row r="439" spans="3:3" x14ac:dyDescent="0.25">
      <c r="C439" s="104"/>
    </row>
    <row r="440" spans="3:3" x14ac:dyDescent="0.25">
      <c r="C440" s="104"/>
    </row>
    <row r="441" spans="3:3" x14ac:dyDescent="0.25">
      <c r="C441" s="104"/>
    </row>
    <row r="442" spans="3:3" x14ac:dyDescent="0.25">
      <c r="C442" s="104"/>
    </row>
    <row r="443" spans="3:3" x14ac:dyDescent="0.25">
      <c r="C443" s="104"/>
    </row>
    <row r="444" spans="3:3" x14ac:dyDescent="0.25">
      <c r="C444" s="104"/>
    </row>
    <row r="445" spans="3:3" x14ac:dyDescent="0.25">
      <c r="C445" s="104"/>
    </row>
    <row r="446" spans="3:3" x14ac:dyDescent="0.25">
      <c r="C446" s="104"/>
    </row>
    <row r="447" spans="3:3" x14ac:dyDescent="0.25">
      <c r="C447" s="104"/>
    </row>
    <row r="448" spans="3:3" x14ac:dyDescent="0.25">
      <c r="C448" s="104"/>
    </row>
    <row r="449" spans="3:3" x14ac:dyDescent="0.25">
      <c r="C449" s="104"/>
    </row>
    <row r="450" spans="3:3" x14ac:dyDescent="0.25">
      <c r="C450" s="104"/>
    </row>
    <row r="451" spans="3:3" x14ac:dyDescent="0.25">
      <c r="C451" s="104"/>
    </row>
    <row r="452" spans="3:3" x14ac:dyDescent="0.25">
      <c r="C452" s="104"/>
    </row>
    <row r="453" spans="3:3" x14ac:dyDescent="0.25">
      <c r="C453" s="104"/>
    </row>
    <row r="454" spans="3:3" x14ac:dyDescent="0.25">
      <c r="C454" s="104"/>
    </row>
    <row r="455" spans="3:3" x14ac:dyDescent="0.25">
      <c r="C455" s="104"/>
    </row>
    <row r="456" spans="3:3" x14ac:dyDescent="0.25">
      <c r="C456" s="104"/>
    </row>
    <row r="457" spans="3:3" x14ac:dyDescent="0.25">
      <c r="C457" s="104"/>
    </row>
    <row r="458" spans="3:3" x14ac:dyDescent="0.25">
      <c r="C458" s="104"/>
    </row>
    <row r="459" spans="3:3" x14ac:dyDescent="0.25">
      <c r="C459" s="104"/>
    </row>
    <row r="460" spans="3:3" x14ac:dyDescent="0.25">
      <c r="C460" s="104"/>
    </row>
    <row r="461" spans="3:3" x14ac:dyDescent="0.25">
      <c r="C461" s="104"/>
    </row>
    <row r="462" spans="3:3" x14ac:dyDescent="0.25">
      <c r="C462" s="104"/>
    </row>
    <row r="463" spans="3:3" x14ac:dyDescent="0.25">
      <c r="C463" s="104"/>
    </row>
    <row r="464" spans="3:3" x14ac:dyDescent="0.25">
      <c r="C464" s="104"/>
    </row>
    <row r="465" spans="3:3" x14ac:dyDescent="0.25">
      <c r="C465" s="104"/>
    </row>
    <row r="466" spans="3:3" x14ac:dyDescent="0.25">
      <c r="C466" s="104"/>
    </row>
    <row r="467" spans="3:3" x14ac:dyDescent="0.25">
      <c r="C467" s="104"/>
    </row>
    <row r="468" spans="3:3" x14ac:dyDescent="0.25">
      <c r="C468" s="104"/>
    </row>
    <row r="469" spans="3:3" x14ac:dyDescent="0.25">
      <c r="C469" s="104"/>
    </row>
    <row r="470" spans="3:3" x14ac:dyDescent="0.25">
      <c r="C470" s="104"/>
    </row>
    <row r="471" spans="3:3" x14ac:dyDescent="0.25">
      <c r="C471" s="104"/>
    </row>
    <row r="472" spans="3:3" x14ac:dyDescent="0.25">
      <c r="C472" s="104"/>
    </row>
    <row r="473" spans="3:3" x14ac:dyDescent="0.25">
      <c r="C473" s="104"/>
    </row>
    <row r="474" spans="3:3" x14ac:dyDescent="0.25">
      <c r="C474" s="104"/>
    </row>
    <row r="475" spans="3:3" x14ac:dyDescent="0.25">
      <c r="C475" s="104"/>
    </row>
    <row r="476" spans="3:3" x14ac:dyDescent="0.25">
      <c r="C476" s="104"/>
    </row>
    <row r="477" spans="3:3" x14ac:dyDescent="0.25">
      <c r="C477" s="104"/>
    </row>
    <row r="478" spans="3:3" x14ac:dyDescent="0.25">
      <c r="C478" s="104"/>
    </row>
    <row r="479" spans="3:3" x14ac:dyDescent="0.25">
      <c r="C479" s="104"/>
    </row>
    <row r="480" spans="3:3" x14ac:dyDescent="0.25">
      <c r="C480" s="104"/>
    </row>
    <row r="481" spans="3:3" x14ac:dyDescent="0.25">
      <c r="C481" s="104"/>
    </row>
    <row r="482" spans="3:3" x14ac:dyDescent="0.25">
      <c r="C482" s="104"/>
    </row>
    <row r="483" spans="3:3" x14ac:dyDescent="0.25">
      <c r="C483" s="104"/>
    </row>
    <row r="484" spans="3:3" x14ac:dyDescent="0.25">
      <c r="C484" s="104"/>
    </row>
    <row r="485" spans="3:3" x14ac:dyDescent="0.25">
      <c r="C485" s="104"/>
    </row>
    <row r="486" spans="3:3" x14ac:dyDescent="0.25">
      <c r="C486" s="104"/>
    </row>
    <row r="487" spans="3:3" x14ac:dyDescent="0.25">
      <c r="C487" s="104"/>
    </row>
    <row r="488" spans="3:3" x14ac:dyDescent="0.25">
      <c r="C488" s="104"/>
    </row>
    <row r="489" spans="3:3" x14ac:dyDescent="0.25">
      <c r="C489" s="104"/>
    </row>
    <row r="490" spans="3:3" x14ac:dyDescent="0.25">
      <c r="C490" s="104"/>
    </row>
    <row r="491" spans="3:3" x14ac:dyDescent="0.25">
      <c r="C491" s="104"/>
    </row>
    <row r="492" spans="3:3" x14ac:dyDescent="0.25">
      <c r="C492" s="104"/>
    </row>
    <row r="493" spans="3:3" x14ac:dyDescent="0.25">
      <c r="C493" s="104"/>
    </row>
    <row r="494" spans="3:3" x14ac:dyDescent="0.25">
      <c r="C494" s="104"/>
    </row>
    <row r="495" spans="3:3" x14ac:dyDescent="0.25">
      <c r="C495" s="104"/>
    </row>
    <row r="496" spans="3:3" x14ac:dyDescent="0.25">
      <c r="C496" s="104"/>
    </row>
    <row r="497" spans="3:3" x14ac:dyDescent="0.25">
      <c r="C497" s="104"/>
    </row>
    <row r="498" spans="3:3" x14ac:dyDescent="0.25">
      <c r="C498" s="104"/>
    </row>
    <row r="499" spans="3:3" x14ac:dyDescent="0.25">
      <c r="C499" s="104"/>
    </row>
    <row r="500" spans="3:3" x14ac:dyDescent="0.25">
      <c r="C500" s="104"/>
    </row>
    <row r="501" spans="3:3" x14ac:dyDescent="0.25">
      <c r="C501" s="104"/>
    </row>
    <row r="502" spans="3:3" x14ac:dyDescent="0.25">
      <c r="C502" s="104"/>
    </row>
    <row r="503" spans="3:3" x14ac:dyDescent="0.25">
      <c r="C503" s="104"/>
    </row>
    <row r="504" spans="3:3" x14ac:dyDescent="0.25">
      <c r="C504" s="104"/>
    </row>
    <row r="505" spans="3:3" x14ac:dyDescent="0.25">
      <c r="C505" s="104"/>
    </row>
    <row r="506" spans="3:3" x14ac:dyDescent="0.25">
      <c r="C506" s="104"/>
    </row>
    <row r="507" spans="3:3" x14ac:dyDescent="0.25">
      <c r="C507" s="104"/>
    </row>
    <row r="508" spans="3:3" x14ac:dyDescent="0.25">
      <c r="C508" s="104"/>
    </row>
    <row r="509" spans="3:3" x14ac:dyDescent="0.25">
      <c r="C509" s="104"/>
    </row>
    <row r="510" spans="3:3" x14ac:dyDescent="0.25">
      <c r="C510" s="104"/>
    </row>
    <row r="511" spans="3:3" x14ac:dyDescent="0.25">
      <c r="C511" s="104"/>
    </row>
    <row r="512" spans="3:3" x14ac:dyDescent="0.25">
      <c r="C512" s="104"/>
    </row>
    <row r="513" spans="3:3" x14ac:dyDescent="0.25">
      <c r="C513" s="104"/>
    </row>
    <row r="514" spans="3:3" x14ac:dyDescent="0.25">
      <c r="C514" s="104"/>
    </row>
    <row r="515" spans="3:3" x14ac:dyDescent="0.25">
      <c r="C515" s="104"/>
    </row>
    <row r="516" spans="3:3" x14ac:dyDescent="0.25">
      <c r="C516" s="104"/>
    </row>
    <row r="517" spans="3:3" x14ac:dyDescent="0.25">
      <c r="C517" s="104"/>
    </row>
    <row r="518" spans="3:3" x14ac:dyDescent="0.25">
      <c r="C518" s="104"/>
    </row>
    <row r="519" spans="3:3" x14ac:dyDescent="0.25">
      <c r="C519" s="104"/>
    </row>
    <row r="520" spans="3:3" x14ac:dyDescent="0.25">
      <c r="C520" s="104"/>
    </row>
    <row r="521" spans="3:3" x14ac:dyDescent="0.25">
      <c r="C521" s="104"/>
    </row>
    <row r="522" spans="3:3" x14ac:dyDescent="0.25">
      <c r="C522" s="104"/>
    </row>
    <row r="523" spans="3:3" x14ac:dyDescent="0.25">
      <c r="C523" s="104"/>
    </row>
    <row r="524" spans="3:3" x14ac:dyDescent="0.25">
      <c r="C524" s="104"/>
    </row>
    <row r="525" spans="3:3" x14ac:dyDescent="0.25">
      <c r="C525" s="104"/>
    </row>
    <row r="526" spans="3:3" x14ac:dyDescent="0.25">
      <c r="C526" s="104"/>
    </row>
    <row r="527" spans="3:3" x14ac:dyDescent="0.25">
      <c r="C527" s="104"/>
    </row>
    <row r="528" spans="3:3" x14ac:dyDescent="0.25">
      <c r="C528" s="104"/>
    </row>
    <row r="529" spans="3:3" x14ac:dyDescent="0.25">
      <c r="C529" s="104"/>
    </row>
    <row r="530" spans="3:3" x14ac:dyDescent="0.25">
      <c r="C530" s="104"/>
    </row>
    <row r="531" spans="3:3" x14ac:dyDescent="0.25">
      <c r="C531" s="104"/>
    </row>
    <row r="532" spans="3:3" x14ac:dyDescent="0.25">
      <c r="C532" s="104"/>
    </row>
    <row r="533" spans="3:3" x14ac:dyDescent="0.25">
      <c r="C533" s="104"/>
    </row>
    <row r="534" spans="3:3" x14ac:dyDescent="0.25">
      <c r="C534" s="104"/>
    </row>
    <row r="535" spans="3:3" x14ac:dyDescent="0.25">
      <c r="C535" s="104"/>
    </row>
    <row r="536" spans="3:3" x14ac:dyDescent="0.25">
      <c r="C536" s="104"/>
    </row>
    <row r="537" spans="3:3" x14ac:dyDescent="0.25">
      <c r="C537" s="104"/>
    </row>
    <row r="538" spans="3:3" x14ac:dyDescent="0.25">
      <c r="C538" s="104"/>
    </row>
    <row r="539" spans="3:3" x14ac:dyDescent="0.25">
      <c r="C539" s="104"/>
    </row>
    <row r="540" spans="3:3" x14ac:dyDescent="0.25">
      <c r="C540" s="104"/>
    </row>
    <row r="541" spans="3:3" x14ac:dyDescent="0.25">
      <c r="C541" s="104"/>
    </row>
    <row r="542" spans="3:3" x14ac:dyDescent="0.25">
      <c r="C542" s="104"/>
    </row>
    <row r="543" spans="3:3" x14ac:dyDescent="0.25">
      <c r="C543" s="104"/>
    </row>
    <row r="544" spans="3:3" x14ac:dyDescent="0.25">
      <c r="C544" s="104"/>
    </row>
    <row r="545" spans="3:3" x14ac:dyDescent="0.25">
      <c r="C545" s="104"/>
    </row>
    <row r="546" spans="3:3" x14ac:dyDescent="0.25">
      <c r="C546" s="104"/>
    </row>
    <row r="547" spans="3:3" x14ac:dyDescent="0.25">
      <c r="C547" s="104"/>
    </row>
    <row r="548" spans="3:3" x14ac:dyDescent="0.25">
      <c r="C548" s="104"/>
    </row>
    <row r="549" spans="3:3" x14ac:dyDescent="0.25">
      <c r="C549" s="104"/>
    </row>
    <row r="550" spans="3:3" x14ac:dyDescent="0.25">
      <c r="C550" s="104"/>
    </row>
    <row r="551" spans="3:3" x14ac:dyDescent="0.25">
      <c r="C551" s="104"/>
    </row>
    <row r="552" spans="3:3" x14ac:dyDescent="0.25">
      <c r="C552" s="104"/>
    </row>
    <row r="553" spans="3:3" x14ac:dyDescent="0.25">
      <c r="C553" s="104"/>
    </row>
    <row r="554" spans="3:3" x14ac:dyDescent="0.25">
      <c r="C554" s="104"/>
    </row>
    <row r="555" spans="3:3" x14ac:dyDescent="0.25">
      <c r="C555" s="104"/>
    </row>
    <row r="556" spans="3:3" x14ac:dyDescent="0.25">
      <c r="C556" s="104"/>
    </row>
    <row r="557" spans="3:3" x14ac:dyDescent="0.25">
      <c r="C557" s="104"/>
    </row>
    <row r="558" spans="3:3" x14ac:dyDescent="0.25">
      <c r="C558" s="104"/>
    </row>
    <row r="559" spans="3:3" x14ac:dyDescent="0.25">
      <c r="C559" s="104"/>
    </row>
    <row r="560" spans="3:3" x14ac:dyDescent="0.25">
      <c r="C560" s="104"/>
    </row>
    <row r="561" spans="3:3" x14ac:dyDescent="0.25">
      <c r="C561" s="104"/>
    </row>
    <row r="562" spans="3:3" x14ac:dyDescent="0.25">
      <c r="C562" s="104"/>
    </row>
    <row r="563" spans="3:3" x14ac:dyDescent="0.25">
      <c r="C563" s="104"/>
    </row>
    <row r="564" spans="3:3" x14ac:dyDescent="0.25">
      <c r="C564" s="104"/>
    </row>
    <row r="565" spans="3:3" x14ac:dyDescent="0.25">
      <c r="C565" s="104"/>
    </row>
    <row r="566" spans="3:3" x14ac:dyDescent="0.25">
      <c r="C566" s="104"/>
    </row>
    <row r="567" spans="3:3" x14ac:dyDescent="0.25">
      <c r="C567" s="104"/>
    </row>
    <row r="568" spans="3:3" x14ac:dyDescent="0.25">
      <c r="C568" s="104"/>
    </row>
    <row r="569" spans="3:3" x14ac:dyDescent="0.25">
      <c r="C569" s="104"/>
    </row>
    <row r="570" spans="3:3" x14ac:dyDescent="0.25">
      <c r="C570" s="104"/>
    </row>
    <row r="571" spans="3:3" x14ac:dyDescent="0.25">
      <c r="C571" s="104"/>
    </row>
    <row r="572" spans="3:3" x14ac:dyDescent="0.25">
      <c r="C572" s="104"/>
    </row>
    <row r="573" spans="3:3" x14ac:dyDescent="0.25">
      <c r="C573" s="104"/>
    </row>
    <row r="574" spans="3:3" x14ac:dyDescent="0.25">
      <c r="C574" s="104"/>
    </row>
    <row r="575" spans="3:3" x14ac:dyDescent="0.25">
      <c r="C575" s="104"/>
    </row>
    <row r="576" spans="3:3" x14ac:dyDescent="0.25">
      <c r="C576" s="104"/>
    </row>
    <row r="577" spans="3:3" x14ac:dyDescent="0.25">
      <c r="C577" s="104"/>
    </row>
    <row r="578" spans="3:3" x14ac:dyDescent="0.25">
      <c r="C578" s="104"/>
    </row>
    <row r="579" spans="3:3" x14ac:dyDescent="0.25">
      <c r="C579" s="104"/>
    </row>
    <row r="580" spans="3:3" x14ac:dyDescent="0.25">
      <c r="C580" s="104"/>
    </row>
    <row r="581" spans="3:3" x14ac:dyDescent="0.25">
      <c r="C581" s="104"/>
    </row>
    <row r="582" spans="3:3" x14ac:dyDescent="0.25">
      <c r="C582" s="104"/>
    </row>
    <row r="583" spans="3:3" x14ac:dyDescent="0.25">
      <c r="C583" s="104"/>
    </row>
    <row r="584" spans="3:3" x14ac:dyDescent="0.25">
      <c r="C584" s="104"/>
    </row>
    <row r="585" spans="3:3" x14ac:dyDescent="0.25">
      <c r="C585" s="104"/>
    </row>
    <row r="586" spans="3:3" x14ac:dyDescent="0.25">
      <c r="C586" s="104"/>
    </row>
    <row r="587" spans="3:3" x14ac:dyDescent="0.25">
      <c r="C587" s="104"/>
    </row>
    <row r="588" spans="3:3" x14ac:dyDescent="0.25">
      <c r="C588" s="104"/>
    </row>
    <row r="589" spans="3:3" x14ac:dyDescent="0.25">
      <c r="C589" s="104"/>
    </row>
    <row r="590" spans="3:3" x14ac:dyDescent="0.25">
      <c r="C590" s="104"/>
    </row>
    <row r="591" spans="3:3" x14ac:dyDescent="0.25">
      <c r="C591" s="104"/>
    </row>
    <row r="592" spans="3:3" x14ac:dyDescent="0.25">
      <c r="C592" s="104"/>
    </row>
    <row r="593" spans="3:3" x14ac:dyDescent="0.25">
      <c r="C593" s="104"/>
    </row>
    <row r="594" spans="3:3" x14ac:dyDescent="0.25">
      <c r="C594" s="104"/>
    </row>
    <row r="595" spans="3:3" x14ac:dyDescent="0.25">
      <c r="C595" s="104"/>
    </row>
    <row r="596" spans="3:3" x14ac:dyDescent="0.25">
      <c r="C596" s="104"/>
    </row>
    <row r="597" spans="3:3" x14ac:dyDescent="0.25">
      <c r="C597" s="104"/>
    </row>
    <row r="598" spans="3:3" x14ac:dyDescent="0.25">
      <c r="C598" s="104"/>
    </row>
    <row r="599" spans="3:3" x14ac:dyDescent="0.25">
      <c r="C599" s="104"/>
    </row>
    <row r="600" spans="3:3" x14ac:dyDescent="0.25">
      <c r="C600" s="104"/>
    </row>
    <row r="601" spans="3:3" x14ac:dyDescent="0.25">
      <c r="C601" s="104"/>
    </row>
    <row r="602" spans="3:3" x14ac:dyDescent="0.25">
      <c r="C602" s="104"/>
    </row>
    <row r="603" spans="3:3" x14ac:dyDescent="0.25">
      <c r="C603" s="104"/>
    </row>
    <row r="604" spans="3:3" x14ac:dyDescent="0.25">
      <c r="C604" s="104"/>
    </row>
    <row r="605" spans="3:3" x14ac:dyDescent="0.25">
      <c r="C605" s="104"/>
    </row>
    <row r="606" spans="3:3" x14ac:dyDescent="0.25">
      <c r="C606" s="104"/>
    </row>
    <row r="607" spans="3:3" x14ac:dyDescent="0.25">
      <c r="C607" s="104"/>
    </row>
    <row r="608" spans="3:3" x14ac:dyDescent="0.25">
      <c r="C608" s="104"/>
    </row>
    <row r="609" spans="3:3" x14ac:dyDescent="0.25">
      <c r="C609" s="104"/>
    </row>
    <row r="610" spans="3:3" x14ac:dyDescent="0.25">
      <c r="C610" s="104"/>
    </row>
    <row r="611" spans="3:3" x14ac:dyDescent="0.25">
      <c r="C611" s="104"/>
    </row>
    <row r="612" spans="3:3" x14ac:dyDescent="0.25">
      <c r="C612" s="104"/>
    </row>
    <row r="613" spans="3:3" x14ac:dyDescent="0.25">
      <c r="C613" s="104"/>
    </row>
    <row r="614" spans="3:3" x14ac:dyDescent="0.25">
      <c r="C614" s="104"/>
    </row>
    <row r="615" spans="3:3" x14ac:dyDescent="0.25">
      <c r="C615" s="104"/>
    </row>
    <row r="616" spans="3:3" x14ac:dyDescent="0.25">
      <c r="C616" s="104"/>
    </row>
    <row r="617" spans="3:3" x14ac:dyDescent="0.25">
      <c r="C617" s="104"/>
    </row>
    <row r="618" spans="3:3" x14ac:dyDescent="0.25">
      <c r="C618" s="104"/>
    </row>
    <row r="619" spans="3:3" x14ac:dyDescent="0.25">
      <c r="C619" s="104"/>
    </row>
    <row r="620" spans="3:3" x14ac:dyDescent="0.25">
      <c r="C620" s="104"/>
    </row>
    <row r="621" spans="3:3" x14ac:dyDescent="0.25">
      <c r="C621" s="104"/>
    </row>
    <row r="622" spans="3:3" x14ac:dyDescent="0.25">
      <c r="C622" s="104"/>
    </row>
    <row r="623" spans="3:3" x14ac:dyDescent="0.25">
      <c r="C623" s="104"/>
    </row>
    <row r="624" spans="3:3" x14ac:dyDescent="0.25">
      <c r="C624" s="104"/>
    </row>
    <row r="625" spans="3:3" x14ac:dyDescent="0.25">
      <c r="C625" s="104"/>
    </row>
    <row r="626" spans="3:3" x14ac:dyDescent="0.25">
      <c r="C626" s="104"/>
    </row>
    <row r="627" spans="3:3" x14ac:dyDescent="0.25">
      <c r="C627" s="104"/>
    </row>
    <row r="628" spans="3:3" x14ac:dyDescent="0.25">
      <c r="C628" s="104"/>
    </row>
    <row r="629" spans="3:3" x14ac:dyDescent="0.25">
      <c r="C629" s="104"/>
    </row>
    <row r="630" spans="3:3" x14ac:dyDescent="0.25">
      <c r="C630" s="104"/>
    </row>
    <row r="631" spans="3:3" x14ac:dyDescent="0.25">
      <c r="C631" s="104"/>
    </row>
    <row r="632" spans="3:3" x14ac:dyDescent="0.25">
      <c r="C632" s="104"/>
    </row>
    <row r="633" spans="3:3" x14ac:dyDescent="0.25">
      <c r="C633" s="104"/>
    </row>
    <row r="634" spans="3:3" x14ac:dyDescent="0.25">
      <c r="C634" s="104"/>
    </row>
    <row r="635" spans="3:3" x14ac:dyDescent="0.25">
      <c r="C635" s="104"/>
    </row>
    <row r="636" spans="3:3" x14ac:dyDescent="0.25">
      <c r="C636" s="104"/>
    </row>
    <row r="637" spans="3:3" x14ac:dyDescent="0.25">
      <c r="C637" s="104"/>
    </row>
    <row r="638" spans="3:3" x14ac:dyDescent="0.25">
      <c r="C638" s="104"/>
    </row>
    <row r="639" spans="3:3" x14ac:dyDescent="0.25">
      <c r="C639" s="104"/>
    </row>
    <row r="640" spans="3:3" x14ac:dyDescent="0.25">
      <c r="C640" s="104"/>
    </row>
    <row r="641" spans="3:3" x14ac:dyDescent="0.25">
      <c r="C641" s="104"/>
    </row>
    <row r="642" spans="3:3" x14ac:dyDescent="0.25">
      <c r="C642" s="104"/>
    </row>
    <row r="643" spans="3:3" x14ac:dyDescent="0.25">
      <c r="C643" s="104"/>
    </row>
    <row r="644" spans="3:3" x14ac:dyDescent="0.25">
      <c r="C644" s="104"/>
    </row>
    <row r="645" spans="3:3" x14ac:dyDescent="0.25">
      <c r="C645" s="104"/>
    </row>
    <row r="646" spans="3:3" x14ac:dyDescent="0.25">
      <c r="C646" s="104"/>
    </row>
    <row r="647" spans="3:3" x14ac:dyDescent="0.25">
      <c r="C647" s="104"/>
    </row>
    <row r="648" spans="3:3" x14ac:dyDescent="0.25">
      <c r="C648" s="104"/>
    </row>
    <row r="649" spans="3:3" x14ac:dyDescent="0.25">
      <c r="C649" s="104"/>
    </row>
    <row r="650" spans="3:3" x14ac:dyDescent="0.25">
      <c r="C650" s="104"/>
    </row>
    <row r="651" spans="3:3" x14ac:dyDescent="0.25">
      <c r="C651" s="104"/>
    </row>
    <row r="652" spans="3:3" x14ac:dyDescent="0.25">
      <c r="C652" s="104"/>
    </row>
    <row r="653" spans="3:3" x14ac:dyDescent="0.25">
      <c r="C653" s="104"/>
    </row>
    <row r="654" spans="3:3" x14ac:dyDescent="0.25">
      <c r="C654" s="104"/>
    </row>
    <row r="655" spans="3:3" x14ac:dyDescent="0.25">
      <c r="C655" s="104"/>
    </row>
    <row r="656" spans="3:3" x14ac:dyDescent="0.25">
      <c r="C656" s="104"/>
    </row>
    <row r="657" spans="3:3" x14ac:dyDescent="0.25">
      <c r="C657" s="104"/>
    </row>
    <row r="658" spans="3:3" x14ac:dyDescent="0.25">
      <c r="C658" s="104"/>
    </row>
    <row r="659" spans="3:3" x14ac:dyDescent="0.25">
      <c r="C659" s="104"/>
    </row>
    <row r="660" spans="3:3" x14ac:dyDescent="0.25">
      <c r="C660" s="104"/>
    </row>
    <row r="661" spans="3:3" x14ac:dyDescent="0.25">
      <c r="C661" s="104"/>
    </row>
    <row r="662" spans="3:3" x14ac:dyDescent="0.25">
      <c r="C662" s="104"/>
    </row>
    <row r="663" spans="3:3" x14ac:dyDescent="0.25">
      <c r="C663" s="104"/>
    </row>
    <row r="664" spans="3:3" x14ac:dyDescent="0.25">
      <c r="C664" s="104"/>
    </row>
    <row r="665" spans="3:3" x14ac:dyDescent="0.25">
      <c r="C665" s="104"/>
    </row>
    <row r="666" spans="3:3" x14ac:dyDescent="0.25">
      <c r="C666" s="104"/>
    </row>
    <row r="667" spans="3:3" x14ac:dyDescent="0.25">
      <c r="C667" s="104"/>
    </row>
    <row r="668" spans="3:3" x14ac:dyDescent="0.25">
      <c r="C668" s="104"/>
    </row>
    <row r="669" spans="3:3" x14ac:dyDescent="0.25">
      <c r="C669" s="104"/>
    </row>
    <row r="670" spans="3:3" x14ac:dyDescent="0.25">
      <c r="C670" s="104"/>
    </row>
    <row r="671" spans="3:3" x14ac:dyDescent="0.25">
      <c r="C671" s="104"/>
    </row>
    <row r="672" spans="3:3" x14ac:dyDescent="0.25">
      <c r="C672" s="104"/>
    </row>
    <row r="673" spans="3:3" x14ac:dyDescent="0.25">
      <c r="C673" s="104"/>
    </row>
    <row r="674" spans="3:3" x14ac:dyDescent="0.25">
      <c r="C674" s="104"/>
    </row>
    <row r="675" spans="3:3" x14ac:dyDescent="0.25">
      <c r="C675" s="104"/>
    </row>
    <row r="676" spans="3:3" x14ac:dyDescent="0.25">
      <c r="C676" s="104"/>
    </row>
    <row r="677" spans="3:3" x14ac:dyDescent="0.25">
      <c r="C677" s="104"/>
    </row>
    <row r="678" spans="3:3" x14ac:dyDescent="0.25">
      <c r="C678" s="104"/>
    </row>
    <row r="679" spans="3:3" x14ac:dyDescent="0.25">
      <c r="C679" s="104"/>
    </row>
    <row r="680" spans="3:3" x14ac:dyDescent="0.25">
      <c r="C680" s="104"/>
    </row>
    <row r="681" spans="3:3" x14ac:dyDescent="0.25">
      <c r="C681" s="104"/>
    </row>
    <row r="682" spans="3:3" x14ac:dyDescent="0.25">
      <c r="C682" s="104"/>
    </row>
    <row r="683" spans="3:3" x14ac:dyDescent="0.25">
      <c r="C683" s="104"/>
    </row>
    <row r="684" spans="3:3" x14ac:dyDescent="0.25">
      <c r="C684" s="104"/>
    </row>
    <row r="685" spans="3:3" x14ac:dyDescent="0.25">
      <c r="C685" s="104"/>
    </row>
    <row r="686" spans="3:3" x14ac:dyDescent="0.25">
      <c r="C686" s="104"/>
    </row>
    <row r="687" spans="3:3" x14ac:dyDescent="0.25">
      <c r="C687" s="104"/>
    </row>
    <row r="688" spans="3:3" x14ac:dyDescent="0.25">
      <c r="C688" s="104"/>
    </row>
    <row r="689" spans="3:3" x14ac:dyDescent="0.25">
      <c r="C689" s="104"/>
    </row>
    <row r="690" spans="3:3" x14ac:dyDescent="0.25">
      <c r="C690" s="104"/>
    </row>
    <row r="691" spans="3:3" x14ac:dyDescent="0.25">
      <c r="C691" s="104"/>
    </row>
    <row r="692" spans="3:3" x14ac:dyDescent="0.25">
      <c r="C692" s="104"/>
    </row>
    <row r="693" spans="3:3" x14ac:dyDescent="0.25">
      <c r="C693" s="104"/>
    </row>
    <row r="694" spans="3:3" x14ac:dyDescent="0.25">
      <c r="C694" s="104"/>
    </row>
    <row r="695" spans="3:3" x14ac:dyDescent="0.25">
      <c r="C695" s="104"/>
    </row>
    <row r="696" spans="3:3" x14ac:dyDescent="0.25">
      <c r="C696" s="104"/>
    </row>
    <row r="697" spans="3:3" x14ac:dyDescent="0.25">
      <c r="C697" s="104"/>
    </row>
    <row r="698" spans="3:3" x14ac:dyDescent="0.25">
      <c r="C698" s="104"/>
    </row>
    <row r="699" spans="3:3" x14ac:dyDescent="0.25">
      <c r="C699" s="104"/>
    </row>
    <row r="700" spans="3:3" x14ac:dyDescent="0.25">
      <c r="C700" s="104"/>
    </row>
    <row r="701" spans="3:3" x14ac:dyDescent="0.25">
      <c r="C701" s="104"/>
    </row>
    <row r="702" spans="3:3" x14ac:dyDescent="0.25">
      <c r="C702" s="104"/>
    </row>
    <row r="703" spans="3:3" x14ac:dyDescent="0.25">
      <c r="C703" s="104"/>
    </row>
    <row r="704" spans="3:3" x14ac:dyDescent="0.25">
      <c r="C704" s="104"/>
    </row>
    <row r="705" spans="3:3" x14ac:dyDescent="0.25">
      <c r="C705" s="104"/>
    </row>
    <row r="706" spans="3:3" x14ac:dyDescent="0.25">
      <c r="C706" s="104"/>
    </row>
    <row r="707" spans="3:3" x14ac:dyDescent="0.25">
      <c r="C707" s="104"/>
    </row>
    <row r="708" spans="3:3" x14ac:dyDescent="0.25">
      <c r="C708" s="104"/>
    </row>
    <row r="709" spans="3:3" x14ac:dyDescent="0.25">
      <c r="C709" s="104"/>
    </row>
    <row r="710" spans="3:3" x14ac:dyDescent="0.25">
      <c r="C710" s="104"/>
    </row>
    <row r="711" spans="3:3" x14ac:dyDescent="0.25">
      <c r="C711" s="104"/>
    </row>
    <row r="712" spans="3:3" x14ac:dyDescent="0.25">
      <c r="C712" s="104"/>
    </row>
    <row r="713" spans="3:3" x14ac:dyDescent="0.25">
      <c r="C713" s="104"/>
    </row>
    <row r="714" spans="3:3" x14ac:dyDescent="0.25">
      <c r="C714" s="104"/>
    </row>
    <row r="715" spans="3:3" x14ac:dyDescent="0.25">
      <c r="C715" s="104"/>
    </row>
    <row r="716" spans="3:3" x14ac:dyDescent="0.25">
      <c r="C716" s="104"/>
    </row>
    <row r="717" spans="3:3" x14ac:dyDescent="0.25">
      <c r="C717" s="104"/>
    </row>
    <row r="718" spans="3:3" x14ac:dyDescent="0.25">
      <c r="C718" s="104"/>
    </row>
    <row r="719" spans="3:3" x14ac:dyDescent="0.25">
      <c r="C719" s="104"/>
    </row>
    <row r="720" spans="3:3" x14ac:dyDescent="0.25">
      <c r="C720" s="104"/>
    </row>
    <row r="721" spans="3:3" x14ac:dyDescent="0.25">
      <c r="C721" s="104"/>
    </row>
    <row r="722" spans="3:3" x14ac:dyDescent="0.25">
      <c r="C722" s="104"/>
    </row>
    <row r="723" spans="3:3" x14ac:dyDescent="0.25">
      <c r="C723" s="104"/>
    </row>
    <row r="724" spans="3:3" x14ac:dyDescent="0.25">
      <c r="C724" s="104"/>
    </row>
    <row r="725" spans="3:3" x14ac:dyDescent="0.25">
      <c r="C725" s="104"/>
    </row>
    <row r="726" spans="3:3" x14ac:dyDescent="0.25">
      <c r="C726" s="104"/>
    </row>
    <row r="727" spans="3:3" x14ac:dyDescent="0.25">
      <c r="C727" s="104"/>
    </row>
    <row r="728" spans="3:3" x14ac:dyDescent="0.25">
      <c r="C728" s="104"/>
    </row>
    <row r="729" spans="3:3" x14ac:dyDescent="0.25">
      <c r="C729" s="104"/>
    </row>
    <row r="730" spans="3:3" x14ac:dyDescent="0.25">
      <c r="C730" s="104"/>
    </row>
    <row r="731" spans="3:3" x14ac:dyDescent="0.25">
      <c r="C731" s="104"/>
    </row>
    <row r="732" spans="3:3" x14ac:dyDescent="0.25">
      <c r="C732" s="104"/>
    </row>
    <row r="733" spans="3:3" x14ac:dyDescent="0.25">
      <c r="C733" s="104"/>
    </row>
    <row r="734" spans="3:3" x14ac:dyDescent="0.25">
      <c r="C734" s="104"/>
    </row>
    <row r="735" spans="3:3" x14ac:dyDescent="0.25">
      <c r="C735" s="104"/>
    </row>
    <row r="736" spans="3:3" x14ac:dyDescent="0.25">
      <c r="C736" s="104"/>
    </row>
    <row r="737" spans="3:3" x14ac:dyDescent="0.25">
      <c r="C737" s="104"/>
    </row>
    <row r="738" spans="3:3" x14ac:dyDescent="0.25">
      <c r="C738" s="104"/>
    </row>
    <row r="739" spans="3:3" x14ac:dyDescent="0.25">
      <c r="C739" s="104"/>
    </row>
    <row r="740" spans="3:3" x14ac:dyDescent="0.25">
      <c r="C740" s="104"/>
    </row>
    <row r="741" spans="3:3" x14ac:dyDescent="0.25">
      <c r="C741" s="104"/>
    </row>
    <row r="742" spans="3:3" x14ac:dyDescent="0.25">
      <c r="C742" s="104"/>
    </row>
    <row r="743" spans="3:3" x14ac:dyDescent="0.25">
      <c r="C743" s="104"/>
    </row>
    <row r="744" spans="3:3" x14ac:dyDescent="0.25">
      <c r="C744" s="104"/>
    </row>
    <row r="745" spans="3:3" x14ac:dyDescent="0.25">
      <c r="C745" s="104"/>
    </row>
    <row r="746" spans="3:3" x14ac:dyDescent="0.25">
      <c r="C746" s="104"/>
    </row>
    <row r="747" spans="3:3" x14ac:dyDescent="0.25">
      <c r="C747" s="104"/>
    </row>
    <row r="748" spans="3:3" x14ac:dyDescent="0.25">
      <c r="C748" s="104"/>
    </row>
    <row r="749" spans="3:3" x14ac:dyDescent="0.25">
      <c r="C749" s="104"/>
    </row>
    <row r="750" spans="3:3" x14ac:dyDescent="0.25">
      <c r="C750" s="104"/>
    </row>
    <row r="751" spans="3:3" x14ac:dyDescent="0.25">
      <c r="C751" s="104"/>
    </row>
    <row r="752" spans="3:3" x14ac:dyDescent="0.25">
      <c r="C752" s="104"/>
    </row>
    <row r="753" spans="3:3" x14ac:dyDescent="0.25">
      <c r="C753" s="104"/>
    </row>
    <row r="754" spans="3:3" x14ac:dyDescent="0.25">
      <c r="C754" s="104"/>
    </row>
    <row r="755" spans="3:3" x14ac:dyDescent="0.25">
      <c r="C755" s="104"/>
    </row>
    <row r="756" spans="3:3" x14ac:dyDescent="0.25">
      <c r="C756" s="104"/>
    </row>
    <row r="757" spans="3:3" x14ac:dyDescent="0.25">
      <c r="C757" s="104"/>
    </row>
    <row r="758" spans="3:3" x14ac:dyDescent="0.25">
      <c r="C758" s="104"/>
    </row>
    <row r="759" spans="3:3" x14ac:dyDescent="0.25">
      <c r="C759" s="104"/>
    </row>
    <row r="760" spans="3:3" x14ac:dyDescent="0.25">
      <c r="C760" s="104"/>
    </row>
    <row r="761" spans="3:3" x14ac:dyDescent="0.25">
      <c r="C761" s="104"/>
    </row>
    <row r="762" spans="3:3" x14ac:dyDescent="0.25">
      <c r="C762" s="104"/>
    </row>
    <row r="763" spans="3:3" x14ac:dyDescent="0.25">
      <c r="C763" s="104"/>
    </row>
    <row r="764" spans="3:3" x14ac:dyDescent="0.25">
      <c r="C764" s="104"/>
    </row>
    <row r="765" spans="3:3" x14ac:dyDescent="0.25">
      <c r="C765" s="104"/>
    </row>
    <row r="766" spans="3:3" x14ac:dyDescent="0.25">
      <c r="C766" s="104"/>
    </row>
    <row r="767" spans="3:3" x14ac:dyDescent="0.25">
      <c r="C767" s="104"/>
    </row>
    <row r="768" spans="3:3" x14ac:dyDescent="0.25">
      <c r="C768" s="104"/>
    </row>
    <row r="769" spans="3:3" x14ac:dyDescent="0.25">
      <c r="C769" s="104"/>
    </row>
    <row r="770" spans="3:3" x14ac:dyDescent="0.25">
      <c r="C770" s="104"/>
    </row>
    <row r="771" spans="3:3" x14ac:dyDescent="0.25">
      <c r="C771" s="104"/>
    </row>
    <row r="772" spans="3:3" x14ac:dyDescent="0.25">
      <c r="C772" s="104"/>
    </row>
    <row r="773" spans="3:3" x14ac:dyDescent="0.25">
      <c r="C773" s="104"/>
    </row>
    <row r="774" spans="3:3" x14ac:dyDescent="0.25">
      <c r="C774" s="104"/>
    </row>
    <row r="775" spans="3:3" x14ac:dyDescent="0.25">
      <c r="C775" s="104"/>
    </row>
    <row r="776" spans="3:3" x14ac:dyDescent="0.25">
      <c r="C776" s="104"/>
    </row>
    <row r="777" spans="3:3" x14ac:dyDescent="0.25">
      <c r="C777" s="104"/>
    </row>
    <row r="778" spans="3:3" x14ac:dyDescent="0.25">
      <c r="C778" s="104"/>
    </row>
    <row r="779" spans="3:3" x14ac:dyDescent="0.25">
      <c r="C779" s="104"/>
    </row>
    <row r="780" spans="3:3" x14ac:dyDescent="0.25">
      <c r="C780" s="104"/>
    </row>
    <row r="781" spans="3:3" x14ac:dyDescent="0.25">
      <c r="C781" s="104"/>
    </row>
    <row r="782" spans="3:3" x14ac:dyDescent="0.25">
      <c r="C782" s="104"/>
    </row>
    <row r="783" spans="3:3" x14ac:dyDescent="0.25">
      <c r="C783" s="104"/>
    </row>
    <row r="784" spans="3:3" x14ac:dyDescent="0.25">
      <c r="C784" s="104"/>
    </row>
    <row r="785" spans="3:3" x14ac:dyDescent="0.25">
      <c r="C785" s="104"/>
    </row>
    <row r="786" spans="3:3" x14ac:dyDescent="0.25">
      <c r="C786" s="104"/>
    </row>
    <row r="787" spans="3:3" x14ac:dyDescent="0.25">
      <c r="C787" s="104"/>
    </row>
    <row r="788" spans="3:3" x14ac:dyDescent="0.25">
      <c r="C788" s="104"/>
    </row>
    <row r="789" spans="3:3" x14ac:dyDescent="0.25">
      <c r="C789" s="104"/>
    </row>
    <row r="790" spans="3:3" x14ac:dyDescent="0.25">
      <c r="C790" s="104"/>
    </row>
    <row r="791" spans="3:3" x14ac:dyDescent="0.25">
      <c r="C791" s="104"/>
    </row>
    <row r="792" spans="3:3" x14ac:dyDescent="0.25">
      <c r="C792" s="104"/>
    </row>
    <row r="793" spans="3:3" x14ac:dyDescent="0.25">
      <c r="C793" s="104"/>
    </row>
    <row r="794" spans="3:3" x14ac:dyDescent="0.25">
      <c r="C794" s="104"/>
    </row>
    <row r="795" spans="3:3" x14ac:dyDescent="0.25">
      <c r="C795" s="104"/>
    </row>
    <row r="796" spans="3:3" x14ac:dyDescent="0.25">
      <c r="C796" s="104"/>
    </row>
    <row r="797" spans="3:3" x14ac:dyDescent="0.25">
      <c r="C797" s="104"/>
    </row>
    <row r="798" spans="3:3" x14ac:dyDescent="0.25">
      <c r="C798" s="104"/>
    </row>
    <row r="799" spans="3:3" x14ac:dyDescent="0.25">
      <c r="C799" s="104"/>
    </row>
    <row r="800" spans="3:3" x14ac:dyDescent="0.25">
      <c r="C800" s="104"/>
    </row>
    <row r="801" spans="3:3" x14ac:dyDescent="0.25">
      <c r="C801" s="104"/>
    </row>
    <row r="802" spans="3:3" x14ac:dyDescent="0.25">
      <c r="C802" s="104"/>
    </row>
    <row r="803" spans="3:3" x14ac:dyDescent="0.25">
      <c r="C803" s="104"/>
    </row>
    <row r="804" spans="3:3" x14ac:dyDescent="0.25">
      <c r="C804" s="104"/>
    </row>
    <row r="805" spans="3:3" x14ac:dyDescent="0.25">
      <c r="C805" s="104"/>
    </row>
    <row r="806" spans="3:3" x14ac:dyDescent="0.25">
      <c r="C806" s="104"/>
    </row>
    <row r="807" spans="3:3" x14ac:dyDescent="0.25">
      <c r="C807" s="104"/>
    </row>
    <row r="808" spans="3:3" x14ac:dyDescent="0.25">
      <c r="C808" s="104"/>
    </row>
    <row r="809" spans="3:3" x14ac:dyDescent="0.25">
      <c r="C809" s="104"/>
    </row>
    <row r="810" spans="3:3" x14ac:dyDescent="0.25">
      <c r="C810" s="104"/>
    </row>
    <row r="811" spans="3:3" x14ac:dyDescent="0.25">
      <c r="C811" s="104"/>
    </row>
    <row r="812" spans="3:3" x14ac:dyDescent="0.25">
      <c r="C812" s="104"/>
    </row>
    <row r="813" spans="3:3" x14ac:dyDescent="0.25">
      <c r="C813" s="104"/>
    </row>
    <row r="814" spans="3:3" x14ac:dyDescent="0.25">
      <c r="C814" s="104"/>
    </row>
    <row r="815" spans="3:3" x14ac:dyDescent="0.25">
      <c r="C815" s="104"/>
    </row>
    <row r="816" spans="3:3" x14ac:dyDescent="0.25">
      <c r="C816" s="104"/>
    </row>
    <row r="817" spans="3:3" x14ac:dyDescent="0.25">
      <c r="C817" s="104"/>
    </row>
    <row r="818" spans="3:3" x14ac:dyDescent="0.25">
      <c r="C818" s="104"/>
    </row>
    <row r="819" spans="3:3" x14ac:dyDescent="0.25">
      <c r="C819" s="104"/>
    </row>
    <row r="820" spans="3:3" x14ac:dyDescent="0.25">
      <c r="C820" s="104"/>
    </row>
    <row r="821" spans="3:3" x14ac:dyDescent="0.25">
      <c r="C821" s="104"/>
    </row>
    <row r="822" spans="3:3" x14ac:dyDescent="0.25">
      <c r="C822" s="104"/>
    </row>
    <row r="823" spans="3:3" x14ac:dyDescent="0.25">
      <c r="C823" s="104"/>
    </row>
    <row r="824" spans="3:3" x14ac:dyDescent="0.25">
      <c r="C824" s="104"/>
    </row>
    <row r="825" spans="3:3" x14ac:dyDescent="0.25">
      <c r="C825" s="104"/>
    </row>
    <row r="826" spans="3:3" x14ac:dyDescent="0.25">
      <c r="C826" s="104"/>
    </row>
    <row r="827" spans="3:3" x14ac:dyDescent="0.25">
      <c r="C827" s="104"/>
    </row>
    <row r="828" spans="3:3" x14ac:dyDescent="0.25">
      <c r="C828" s="104"/>
    </row>
    <row r="829" spans="3:3" x14ac:dyDescent="0.25">
      <c r="C829" s="104"/>
    </row>
    <row r="830" spans="3:3" x14ac:dyDescent="0.25">
      <c r="C830" s="104"/>
    </row>
    <row r="831" spans="3:3" x14ac:dyDescent="0.25">
      <c r="C831" s="104"/>
    </row>
    <row r="832" spans="3:3" x14ac:dyDescent="0.25">
      <c r="C832" s="104"/>
    </row>
    <row r="833" spans="3:3" x14ac:dyDescent="0.25">
      <c r="C833" s="104"/>
    </row>
    <row r="834" spans="3:3" x14ac:dyDescent="0.25">
      <c r="C834" s="104"/>
    </row>
    <row r="835" spans="3:3" x14ac:dyDescent="0.25">
      <c r="C835" s="104"/>
    </row>
    <row r="836" spans="3:3" x14ac:dyDescent="0.25">
      <c r="C836" s="104"/>
    </row>
    <row r="837" spans="3:3" x14ac:dyDescent="0.25">
      <c r="C837" s="104"/>
    </row>
    <row r="838" spans="3:3" x14ac:dyDescent="0.25">
      <c r="C838" s="104"/>
    </row>
    <row r="839" spans="3:3" x14ac:dyDescent="0.25">
      <c r="C839" s="104"/>
    </row>
    <row r="840" spans="3:3" x14ac:dyDescent="0.25">
      <c r="C840" s="104"/>
    </row>
    <row r="841" spans="3:3" x14ac:dyDescent="0.25">
      <c r="C841" s="104"/>
    </row>
    <row r="842" spans="3:3" x14ac:dyDescent="0.25">
      <c r="C842" s="104"/>
    </row>
    <row r="843" spans="3:3" x14ac:dyDescent="0.25">
      <c r="C843" s="104"/>
    </row>
    <row r="844" spans="3:3" x14ac:dyDescent="0.25">
      <c r="C844" s="104"/>
    </row>
    <row r="845" spans="3:3" x14ac:dyDescent="0.25">
      <c r="C845" s="104"/>
    </row>
    <row r="846" spans="3:3" x14ac:dyDescent="0.25">
      <c r="C846" s="104"/>
    </row>
    <row r="847" spans="3:3" x14ac:dyDescent="0.25">
      <c r="C847" s="104"/>
    </row>
    <row r="848" spans="3:3" x14ac:dyDescent="0.25">
      <c r="C848" s="104"/>
    </row>
    <row r="849" spans="3:3" x14ac:dyDescent="0.25">
      <c r="C849" s="104"/>
    </row>
    <row r="850" spans="3:3" x14ac:dyDescent="0.25">
      <c r="C850" s="104"/>
    </row>
    <row r="851" spans="3:3" x14ac:dyDescent="0.25">
      <c r="C851" s="104"/>
    </row>
    <row r="852" spans="3:3" x14ac:dyDescent="0.25">
      <c r="C852" s="104"/>
    </row>
    <row r="853" spans="3:3" x14ac:dyDescent="0.25">
      <c r="C853" s="104"/>
    </row>
    <row r="854" spans="3:3" x14ac:dyDescent="0.25">
      <c r="C854" s="104"/>
    </row>
    <row r="855" spans="3:3" x14ac:dyDescent="0.25">
      <c r="C855" s="104"/>
    </row>
    <row r="856" spans="3:3" x14ac:dyDescent="0.25">
      <c r="C856" s="104"/>
    </row>
    <row r="857" spans="3:3" x14ac:dyDescent="0.25">
      <c r="C857" s="104"/>
    </row>
    <row r="858" spans="3:3" x14ac:dyDescent="0.25">
      <c r="C858" s="104"/>
    </row>
    <row r="859" spans="3:3" x14ac:dyDescent="0.25">
      <c r="C859" s="104"/>
    </row>
    <row r="860" spans="3:3" x14ac:dyDescent="0.25">
      <c r="C860" s="104"/>
    </row>
    <row r="861" spans="3:3" x14ac:dyDescent="0.25">
      <c r="C861" s="104"/>
    </row>
    <row r="862" spans="3:3" x14ac:dyDescent="0.25">
      <c r="C862" s="104"/>
    </row>
    <row r="863" spans="3:3" x14ac:dyDescent="0.25">
      <c r="C863" s="104"/>
    </row>
    <row r="864" spans="3:3" x14ac:dyDescent="0.25">
      <c r="C864" s="104"/>
    </row>
    <row r="865" spans="3:3" x14ac:dyDescent="0.25">
      <c r="C865" s="104"/>
    </row>
    <row r="866" spans="3:3" x14ac:dyDescent="0.25">
      <c r="C866" s="104"/>
    </row>
    <row r="867" spans="3:3" x14ac:dyDescent="0.25">
      <c r="C867" s="104"/>
    </row>
    <row r="868" spans="3:3" x14ac:dyDescent="0.25">
      <c r="C868" s="104"/>
    </row>
    <row r="869" spans="3:3" x14ac:dyDescent="0.25">
      <c r="C869" s="104"/>
    </row>
    <row r="870" spans="3:3" x14ac:dyDescent="0.25">
      <c r="C870" s="104"/>
    </row>
    <row r="871" spans="3:3" x14ac:dyDescent="0.25">
      <c r="C871" s="104"/>
    </row>
    <row r="872" spans="3:3" x14ac:dyDescent="0.25">
      <c r="C872" s="104"/>
    </row>
    <row r="873" spans="3:3" x14ac:dyDescent="0.25">
      <c r="C873" s="104"/>
    </row>
    <row r="874" spans="3:3" x14ac:dyDescent="0.25">
      <c r="C874" s="104"/>
    </row>
    <row r="875" spans="3:3" x14ac:dyDescent="0.25">
      <c r="C875" s="104"/>
    </row>
    <row r="876" spans="3:3" x14ac:dyDescent="0.25">
      <c r="C876" s="104"/>
    </row>
    <row r="877" spans="3:3" x14ac:dyDescent="0.25">
      <c r="C877" s="104"/>
    </row>
    <row r="878" spans="3:3" x14ac:dyDescent="0.25">
      <c r="C878" s="104"/>
    </row>
    <row r="879" spans="3:3" x14ac:dyDescent="0.25">
      <c r="C879" s="104"/>
    </row>
    <row r="880" spans="3:3" x14ac:dyDescent="0.25">
      <c r="C880" s="104"/>
    </row>
    <row r="881" spans="3:3" x14ac:dyDescent="0.25">
      <c r="C881" s="104"/>
    </row>
    <row r="882" spans="3:3" x14ac:dyDescent="0.25">
      <c r="C882" s="104"/>
    </row>
    <row r="883" spans="3:3" x14ac:dyDescent="0.25">
      <c r="C883" s="104"/>
    </row>
    <row r="884" spans="3:3" x14ac:dyDescent="0.25">
      <c r="C884" s="104"/>
    </row>
    <row r="885" spans="3:3" x14ac:dyDescent="0.25">
      <c r="C885" s="104"/>
    </row>
    <row r="886" spans="3:3" x14ac:dyDescent="0.25">
      <c r="C886" s="104"/>
    </row>
    <row r="887" spans="3:3" x14ac:dyDescent="0.25">
      <c r="C887" s="104"/>
    </row>
    <row r="888" spans="3:3" x14ac:dyDescent="0.25">
      <c r="C888" s="104"/>
    </row>
    <row r="889" spans="3:3" x14ac:dyDescent="0.25">
      <c r="C889" s="104"/>
    </row>
    <row r="890" spans="3:3" x14ac:dyDescent="0.25">
      <c r="C890" s="104"/>
    </row>
    <row r="891" spans="3:3" x14ac:dyDescent="0.25">
      <c r="C891" s="104"/>
    </row>
    <row r="892" spans="3:3" x14ac:dyDescent="0.25">
      <c r="C892" s="104"/>
    </row>
    <row r="893" spans="3:3" x14ac:dyDescent="0.25">
      <c r="C893" s="104"/>
    </row>
    <row r="894" spans="3:3" x14ac:dyDescent="0.25">
      <c r="C894" s="104"/>
    </row>
    <row r="895" spans="3:3" x14ac:dyDescent="0.25">
      <c r="C895" s="104"/>
    </row>
    <row r="896" spans="3:3" x14ac:dyDescent="0.25">
      <c r="C896" s="104"/>
    </row>
    <row r="897" spans="3:3" x14ac:dyDescent="0.25">
      <c r="C897" s="104"/>
    </row>
    <row r="898" spans="3:3" x14ac:dyDescent="0.25">
      <c r="C898" s="104"/>
    </row>
    <row r="899" spans="3:3" x14ac:dyDescent="0.25">
      <c r="C899" s="104"/>
    </row>
    <row r="900" spans="3:3" x14ac:dyDescent="0.25">
      <c r="C900" s="104"/>
    </row>
    <row r="901" spans="3:3" x14ac:dyDescent="0.25">
      <c r="C901" s="104"/>
    </row>
    <row r="902" spans="3:3" x14ac:dyDescent="0.25">
      <c r="C902" s="104"/>
    </row>
    <row r="903" spans="3:3" x14ac:dyDescent="0.25">
      <c r="C903" s="104"/>
    </row>
    <row r="904" spans="3:3" x14ac:dyDescent="0.25">
      <c r="C904" s="104"/>
    </row>
    <row r="905" spans="3:3" x14ac:dyDescent="0.25">
      <c r="C905" s="104"/>
    </row>
    <row r="906" spans="3:3" x14ac:dyDescent="0.25">
      <c r="C906" s="104"/>
    </row>
    <row r="907" spans="3:3" x14ac:dyDescent="0.25">
      <c r="C907" s="104"/>
    </row>
    <row r="908" spans="3:3" x14ac:dyDescent="0.25">
      <c r="C908" s="104"/>
    </row>
    <row r="909" spans="3:3" x14ac:dyDescent="0.25">
      <c r="C909" s="104"/>
    </row>
    <row r="910" spans="3:3" x14ac:dyDescent="0.25">
      <c r="C910" s="104"/>
    </row>
    <row r="911" spans="3:3" x14ac:dyDescent="0.25">
      <c r="C911" s="104"/>
    </row>
    <row r="912" spans="3:3" x14ac:dyDescent="0.25">
      <c r="C912" s="104"/>
    </row>
    <row r="913" spans="3:3" x14ac:dyDescent="0.25">
      <c r="C913" s="104"/>
    </row>
    <row r="914" spans="3:3" x14ac:dyDescent="0.25">
      <c r="C914" s="104"/>
    </row>
    <row r="915" spans="3:3" x14ac:dyDescent="0.25">
      <c r="C915" s="104"/>
    </row>
    <row r="916" spans="3:3" x14ac:dyDescent="0.25">
      <c r="C916" s="104"/>
    </row>
    <row r="917" spans="3:3" x14ac:dyDescent="0.25">
      <c r="C917" s="104"/>
    </row>
    <row r="918" spans="3:3" x14ac:dyDescent="0.25">
      <c r="C918" s="104"/>
    </row>
    <row r="919" spans="3:3" x14ac:dyDescent="0.25">
      <c r="C919" s="104"/>
    </row>
    <row r="920" spans="3:3" x14ac:dyDescent="0.25">
      <c r="C920" s="104"/>
    </row>
    <row r="921" spans="3:3" x14ac:dyDescent="0.25">
      <c r="C921" s="104"/>
    </row>
    <row r="922" spans="3:3" x14ac:dyDescent="0.25">
      <c r="C922" s="104"/>
    </row>
    <row r="923" spans="3:3" x14ac:dyDescent="0.25">
      <c r="C923" s="104"/>
    </row>
    <row r="924" spans="3:3" x14ac:dyDescent="0.25">
      <c r="C924" s="104"/>
    </row>
    <row r="925" spans="3:3" x14ac:dyDescent="0.25">
      <c r="C925" s="104"/>
    </row>
    <row r="926" spans="3:3" x14ac:dyDescent="0.25">
      <c r="C926" s="104"/>
    </row>
    <row r="927" spans="3:3" x14ac:dyDescent="0.25">
      <c r="C927" s="104"/>
    </row>
    <row r="928" spans="3:3" x14ac:dyDescent="0.25">
      <c r="C928" s="104"/>
    </row>
    <row r="929" spans="3:3" x14ac:dyDescent="0.25">
      <c r="C929" s="104"/>
    </row>
    <row r="930" spans="3:3" x14ac:dyDescent="0.25">
      <c r="C930" s="104"/>
    </row>
    <row r="931" spans="3:3" x14ac:dyDescent="0.25">
      <c r="C931" s="104"/>
    </row>
    <row r="932" spans="3:3" x14ac:dyDescent="0.25">
      <c r="C932" s="104"/>
    </row>
    <row r="933" spans="3:3" x14ac:dyDescent="0.25">
      <c r="C933" s="104"/>
    </row>
    <row r="934" spans="3:3" x14ac:dyDescent="0.25">
      <c r="C934" s="104"/>
    </row>
    <row r="935" spans="3:3" x14ac:dyDescent="0.25">
      <c r="C935" s="104"/>
    </row>
    <row r="936" spans="3:3" x14ac:dyDescent="0.25">
      <c r="C936" s="104"/>
    </row>
    <row r="937" spans="3:3" x14ac:dyDescent="0.25">
      <c r="C937" s="104"/>
    </row>
    <row r="938" spans="3:3" x14ac:dyDescent="0.25">
      <c r="C938" s="104"/>
    </row>
    <row r="939" spans="3:3" x14ac:dyDescent="0.25">
      <c r="C939" s="104"/>
    </row>
    <row r="940" spans="3:3" x14ac:dyDescent="0.25">
      <c r="C940" s="104"/>
    </row>
    <row r="941" spans="3:3" x14ac:dyDescent="0.25">
      <c r="C941" s="104"/>
    </row>
    <row r="942" spans="3:3" x14ac:dyDescent="0.25">
      <c r="C942" s="104"/>
    </row>
    <row r="943" spans="3:3" x14ac:dyDescent="0.25">
      <c r="C943" s="104"/>
    </row>
    <row r="944" spans="3:3" x14ac:dyDescent="0.25">
      <c r="C944" s="104"/>
    </row>
    <row r="945" spans="3:3" x14ac:dyDescent="0.25">
      <c r="C945" s="104"/>
    </row>
    <row r="946" spans="3:3" x14ac:dyDescent="0.25">
      <c r="C946" s="104"/>
    </row>
    <row r="947" spans="3:3" x14ac:dyDescent="0.25">
      <c r="C947" s="104"/>
    </row>
    <row r="948" spans="3:3" x14ac:dyDescent="0.25">
      <c r="C948" s="104"/>
    </row>
    <row r="949" spans="3:3" x14ac:dyDescent="0.25">
      <c r="C949" s="104"/>
    </row>
    <row r="950" spans="3:3" x14ac:dyDescent="0.25">
      <c r="C950" s="104"/>
    </row>
    <row r="951" spans="3:3" x14ac:dyDescent="0.25">
      <c r="C951" s="104"/>
    </row>
    <row r="952" spans="3:3" x14ac:dyDescent="0.25">
      <c r="C952" s="104"/>
    </row>
    <row r="953" spans="3:3" x14ac:dyDescent="0.25">
      <c r="C953" s="104"/>
    </row>
    <row r="954" spans="3:3" x14ac:dyDescent="0.25">
      <c r="C954" s="104"/>
    </row>
    <row r="955" spans="3:3" x14ac:dyDescent="0.25">
      <c r="C955" s="104"/>
    </row>
    <row r="956" spans="3:3" x14ac:dyDescent="0.25">
      <c r="C956" s="104"/>
    </row>
    <row r="957" spans="3:3" x14ac:dyDescent="0.25">
      <c r="C957" s="104"/>
    </row>
    <row r="958" spans="3:3" x14ac:dyDescent="0.25">
      <c r="C958" s="104"/>
    </row>
    <row r="959" spans="3:3" x14ac:dyDescent="0.25">
      <c r="C959" s="104"/>
    </row>
    <row r="960" spans="3:3" x14ac:dyDescent="0.25">
      <c r="C960" s="104"/>
    </row>
    <row r="961" spans="3:3" x14ac:dyDescent="0.25">
      <c r="C961" s="104"/>
    </row>
    <row r="962" spans="3:3" x14ac:dyDescent="0.25">
      <c r="C962" s="104"/>
    </row>
    <row r="963" spans="3:3" x14ac:dyDescent="0.25">
      <c r="C963" s="104"/>
    </row>
    <row r="964" spans="3:3" x14ac:dyDescent="0.25">
      <c r="C964" s="104"/>
    </row>
    <row r="965" spans="3:3" x14ac:dyDescent="0.25">
      <c r="C965" s="104"/>
    </row>
    <row r="966" spans="3:3" x14ac:dyDescent="0.25">
      <c r="C966" s="104"/>
    </row>
    <row r="967" spans="3:3" x14ac:dyDescent="0.25">
      <c r="C967" s="104"/>
    </row>
    <row r="968" spans="3:3" x14ac:dyDescent="0.25">
      <c r="C968" s="104"/>
    </row>
    <row r="969" spans="3:3" x14ac:dyDescent="0.25">
      <c r="C969" s="104"/>
    </row>
    <row r="970" spans="3:3" x14ac:dyDescent="0.25">
      <c r="C970" s="104"/>
    </row>
    <row r="971" spans="3:3" x14ac:dyDescent="0.25">
      <c r="C971" s="104"/>
    </row>
    <row r="972" spans="3:3" x14ac:dyDescent="0.25">
      <c r="C972" s="104"/>
    </row>
    <row r="973" spans="3:3" x14ac:dyDescent="0.25">
      <c r="C973" s="104"/>
    </row>
    <row r="974" spans="3:3" x14ac:dyDescent="0.25">
      <c r="C974" s="104"/>
    </row>
    <row r="975" spans="3:3" x14ac:dyDescent="0.25">
      <c r="C975" s="104"/>
    </row>
    <row r="976" spans="3:3" x14ac:dyDescent="0.25">
      <c r="C976" s="104"/>
    </row>
    <row r="977" spans="3:3" x14ac:dyDescent="0.25">
      <c r="C977" s="104"/>
    </row>
    <row r="978" spans="3:3" x14ac:dyDescent="0.25">
      <c r="C978" s="104"/>
    </row>
    <row r="979" spans="3:3" x14ac:dyDescent="0.25">
      <c r="C979" s="104"/>
    </row>
    <row r="980" spans="3:3" x14ac:dyDescent="0.25">
      <c r="C980" s="104"/>
    </row>
    <row r="981" spans="3:3" x14ac:dyDescent="0.25">
      <c r="C981" s="104"/>
    </row>
    <row r="982" spans="3:3" x14ac:dyDescent="0.25">
      <c r="C982" s="104"/>
    </row>
    <row r="983" spans="3:3" x14ac:dyDescent="0.25">
      <c r="C983" s="104"/>
    </row>
    <row r="984" spans="3:3" x14ac:dyDescent="0.25">
      <c r="C984" s="104"/>
    </row>
    <row r="985" spans="3:3" x14ac:dyDescent="0.25">
      <c r="C985" s="104"/>
    </row>
    <row r="986" spans="3:3" x14ac:dyDescent="0.25">
      <c r="C986" s="104"/>
    </row>
    <row r="987" spans="3:3" x14ac:dyDescent="0.25">
      <c r="C987" s="104"/>
    </row>
    <row r="988" spans="3:3" x14ac:dyDescent="0.25">
      <c r="C988" s="104"/>
    </row>
    <row r="989" spans="3:3" x14ac:dyDescent="0.25">
      <c r="C989" s="104"/>
    </row>
    <row r="990" spans="3:3" x14ac:dyDescent="0.25">
      <c r="C990" s="104"/>
    </row>
    <row r="991" spans="3:3" x14ac:dyDescent="0.25">
      <c r="C991" s="104"/>
    </row>
    <row r="992" spans="3:3" x14ac:dyDescent="0.25">
      <c r="C992" s="104"/>
    </row>
    <row r="993" spans="3:3" x14ac:dyDescent="0.25">
      <c r="C993" s="104"/>
    </row>
    <row r="994" spans="3:3" x14ac:dyDescent="0.25">
      <c r="C994" s="104"/>
    </row>
    <row r="995" spans="3:3" x14ac:dyDescent="0.25">
      <c r="C995" s="104"/>
    </row>
    <row r="996" spans="3:3" x14ac:dyDescent="0.25">
      <c r="C996" s="104"/>
    </row>
    <row r="997" spans="3:3" x14ac:dyDescent="0.25">
      <c r="C997" s="104"/>
    </row>
    <row r="998" spans="3:3" x14ac:dyDescent="0.25">
      <c r="C998" s="104"/>
    </row>
    <row r="999" spans="3:3" x14ac:dyDescent="0.25">
      <c r="C999" s="104"/>
    </row>
    <row r="1000" spans="3:3" x14ac:dyDescent="0.25">
      <c r="C1000" s="104"/>
    </row>
    <row r="1001" spans="3:3" x14ac:dyDescent="0.25">
      <c r="C1001" s="104"/>
    </row>
    <row r="1002" spans="3:3" x14ac:dyDescent="0.25">
      <c r="C1002" s="104"/>
    </row>
    <row r="1003" spans="3:3" x14ac:dyDescent="0.25">
      <c r="C1003" s="104"/>
    </row>
    <row r="1004" spans="3:3" x14ac:dyDescent="0.25">
      <c r="C1004" s="104"/>
    </row>
    <row r="1005" spans="3:3" x14ac:dyDescent="0.25">
      <c r="C1005" s="104"/>
    </row>
    <row r="1006" spans="3:3" x14ac:dyDescent="0.25">
      <c r="C1006" s="104"/>
    </row>
    <row r="1007" spans="3:3" x14ac:dyDescent="0.25">
      <c r="C1007" s="104"/>
    </row>
    <row r="1008" spans="3:3" x14ac:dyDescent="0.25">
      <c r="C1008" s="104"/>
    </row>
    <row r="1009" spans="3:3" x14ac:dyDescent="0.25">
      <c r="C1009" s="104"/>
    </row>
    <row r="1010" spans="3:3" x14ac:dyDescent="0.25">
      <c r="C1010" s="104"/>
    </row>
    <row r="1011" spans="3:3" x14ac:dyDescent="0.25">
      <c r="C1011" s="104"/>
    </row>
    <row r="1012" spans="3:3" x14ac:dyDescent="0.25">
      <c r="C1012" s="104"/>
    </row>
    <row r="1013" spans="3:3" x14ac:dyDescent="0.25">
      <c r="C1013" s="104"/>
    </row>
    <row r="1014" spans="3:3" x14ac:dyDescent="0.25">
      <c r="C1014" s="104"/>
    </row>
    <row r="1015" spans="3:3" x14ac:dyDescent="0.25">
      <c r="C1015" s="104"/>
    </row>
    <row r="1016" spans="3:3" x14ac:dyDescent="0.25">
      <c r="C1016" s="104"/>
    </row>
    <row r="1017" spans="3:3" x14ac:dyDescent="0.25">
      <c r="C1017" s="104"/>
    </row>
    <row r="1018" spans="3:3" x14ac:dyDescent="0.25">
      <c r="C1018" s="104"/>
    </row>
    <row r="1019" spans="3:3" x14ac:dyDescent="0.25">
      <c r="C1019" s="104"/>
    </row>
    <row r="1020" spans="3:3" x14ac:dyDescent="0.25">
      <c r="C1020" s="104"/>
    </row>
    <row r="1021" spans="3:3" x14ac:dyDescent="0.25">
      <c r="C1021" s="104"/>
    </row>
    <row r="1022" spans="3:3" x14ac:dyDescent="0.25">
      <c r="C1022" s="104"/>
    </row>
    <row r="1023" spans="3:3" x14ac:dyDescent="0.25">
      <c r="C1023" s="104"/>
    </row>
    <row r="1024" spans="3:3" x14ac:dyDescent="0.25">
      <c r="C1024" s="104"/>
    </row>
    <row r="1025" spans="3:3" x14ac:dyDescent="0.25">
      <c r="C1025" s="104"/>
    </row>
    <row r="1026" spans="3:3" x14ac:dyDescent="0.25">
      <c r="C1026" s="104"/>
    </row>
    <row r="1027" spans="3:3" x14ac:dyDescent="0.25">
      <c r="C1027" s="104"/>
    </row>
    <row r="1028" spans="3:3" x14ac:dyDescent="0.25">
      <c r="C1028" s="104"/>
    </row>
    <row r="1029" spans="3:3" x14ac:dyDescent="0.25">
      <c r="C1029" s="104"/>
    </row>
    <row r="1030" spans="3:3" x14ac:dyDescent="0.25">
      <c r="C1030" s="104"/>
    </row>
    <row r="1031" spans="3:3" x14ac:dyDescent="0.25">
      <c r="C1031" s="104"/>
    </row>
    <row r="1032" spans="3:3" x14ac:dyDescent="0.25">
      <c r="C1032" s="104"/>
    </row>
    <row r="1033" spans="3:3" x14ac:dyDescent="0.25">
      <c r="C1033" s="104"/>
    </row>
    <row r="1034" spans="3:3" x14ac:dyDescent="0.25">
      <c r="C1034" s="104"/>
    </row>
    <row r="1035" spans="3:3" x14ac:dyDescent="0.25">
      <c r="C1035" s="104"/>
    </row>
    <row r="1036" spans="3:3" x14ac:dyDescent="0.25">
      <c r="C1036" s="104"/>
    </row>
    <row r="1037" spans="3:3" x14ac:dyDescent="0.25">
      <c r="C1037" s="104"/>
    </row>
    <row r="1038" spans="3:3" x14ac:dyDescent="0.25">
      <c r="C1038" s="104"/>
    </row>
    <row r="1039" spans="3:3" x14ac:dyDescent="0.25">
      <c r="C1039" s="104"/>
    </row>
    <row r="1040" spans="3:3" x14ac:dyDescent="0.25">
      <c r="C1040" s="104"/>
    </row>
    <row r="1041" spans="3:3" x14ac:dyDescent="0.25">
      <c r="C1041" s="104"/>
    </row>
    <row r="1042" spans="3:3" x14ac:dyDescent="0.25">
      <c r="C1042" s="104"/>
    </row>
    <row r="1043" spans="3:3" x14ac:dyDescent="0.25">
      <c r="C1043" s="104"/>
    </row>
    <row r="1044" spans="3:3" x14ac:dyDescent="0.25">
      <c r="C1044" s="104"/>
    </row>
    <row r="1045" spans="3:3" x14ac:dyDescent="0.25">
      <c r="C1045" s="104"/>
    </row>
    <row r="1046" spans="3:3" x14ac:dyDescent="0.25">
      <c r="C1046" s="104"/>
    </row>
    <row r="1047" spans="3:3" x14ac:dyDescent="0.25">
      <c r="C1047" s="104"/>
    </row>
    <row r="1048" spans="3:3" x14ac:dyDescent="0.25">
      <c r="C1048" s="104"/>
    </row>
    <row r="1049" spans="3:3" x14ac:dyDescent="0.25">
      <c r="C1049" s="104"/>
    </row>
    <row r="1050" spans="3:3" x14ac:dyDescent="0.25">
      <c r="C1050" s="104"/>
    </row>
    <row r="1051" spans="3:3" x14ac:dyDescent="0.25">
      <c r="C1051" s="104"/>
    </row>
    <row r="1052" spans="3:3" x14ac:dyDescent="0.25">
      <c r="C1052" s="104"/>
    </row>
    <row r="1053" spans="3:3" x14ac:dyDescent="0.25">
      <c r="C1053" s="104"/>
    </row>
    <row r="1054" spans="3:3" x14ac:dyDescent="0.25">
      <c r="C1054" s="104"/>
    </row>
    <row r="1055" spans="3:3" x14ac:dyDescent="0.25">
      <c r="C1055" s="104"/>
    </row>
    <row r="1056" spans="3:3" x14ac:dyDescent="0.25">
      <c r="C1056" s="104"/>
    </row>
    <row r="1057" spans="3:3" x14ac:dyDescent="0.25">
      <c r="C1057" s="104"/>
    </row>
    <row r="1058" spans="3:3" x14ac:dyDescent="0.25">
      <c r="C1058" s="104"/>
    </row>
    <row r="1059" spans="3:3" x14ac:dyDescent="0.25">
      <c r="C1059" s="104"/>
    </row>
    <row r="1060" spans="3:3" x14ac:dyDescent="0.25">
      <c r="C1060" s="104"/>
    </row>
    <row r="1061" spans="3:3" x14ac:dyDescent="0.25">
      <c r="C1061" s="104"/>
    </row>
    <row r="1062" spans="3:3" x14ac:dyDescent="0.25">
      <c r="C1062" s="104"/>
    </row>
    <row r="1063" spans="3:3" x14ac:dyDescent="0.25">
      <c r="C1063" s="104"/>
    </row>
    <row r="1064" spans="3:3" x14ac:dyDescent="0.25">
      <c r="C1064" s="104"/>
    </row>
    <row r="1065" spans="3:3" x14ac:dyDescent="0.25">
      <c r="C1065" s="104"/>
    </row>
    <row r="1066" spans="3:3" x14ac:dyDescent="0.25">
      <c r="C1066" s="104"/>
    </row>
    <row r="1067" spans="3:3" x14ac:dyDescent="0.25">
      <c r="C1067" s="104"/>
    </row>
    <row r="1068" spans="3:3" x14ac:dyDescent="0.25">
      <c r="C1068" s="104"/>
    </row>
    <row r="1069" spans="3:3" x14ac:dyDescent="0.25">
      <c r="C1069" s="104"/>
    </row>
    <row r="1070" spans="3:3" x14ac:dyDescent="0.25">
      <c r="C1070" s="104"/>
    </row>
    <row r="1071" spans="3:3" x14ac:dyDescent="0.25">
      <c r="C1071" s="104"/>
    </row>
    <row r="1072" spans="3:3" x14ac:dyDescent="0.25">
      <c r="C1072" s="104"/>
    </row>
    <row r="1073" spans="3:3" x14ac:dyDescent="0.25">
      <c r="C1073" s="104"/>
    </row>
    <row r="1074" spans="3:3" x14ac:dyDescent="0.25">
      <c r="C1074" s="104"/>
    </row>
    <row r="1075" spans="3:3" x14ac:dyDescent="0.25">
      <c r="C1075" s="104"/>
    </row>
    <row r="1076" spans="3:3" x14ac:dyDescent="0.25">
      <c r="C1076" s="104"/>
    </row>
    <row r="1077" spans="3:3" x14ac:dyDescent="0.25">
      <c r="C1077" s="104"/>
    </row>
    <row r="1078" spans="3:3" x14ac:dyDescent="0.25">
      <c r="C1078" s="104"/>
    </row>
    <row r="1079" spans="3:3" x14ac:dyDescent="0.25">
      <c r="C1079" s="104"/>
    </row>
    <row r="1080" spans="3:3" x14ac:dyDescent="0.25">
      <c r="C1080" s="104"/>
    </row>
    <row r="1081" spans="3:3" x14ac:dyDescent="0.25">
      <c r="C1081" s="104"/>
    </row>
    <row r="1082" spans="3:3" x14ac:dyDescent="0.25">
      <c r="C1082" s="104"/>
    </row>
    <row r="1083" spans="3:3" x14ac:dyDescent="0.25">
      <c r="C1083" s="104"/>
    </row>
    <row r="1084" spans="3:3" x14ac:dyDescent="0.25">
      <c r="C1084" s="104"/>
    </row>
    <row r="1085" spans="3:3" x14ac:dyDescent="0.25">
      <c r="C1085" s="104"/>
    </row>
    <row r="1086" spans="3:3" x14ac:dyDescent="0.25">
      <c r="C1086" s="104"/>
    </row>
    <row r="1087" spans="3:3" x14ac:dyDescent="0.25">
      <c r="C1087" s="104"/>
    </row>
    <row r="1088" spans="3:3" x14ac:dyDescent="0.25">
      <c r="C1088" s="104"/>
    </row>
    <row r="1089" spans="3:3" x14ac:dyDescent="0.25">
      <c r="C1089" s="104"/>
    </row>
    <row r="1090" spans="3:3" x14ac:dyDescent="0.25">
      <c r="C1090" s="104"/>
    </row>
    <row r="1091" spans="3:3" x14ac:dyDescent="0.25">
      <c r="C1091" s="104"/>
    </row>
    <row r="1092" spans="3:3" x14ac:dyDescent="0.25">
      <c r="C1092" s="104"/>
    </row>
    <row r="1093" spans="3:3" x14ac:dyDescent="0.25">
      <c r="C1093" s="104"/>
    </row>
    <row r="1094" spans="3:3" x14ac:dyDescent="0.25">
      <c r="C1094" s="104"/>
    </row>
    <row r="1095" spans="3:3" x14ac:dyDescent="0.25">
      <c r="C1095" s="104"/>
    </row>
    <row r="1096" spans="3:3" x14ac:dyDescent="0.25">
      <c r="C1096" s="104"/>
    </row>
    <row r="1097" spans="3:3" x14ac:dyDescent="0.25">
      <c r="C1097" s="104"/>
    </row>
    <row r="1098" spans="3:3" x14ac:dyDescent="0.25">
      <c r="C1098" s="104"/>
    </row>
    <row r="1099" spans="3:3" x14ac:dyDescent="0.25">
      <c r="C1099" s="104"/>
    </row>
    <row r="1100" spans="3:3" x14ac:dyDescent="0.25">
      <c r="C1100" s="104"/>
    </row>
    <row r="1101" spans="3:3" x14ac:dyDescent="0.25">
      <c r="C1101" s="104"/>
    </row>
    <row r="1102" spans="3:3" x14ac:dyDescent="0.25">
      <c r="C1102" s="104"/>
    </row>
    <row r="1103" spans="3:3" x14ac:dyDescent="0.25">
      <c r="C1103" s="104"/>
    </row>
    <row r="1104" spans="3:3" x14ac:dyDescent="0.25">
      <c r="C1104" s="104"/>
    </row>
    <row r="1105" spans="3:3" x14ac:dyDescent="0.25">
      <c r="C1105" s="104"/>
    </row>
    <row r="1106" spans="3:3" x14ac:dyDescent="0.25">
      <c r="C1106" s="104"/>
    </row>
    <row r="1107" spans="3:3" x14ac:dyDescent="0.25">
      <c r="C1107" s="104"/>
    </row>
    <row r="1108" spans="3:3" x14ac:dyDescent="0.25">
      <c r="C1108" s="104"/>
    </row>
    <row r="1109" spans="3:3" x14ac:dyDescent="0.25">
      <c r="C1109" s="104"/>
    </row>
    <row r="1110" spans="3:3" x14ac:dyDescent="0.25">
      <c r="C1110" s="104"/>
    </row>
    <row r="1111" spans="3:3" x14ac:dyDescent="0.25">
      <c r="C1111" s="104"/>
    </row>
    <row r="1112" spans="3:3" x14ac:dyDescent="0.25">
      <c r="C1112" s="104"/>
    </row>
    <row r="1113" spans="3:3" x14ac:dyDescent="0.25">
      <c r="C1113" s="104"/>
    </row>
    <row r="1114" spans="3:3" x14ac:dyDescent="0.25">
      <c r="C1114" s="104"/>
    </row>
    <row r="1115" spans="3:3" x14ac:dyDescent="0.25">
      <c r="C1115" s="104"/>
    </row>
    <row r="1116" spans="3:3" x14ac:dyDescent="0.25">
      <c r="C1116" s="104"/>
    </row>
    <row r="1117" spans="3:3" x14ac:dyDescent="0.25">
      <c r="C1117" s="104"/>
    </row>
    <row r="1118" spans="3:3" x14ac:dyDescent="0.25">
      <c r="C1118" s="104"/>
    </row>
    <row r="1119" spans="3:3" x14ac:dyDescent="0.25">
      <c r="C1119" s="104"/>
    </row>
    <row r="1120" spans="3:3" x14ac:dyDescent="0.25">
      <c r="C1120" s="104"/>
    </row>
    <row r="1121" spans="3:3" x14ac:dyDescent="0.25">
      <c r="C1121" s="104"/>
    </row>
    <row r="1122" spans="3:3" x14ac:dyDescent="0.25">
      <c r="C1122" s="104"/>
    </row>
    <row r="1123" spans="3:3" x14ac:dyDescent="0.25">
      <c r="C1123" s="104"/>
    </row>
    <row r="1124" spans="3:3" x14ac:dyDescent="0.25">
      <c r="C1124" s="104"/>
    </row>
    <row r="1125" spans="3:3" x14ac:dyDescent="0.25">
      <c r="C1125" s="104"/>
    </row>
    <row r="1126" spans="3:3" x14ac:dyDescent="0.25">
      <c r="C1126" s="104"/>
    </row>
    <row r="1127" spans="3:3" x14ac:dyDescent="0.25">
      <c r="C1127" s="104"/>
    </row>
    <row r="1128" spans="3:3" x14ac:dyDescent="0.25">
      <c r="C1128" s="104"/>
    </row>
    <row r="1129" spans="3:3" x14ac:dyDescent="0.25">
      <c r="C1129" s="104"/>
    </row>
    <row r="1130" spans="3:3" x14ac:dyDescent="0.25">
      <c r="C1130" s="104"/>
    </row>
    <row r="1131" spans="3:3" x14ac:dyDescent="0.25">
      <c r="C1131" s="104"/>
    </row>
    <row r="1132" spans="3:3" x14ac:dyDescent="0.25">
      <c r="C1132" s="104"/>
    </row>
    <row r="1133" spans="3:3" x14ac:dyDescent="0.25">
      <c r="C1133" s="104"/>
    </row>
    <row r="1134" spans="3:3" x14ac:dyDescent="0.25">
      <c r="C1134" s="104"/>
    </row>
    <row r="1135" spans="3:3" x14ac:dyDescent="0.25">
      <c r="C1135" s="104"/>
    </row>
    <row r="1136" spans="3:3" x14ac:dyDescent="0.25">
      <c r="C1136" s="104"/>
    </row>
    <row r="1137" spans="3:3" x14ac:dyDescent="0.25">
      <c r="C1137" s="104"/>
    </row>
    <row r="1138" spans="3:3" x14ac:dyDescent="0.25">
      <c r="C1138" s="104"/>
    </row>
    <row r="1139" spans="3:3" x14ac:dyDescent="0.25">
      <c r="C1139" s="104"/>
    </row>
    <row r="1140" spans="3:3" x14ac:dyDescent="0.25">
      <c r="C1140" s="104"/>
    </row>
    <row r="1141" spans="3:3" x14ac:dyDescent="0.25">
      <c r="C1141" s="104"/>
    </row>
    <row r="1142" spans="3:3" x14ac:dyDescent="0.25">
      <c r="C1142" s="104"/>
    </row>
    <row r="1143" spans="3:3" x14ac:dyDescent="0.25">
      <c r="C1143" s="104"/>
    </row>
    <row r="1144" spans="3:3" x14ac:dyDescent="0.25">
      <c r="C1144" s="104"/>
    </row>
    <row r="1145" spans="3:3" x14ac:dyDescent="0.25">
      <c r="C1145" s="104"/>
    </row>
    <row r="1146" spans="3:3" x14ac:dyDescent="0.25">
      <c r="C1146" s="104"/>
    </row>
    <row r="1147" spans="3:3" x14ac:dyDescent="0.25">
      <c r="C1147" s="104"/>
    </row>
    <row r="1148" spans="3:3" x14ac:dyDescent="0.25">
      <c r="C1148" s="104"/>
    </row>
    <row r="1149" spans="3:3" x14ac:dyDescent="0.25">
      <c r="C1149" s="104"/>
    </row>
    <row r="1150" spans="3:3" x14ac:dyDescent="0.25">
      <c r="C1150" s="104"/>
    </row>
    <row r="1151" spans="3:3" x14ac:dyDescent="0.25">
      <c r="C1151" s="104"/>
    </row>
    <row r="1152" spans="3:3" x14ac:dyDescent="0.25">
      <c r="C1152" s="104"/>
    </row>
    <row r="1153" spans="3:3" x14ac:dyDescent="0.25">
      <c r="C1153" s="104"/>
    </row>
    <row r="1154" spans="3:3" x14ac:dyDescent="0.25">
      <c r="C1154" s="104"/>
    </row>
    <row r="1155" spans="3:3" x14ac:dyDescent="0.25">
      <c r="C1155" s="104"/>
    </row>
    <row r="1156" spans="3:3" x14ac:dyDescent="0.25">
      <c r="C1156" s="104"/>
    </row>
    <row r="1157" spans="3:3" x14ac:dyDescent="0.25">
      <c r="C1157" s="104"/>
    </row>
    <row r="1158" spans="3:3" x14ac:dyDescent="0.25">
      <c r="C1158" s="104"/>
    </row>
    <row r="1159" spans="3:3" x14ac:dyDescent="0.25">
      <c r="C1159" s="104"/>
    </row>
    <row r="1160" spans="3:3" x14ac:dyDescent="0.25">
      <c r="C1160" s="104"/>
    </row>
    <row r="1161" spans="3:3" x14ac:dyDescent="0.25">
      <c r="C1161" s="104"/>
    </row>
    <row r="1162" spans="3:3" x14ac:dyDescent="0.25">
      <c r="C1162" s="104"/>
    </row>
    <row r="1163" spans="3:3" x14ac:dyDescent="0.25">
      <c r="C1163" s="104"/>
    </row>
    <row r="1164" spans="3:3" x14ac:dyDescent="0.25">
      <c r="C1164" s="104"/>
    </row>
    <row r="1165" spans="3:3" x14ac:dyDescent="0.25">
      <c r="C1165" s="104"/>
    </row>
    <row r="1166" spans="3:3" x14ac:dyDescent="0.25">
      <c r="C1166" s="104"/>
    </row>
    <row r="1167" spans="3:3" x14ac:dyDescent="0.25">
      <c r="C1167" s="104"/>
    </row>
    <row r="1168" spans="3:3" x14ac:dyDescent="0.25">
      <c r="C1168" s="104"/>
    </row>
    <row r="1169" spans="3:3" x14ac:dyDescent="0.25">
      <c r="C1169" s="104"/>
    </row>
    <row r="1170" spans="3:3" x14ac:dyDescent="0.25">
      <c r="C1170" s="104"/>
    </row>
    <row r="1171" spans="3:3" x14ac:dyDescent="0.25">
      <c r="C1171" s="104"/>
    </row>
    <row r="1172" spans="3:3" x14ac:dyDescent="0.25">
      <c r="C1172" s="104"/>
    </row>
    <row r="1173" spans="3:3" x14ac:dyDescent="0.25">
      <c r="C1173" s="104"/>
    </row>
    <row r="1174" spans="3:3" x14ac:dyDescent="0.25">
      <c r="C1174" s="104"/>
    </row>
    <row r="1175" spans="3:3" x14ac:dyDescent="0.25">
      <c r="C1175" s="104"/>
    </row>
    <row r="1176" spans="3:3" x14ac:dyDescent="0.25">
      <c r="C1176" s="104"/>
    </row>
    <row r="1177" spans="3:3" x14ac:dyDescent="0.25">
      <c r="C1177" s="104"/>
    </row>
    <row r="1178" spans="3:3" x14ac:dyDescent="0.25">
      <c r="C1178" s="104"/>
    </row>
    <row r="1179" spans="3:3" x14ac:dyDescent="0.25">
      <c r="C1179" s="104"/>
    </row>
    <row r="1180" spans="3:3" x14ac:dyDescent="0.25">
      <c r="C1180" s="104"/>
    </row>
    <row r="1181" spans="3:3" x14ac:dyDescent="0.25">
      <c r="C1181" s="104"/>
    </row>
    <row r="1182" spans="3:3" x14ac:dyDescent="0.25">
      <c r="C1182" s="104"/>
    </row>
    <row r="1183" spans="3:3" x14ac:dyDescent="0.25">
      <c r="C1183" s="104"/>
    </row>
    <row r="1184" spans="3:3" x14ac:dyDescent="0.25">
      <c r="C1184" s="104"/>
    </row>
    <row r="1185" spans="3:3" x14ac:dyDescent="0.25">
      <c r="C1185" s="104"/>
    </row>
    <row r="1186" spans="3:3" x14ac:dyDescent="0.25">
      <c r="C1186" s="104"/>
    </row>
    <row r="1187" spans="3:3" x14ac:dyDescent="0.25">
      <c r="C1187" s="104"/>
    </row>
    <row r="1188" spans="3:3" x14ac:dyDescent="0.25">
      <c r="C1188" s="104"/>
    </row>
    <row r="1189" spans="3:3" x14ac:dyDescent="0.25">
      <c r="C1189" s="104"/>
    </row>
    <row r="1190" spans="3:3" x14ac:dyDescent="0.25">
      <c r="C1190" s="104"/>
    </row>
    <row r="1191" spans="3:3" x14ac:dyDescent="0.25">
      <c r="C1191" s="104"/>
    </row>
    <row r="1192" spans="3:3" x14ac:dyDescent="0.25">
      <c r="C1192" s="104"/>
    </row>
    <row r="1193" spans="3:3" x14ac:dyDescent="0.25">
      <c r="C1193" s="104"/>
    </row>
    <row r="1194" spans="3:3" x14ac:dyDescent="0.25">
      <c r="C1194" s="104"/>
    </row>
    <row r="1195" spans="3:3" x14ac:dyDescent="0.25">
      <c r="C1195" s="104"/>
    </row>
    <row r="1196" spans="3:3" x14ac:dyDescent="0.25">
      <c r="C1196" s="104"/>
    </row>
    <row r="1197" spans="3:3" x14ac:dyDescent="0.25">
      <c r="C1197" s="104"/>
    </row>
    <row r="1198" spans="3:3" x14ac:dyDescent="0.25">
      <c r="C1198" s="104"/>
    </row>
    <row r="1199" spans="3:3" x14ac:dyDescent="0.25">
      <c r="C1199" s="104"/>
    </row>
    <row r="1200" spans="3:3" x14ac:dyDescent="0.25">
      <c r="C1200" s="104"/>
    </row>
    <row r="1201" spans="3:3" x14ac:dyDescent="0.25">
      <c r="C1201" s="104"/>
    </row>
    <row r="1202" spans="3:3" x14ac:dyDescent="0.25">
      <c r="C1202" s="104"/>
    </row>
    <row r="1203" spans="3:3" x14ac:dyDescent="0.25">
      <c r="C1203" s="104"/>
    </row>
    <row r="1204" spans="3:3" x14ac:dyDescent="0.25">
      <c r="C1204" s="104"/>
    </row>
    <row r="1205" spans="3:3" x14ac:dyDescent="0.25">
      <c r="C1205" s="104"/>
    </row>
    <row r="1206" spans="3:3" x14ac:dyDescent="0.25">
      <c r="C1206" s="104"/>
    </row>
    <row r="1207" spans="3:3" x14ac:dyDescent="0.25">
      <c r="C1207" s="104"/>
    </row>
    <row r="1208" spans="3:3" x14ac:dyDescent="0.25">
      <c r="C1208" s="104"/>
    </row>
    <row r="1209" spans="3:3" x14ac:dyDescent="0.25">
      <c r="C1209" s="104"/>
    </row>
    <row r="1210" spans="3:3" x14ac:dyDescent="0.25">
      <c r="C1210" s="104"/>
    </row>
    <row r="1211" spans="3:3" x14ac:dyDescent="0.25">
      <c r="C1211" s="104"/>
    </row>
  </sheetData>
  <mergeCells count="1">
    <mergeCell ref="A1:G1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6625" r:id="rId3" name="CommandButton1">
          <controlPr defaultSize="0" autoLine="0" r:id="rId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6625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13D">
    <tabColor theme="7" tint="0.59999389629810485"/>
  </sheetPr>
  <dimension ref="A1:H1202"/>
  <sheetViews>
    <sheetView showGridLines="0" workbookViewId="0">
      <selection activeCell="J4" sqref="J4"/>
    </sheetView>
  </sheetViews>
  <sheetFormatPr defaultRowHeight="15" x14ac:dyDescent="0.25"/>
  <cols>
    <col min="1" max="1" width="17.7109375" bestFit="1" customWidth="1"/>
    <col min="2" max="2" width="20.7109375" bestFit="1" customWidth="1"/>
    <col min="3" max="3" width="10.7109375" bestFit="1" customWidth="1"/>
    <col min="4" max="4" width="18.85546875" bestFit="1" customWidth="1"/>
    <col min="5" max="5" width="26.7109375" bestFit="1" customWidth="1"/>
    <col min="6" max="6" width="17.7109375" bestFit="1" customWidth="1"/>
    <col min="7" max="7" width="30.42578125" bestFit="1" customWidth="1"/>
    <col min="8" max="8" width="31.28515625" bestFit="1" customWidth="1"/>
  </cols>
  <sheetData>
    <row r="1" spans="1:8" x14ac:dyDescent="0.25">
      <c r="A1" s="33" t="s">
        <v>41</v>
      </c>
      <c r="B1" s="33" t="s">
        <v>40</v>
      </c>
      <c r="C1" s="33" t="s">
        <v>20</v>
      </c>
      <c r="D1" s="33" t="s">
        <v>31</v>
      </c>
      <c r="E1" s="33" t="s">
        <v>22</v>
      </c>
      <c r="F1" s="33" t="s">
        <v>32</v>
      </c>
      <c r="G1" s="33" t="s">
        <v>43</v>
      </c>
      <c r="H1" s="33" t="s">
        <v>33</v>
      </c>
    </row>
    <row r="2" spans="1:8" x14ac:dyDescent="0.25">
      <c r="A2" s="40" t="s">
        <v>37</v>
      </c>
      <c r="B2" s="34">
        <v>610208</v>
      </c>
      <c r="C2" s="35">
        <v>41122</v>
      </c>
      <c r="D2" s="41">
        <v>85</v>
      </c>
      <c r="E2" s="41">
        <v>0</v>
      </c>
      <c r="F2" s="41">
        <v>0</v>
      </c>
      <c r="G2" s="41">
        <v>0</v>
      </c>
      <c r="H2" s="41">
        <v>0</v>
      </c>
    </row>
    <row r="3" spans="1:8" x14ac:dyDescent="0.25">
      <c r="A3" s="40" t="s">
        <v>37</v>
      </c>
      <c r="B3" s="34">
        <v>610208</v>
      </c>
      <c r="C3" s="35">
        <v>41122</v>
      </c>
      <c r="D3" s="41">
        <v>477</v>
      </c>
      <c r="E3" s="41">
        <v>42</v>
      </c>
      <c r="F3" s="41">
        <v>14777</v>
      </c>
      <c r="G3" s="41">
        <v>12</v>
      </c>
      <c r="H3" s="41">
        <v>0</v>
      </c>
    </row>
    <row r="4" spans="1:8" x14ac:dyDescent="0.25">
      <c r="A4" s="40" t="s">
        <v>37</v>
      </c>
      <c r="B4" s="34">
        <v>610208</v>
      </c>
      <c r="C4" s="35">
        <v>41122</v>
      </c>
      <c r="D4" s="41">
        <v>478</v>
      </c>
      <c r="E4" s="41">
        <v>18</v>
      </c>
      <c r="F4" s="41">
        <v>5612</v>
      </c>
      <c r="G4" s="41">
        <v>0</v>
      </c>
      <c r="H4" s="41">
        <v>0</v>
      </c>
    </row>
    <row r="5" spans="1:8" x14ac:dyDescent="0.25">
      <c r="A5" s="40" t="s">
        <v>37</v>
      </c>
      <c r="B5" s="34">
        <v>610208</v>
      </c>
      <c r="C5" s="35">
        <v>41122</v>
      </c>
      <c r="D5" s="41">
        <v>481</v>
      </c>
      <c r="E5" s="41">
        <v>0</v>
      </c>
      <c r="F5" s="41">
        <v>0</v>
      </c>
      <c r="G5" s="41">
        <v>0</v>
      </c>
      <c r="H5" s="41">
        <v>0</v>
      </c>
    </row>
    <row r="6" spans="1:8" x14ac:dyDescent="0.25">
      <c r="A6" s="40" t="s">
        <v>37</v>
      </c>
      <c r="B6" s="34">
        <v>610208</v>
      </c>
      <c r="C6" s="35">
        <v>41122</v>
      </c>
      <c r="D6" s="41">
        <v>790</v>
      </c>
      <c r="E6" s="41">
        <v>0</v>
      </c>
      <c r="F6" s="41">
        <v>0</v>
      </c>
      <c r="G6" s="41">
        <v>0</v>
      </c>
      <c r="H6" s="41">
        <v>0</v>
      </c>
    </row>
    <row r="7" spans="1:8" x14ac:dyDescent="0.25">
      <c r="A7" s="40" t="s">
        <v>37</v>
      </c>
      <c r="B7" s="34">
        <v>610208</v>
      </c>
      <c r="C7" s="35">
        <v>41123</v>
      </c>
      <c r="D7" s="41">
        <v>85</v>
      </c>
      <c r="E7" s="41">
        <v>0</v>
      </c>
      <c r="F7" s="41">
        <v>0</v>
      </c>
      <c r="G7" s="41">
        <v>0</v>
      </c>
      <c r="H7" s="41">
        <v>0</v>
      </c>
    </row>
    <row r="8" spans="1:8" x14ac:dyDescent="0.25">
      <c r="A8" s="40" t="s">
        <v>37</v>
      </c>
      <c r="B8" s="34">
        <v>610208</v>
      </c>
      <c r="C8" s="35">
        <v>41123</v>
      </c>
      <c r="D8" s="41">
        <v>477</v>
      </c>
      <c r="E8" s="41">
        <v>52</v>
      </c>
      <c r="F8" s="41">
        <v>17432</v>
      </c>
      <c r="G8" s="41">
        <v>10</v>
      </c>
      <c r="H8" s="41">
        <v>0</v>
      </c>
    </row>
    <row r="9" spans="1:8" x14ac:dyDescent="0.25">
      <c r="A9" s="40" t="s">
        <v>37</v>
      </c>
      <c r="B9" s="34">
        <v>610208</v>
      </c>
      <c r="C9" s="35">
        <v>41123</v>
      </c>
      <c r="D9" s="41">
        <v>478</v>
      </c>
      <c r="E9" s="41">
        <v>10</v>
      </c>
      <c r="F9" s="41">
        <v>2251</v>
      </c>
      <c r="G9" s="41">
        <v>0</v>
      </c>
      <c r="H9" s="41">
        <v>0</v>
      </c>
    </row>
    <row r="10" spans="1:8" x14ac:dyDescent="0.25">
      <c r="A10" s="40" t="s">
        <v>37</v>
      </c>
      <c r="B10" s="34">
        <v>610208</v>
      </c>
      <c r="C10" s="35">
        <v>41123</v>
      </c>
      <c r="D10" s="41">
        <v>481</v>
      </c>
      <c r="E10" s="41">
        <v>0</v>
      </c>
      <c r="F10" s="41">
        <v>0</v>
      </c>
      <c r="G10" s="41">
        <v>0</v>
      </c>
      <c r="H10" s="41">
        <v>0</v>
      </c>
    </row>
    <row r="11" spans="1:8" x14ac:dyDescent="0.25">
      <c r="A11" s="40" t="s">
        <v>37</v>
      </c>
      <c r="B11" s="34">
        <v>610208</v>
      </c>
      <c r="C11" s="35">
        <v>41123</v>
      </c>
      <c r="D11" s="41">
        <v>790</v>
      </c>
      <c r="E11" s="41">
        <v>0</v>
      </c>
      <c r="F11" s="41">
        <v>0</v>
      </c>
      <c r="G11" s="41">
        <v>0</v>
      </c>
      <c r="H11" s="41">
        <v>0</v>
      </c>
    </row>
    <row r="12" spans="1:8" x14ac:dyDescent="0.25">
      <c r="A12" s="40" t="s">
        <v>37</v>
      </c>
      <c r="B12" s="34">
        <v>610208</v>
      </c>
      <c r="C12" s="35">
        <v>41124</v>
      </c>
      <c r="D12" s="41">
        <v>85</v>
      </c>
      <c r="E12" s="41">
        <v>0</v>
      </c>
      <c r="F12" s="41">
        <v>0</v>
      </c>
      <c r="G12" s="41">
        <v>0</v>
      </c>
      <c r="H12" s="41">
        <v>0</v>
      </c>
    </row>
    <row r="13" spans="1:8" x14ac:dyDescent="0.25">
      <c r="A13" s="40" t="s">
        <v>37</v>
      </c>
      <c r="B13" s="34">
        <v>610208</v>
      </c>
      <c r="C13" s="35">
        <v>41124</v>
      </c>
      <c r="D13" s="41">
        <v>477</v>
      </c>
      <c r="E13" s="41">
        <v>25</v>
      </c>
      <c r="F13" s="41">
        <v>8907</v>
      </c>
      <c r="G13" s="41">
        <v>0</v>
      </c>
      <c r="H13" s="41">
        <v>0</v>
      </c>
    </row>
    <row r="14" spans="1:8" x14ac:dyDescent="0.25">
      <c r="A14" s="40" t="s">
        <v>37</v>
      </c>
      <c r="B14" s="34">
        <v>610208</v>
      </c>
      <c r="C14" s="35">
        <v>41124</v>
      </c>
      <c r="D14" s="41">
        <v>478</v>
      </c>
      <c r="E14" s="41">
        <v>11</v>
      </c>
      <c r="F14" s="41">
        <v>3076</v>
      </c>
      <c r="G14" s="41">
        <v>3</v>
      </c>
      <c r="H14" s="41">
        <v>0</v>
      </c>
    </row>
    <row r="15" spans="1:8" x14ac:dyDescent="0.25">
      <c r="A15" s="40" t="s">
        <v>37</v>
      </c>
      <c r="B15" s="34">
        <v>610208</v>
      </c>
      <c r="C15" s="35">
        <v>41124</v>
      </c>
      <c r="D15" s="41">
        <v>481</v>
      </c>
      <c r="E15" s="41">
        <v>28</v>
      </c>
      <c r="F15" s="41">
        <v>7755</v>
      </c>
      <c r="G15" s="41">
        <v>2</v>
      </c>
      <c r="H15" s="41">
        <v>0</v>
      </c>
    </row>
    <row r="16" spans="1:8" x14ac:dyDescent="0.25">
      <c r="A16" s="40" t="s">
        <v>37</v>
      </c>
      <c r="B16" s="34">
        <v>610208</v>
      </c>
      <c r="C16" s="35">
        <v>41124</v>
      </c>
      <c r="D16" s="41">
        <v>790</v>
      </c>
      <c r="E16" s="41">
        <v>0</v>
      </c>
      <c r="F16" s="41">
        <v>0</v>
      </c>
      <c r="G16" s="41">
        <v>0</v>
      </c>
      <c r="H16" s="41">
        <v>0</v>
      </c>
    </row>
    <row r="17" spans="1:8" x14ac:dyDescent="0.25">
      <c r="A17" s="40" t="s">
        <v>37</v>
      </c>
      <c r="B17" s="34">
        <v>610208</v>
      </c>
      <c r="C17" s="35">
        <v>41125</v>
      </c>
      <c r="D17" s="41">
        <v>85</v>
      </c>
      <c r="E17" s="41">
        <v>0</v>
      </c>
      <c r="F17" s="41">
        <v>0</v>
      </c>
      <c r="G17" s="41">
        <v>0</v>
      </c>
      <c r="H17" s="41">
        <v>0</v>
      </c>
    </row>
    <row r="18" spans="1:8" x14ac:dyDescent="0.25">
      <c r="A18" s="40" t="s">
        <v>37</v>
      </c>
      <c r="B18" s="34">
        <v>610208</v>
      </c>
      <c r="C18" s="35">
        <v>41125</v>
      </c>
      <c r="D18" s="41">
        <v>477</v>
      </c>
      <c r="E18" s="41">
        <v>19</v>
      </c>
      <c r="F18" s="41">
        <v>4061</v>
      </c>
      <c r="G18" s="41">
        <v>2</v>
      </c>
      <c r="H18" s="41">
        <v>0</v>
      </c>
    </row>
    <row r="19" spans="1:8" x14ac:dyDescent="0.25">
      <c r="A19" s="40" t="s">
        <v>37</v>
      </c>
      <c r="B19" s="34">
        <v>610208</v>
      </c>
      <c r="C19" s="35">
        <v>41125</v>
      </c>
      <c r="D19" s="41">
        <v>478</v>
      </c>
      <c r="E19" s="41">
        <v>53</v>
      </c>
      <c r="F19" s="41">
        <v>14541</v>
      </c>
      <c r="G19" s="41">
        <v>17</v>
      </c>
      <c r="H19" s="41">
        <v>0</v>
      </c>
    </row>
    <row r="20" spans="1:8" x14ac:dyDescent="0.25">
      <c r="A20" s="40" t="s">
        <v>37</v>
      </c>
      <c r="B20" s="34">
        <v>610208</v>
      </c>
      <c r="C20" s="35">
        <v>41125</v>
      </c>
      <c r="D20" s="41">
        <v>481</v>
      </c>
      <c r="E20" s="41">
        <v>0</v>
      </c>
      <c r="F20" s="41">
        <v>0</v>
      </c>
      <c r="G20" s="41">
        <v>0</v>
      </c>
      <c r="H20" s="41">
        <v>0</v>
      </c>
    </row>
    <row r="21" spans="1:8" x14ac:dyDescent="0.25">
      <c r="A21" s="40" t="s">
        <v>37</v>
      </c>
      <c r="B21" s="34">
        <v>610208</v>
      </c>
      <c r="C21" s="35">
        <v>41125</v>
      </c>
      <c r="D21" s="41">
        <v>790</v>
      </c>
      <c r="E21" s="41">
        <v>0</v>
      </c>
      <c r="F21" s="41">
        <v>0</v>
      </c>
      <c r="G21" s="41">
        <v>0</v>
      </c>
      <c r="H21" s="41">
        <v>0</v>
      </c>
    </row>
    <row r="22" spans="1:8" x14ac:dyDescent="0.25">
      <c r="A22" s="40" t="s">
        <v>37</v>
      </c>
      <c r="B22" s="34">
        <v>610208</v>
      </c>
      <c r="C22" s="35">
        <v>41127</v>
      </c>
      <c r="D22" s="41">
        <v>85</v>
      </c>
      <c r="E22" s="41">
        <v>0</v>
      </c>
      <c r="F22" s="41">
        <v>0</v>
      </c>
      <c r="G22" s="41">
        <v>0</v>
      </c>
      <c r="H22" s="41">
        <v>0</v>
      </c>
    </row>
    <row r="23" spans="1:8" x14ac:dyDescent="0.25">
      <c r="A23" s="40" t="s">
        <v>37</v>
      </c>
      <c r="B23" s="34">
        <v>610208</v>
      </c>
      <c r="C23" s="35">
        <v>41127</v>
      </c>
      <c r="D23" s="41">
        <v>477</v>
      </c>
      <c r="E23" s="41">
        <v>50</v>
      </c>
      <c r="F23" s="41">
        <v>14130</v>
      </c>
      <c r="G23" s="41">
        <v>20</v>
      </c>
      <c r="H23" s="41">
        <v>0</v>
      </c>
    </row>
    <row r="24" spans="1:8" x14ac:dyDescent="0.25">
      <c r="A24" s="40" t="s">
        <v>37</v>
      </c>
      <c r="B24" s="34">
        <v>610208</v>
      </c>
      <c r="C24" s="35">
        <v>41127</v>
      </c>
      <c r="D24" s="41">
        <v>478</v>
      </c>
      <c r="E24" s="41">
        <v>5</v>
      </c>
      <c r="F24" s="41">
        <v>1924</v>
      </c>
      <c r="G24" s="41">
        <v>2</v>
      </c>
      <c r="H24" s="41">
        <v>0</v>
      </c>
    </row>
    <row r="25" spans="1:8" x14ac:dyDescent="0.25">
      <c r="A25" s="40" t="s">
        <v>37</v>
      </c>
      <c r="B25" s="34">
        <v>610208</v>
      </c>
      <c r="C25" s="35">
        <v>41127</v>
      </c>
      <c r="D25" s="41">
        <v>481</v>
      </c>
      <c r="E25" s="41">
        <v>3</v>
      </c>
      <c r="F25" s="41">
        <v>374</v>
      </c>
      <c r="G25" s="41">
        <v>2</v>
      </c>
      <c r="H25" s="41">
        <v>0</v>
      </c>
    </row>
    <row r="26" spans="1:8" x14ac:dyDescent="0.25">
      <c r="A26" s="40" t="s">
        <v>37</v>
      </c>
      <c r="B26" s="34">
        <v>610208</v>
      </c>
      <c r="C26" s="35">
        <v>41127</v>
      </c>
      <c r="D26" s="41">
        <v>790</v>
      </c>
      <c r="E26" s="41">
        <v>0</v>
      </c>
      <c r="F26" s="41">
        <v>0</v>
      </c>
      <c r="G26" s="41">
        <v>0</v>
      </c>
      <c r="H26" s="41">
        <v>0</v>
      </c>
    </row>
    <row r="27" spans="1:8" x14ac:dyDescent="0.25">
      <c r="A27" s="40" t="s">
        <v>37</v>
      </c>
      <c r="B27" s="34">
        <v>610208</v>
      </c>
      <c r="C27" s="35">
        <v>41128</v>
      </c>
      <c r="D27" s="41">
        <v>85</v>
      </c>
      <c r="E27" s="41">
        <v>0</v>
      </c>
      <c r="F27" s="41">
        <v>0</v>
      </c>
      <c r="G27" s="41">
        <v>0</v>
      </c>
      <c r="H27" s="41">
        <v>0</v>
      </c>
    </row>
    <row r="28" spans="1:8" x14ac:dyDescent="0.25">
      <c r="A28" s="40" t="s">
        <v>37</v>
      </c>
      <c r="B28" s="34">
        <v>610208</v>
      </c>
      <c r="C28" s="35">
        <v>41128</v>
      </c>
      <c r="D28" s="41">
        <v>477</v>
      </c>
      <c r="E28" s="41">
        <v>42</v>
      </c>
      <c r="F28" s="41">
        <v>12830</v>
      </c>
      <c r="G28" s="41">
        <v>7</v>
      </c>
      <c r="H28" s="41">
        <v>0</v>
      </c>
    </row>
    <row r="29" spans="1:8" x14ac:dyDescent="0.25">
      <c r="A29" s="40" t="s">
        <v>37</v>
      </c>
      <c r="B29" s="34">
        <v>610208</v>
      </c>
      <c r="C29" s="35">
        <v>41128</v>
      </c>
      <c r="D29" s="41">
        <v>478</v>
      </c>
      <c r="E29" s="41">
        <v>11</v>
      </c>
      <c r="F29" s="41">
        <v>2858</v>
      </c>
      <c r="G29" s="41">
        <v>4</v>
      </c>
      <c r="H29" s="41">
        <v>0</v>
      </c>
    </row>
    <row r="30" spans="1:8" x14ac:dyDescent="0.25">
      <c r="A30" s="40" t="s">
        <v>37</v>
      </c>
      <c r="B30" s="34">
        <v>610208</v>
      </c>
      <c r="C30" s="35">
        <v>41128</v>
      </c>
      <c r="D30" s="41">
        <v>481</v>
      </c>
      <c r="E30" s="41">
        <v>18</v>
      </c>
      <c r="F30" s="41">
        <v>4732</v>
      </c>
      <c r="G30" s="41">
        <v>0</v>
      </c>
      <c r="H30" s="41">
        <v>0</v>
      </c>
    </row>
    <row r="31" spans="1:8" x14ac:dyDescent="0.25">
      <c r="A31" s="40" t="s">
        <v>37</v>
      </c>
      <c r="B31" s="34">
        <v>610208</v>
      </c>
      <c r="C31" s="35">
        <v>41128</v>
      </c>
      <c r="D31" s="41">
        <v>790</v>
      </c>
      <c r="E31" s="41">
        <v>0</v>
      </c>
      <c r="F31" s="41">
        <v>0</v>
      </c>
      <c r="G31" s="41">
        <v>0</v>
      </c>
      <c r="H31" s="41">
        <v>0</v>
      </c>
    </row>
    <row r="32" spans="1:8" x14ac:dyDescent="0.25">
      <c r="A32" s="40" t="s">
        <v>37</v>
      </c>
      <c r="B32" s="34">
        <v>610208</v>
      </c>
      <c r="C32" s="35">
        <v>41129</v>
      </c>
      <c r="D32" s="41">
        <v>85</v>
      </c>
      <c r="E32" s="41">
        <v>0</v>
      </c>
      <c r="F32" s="41">
        <v>0</v>
      </c>
      <c r="G32" s="41">
        <v>0</v>
      </c>
      <c r="H32" s="41">
        <v>0</v>
      </c>
    </row>
    <row r="33" spans="1:8" x14ac:dyDescent="0.25">
      <c r="A33" s="40" t="s">
        <v>37</v>
      </c>
      <c r="B33" s="34">
        <v>610208</v>
      </c>
      <c r="C33" s="35">
        <v>41129</v>
      </c>
      <c r="D33" s="41">
        <v>477</v>
      </c>
      <c r="E33" s="41">
        <v>43</v>
      </c>
      <c r="F33" s="41">
        <v>14404</v>
      </c>
      <c r="G33" s="41">
        <v>6</v>
      </c>
      <c r="H33" s="41">
        <v>0</v>
      </c>
    </row>
    <row r="34" spans="1:8" x14ac:dyDescent="0.25">
      <c r="A34" s="40" t="s">
        <v>37</v>
      </c>
      <c r="B34" s="34">
        <v>610208</v>
      </c>
      <c r="C34" s="35">
        <v>41129</v>
      </c>
      <c r="D34" s="41">
        <v>478</v>
      </c>
      <c r="E34" s="41">
        <v>8</v>
      </c>
      <c r="F34" s="41">
        <v>2572</v>
      </c>
      <c r="G34" s="41">
        <v>0</v>
      </c>
      <c r="H34" s="41">
        <v>0</v>
      </c>
    </row>
    <row r="35" spans="1:8" x14ac:dyDescent="0.25">
      <c r="A35" s="40" t="s">
        <v>37</v>
      </c>
      <c r="B35" s="34">
        <v>610208</v>
      </c>
      <c r="C35" s="35">
        <v>41129</v>
      </c>
      <c r="D35" s="41">
        <v>481</v>
      </c>
      <c r="E35" s="41">
        <v>14</v>
      </c>
      <c r="F35" s="41">
        <v>3551</v>
      </c>
      <c r="G35" s="41">
        <v>3</v>
      </c>
      <c r="H35" s="41">
        <v>0</v>
      </c>
    </row>
    <row r="36" spans="1:8" x14ac:dyDescent="0.25">
      <c r="A36" s="40" t="s">
        <v>37</v>
      </c>
      <c r="B36" s="34">
        <v>610208</v>
      </c>
      <c r="C36" s="35">
        <v>41129</v>
      </c>
      <c r="D36" s="41">
        <v>790</v>
      </c>
      <c r="E36" s="41">
        <v>0</v>
      </c>
      <c r="F36" s="41">
        <v>0</v>
      </c>
      <c r="G36" s="41">
        <v>0</v>
      </c>
      <c r="H36" s="41">
        <v>0</v>
      </c>
    </row>
    <row r="37" spans="1:8" x14ac:dyDescent="0.25">
      <c r="A37" s="40" t="s">
        <v>37</v>
      </c>
      <c r="B37" s="34">
        <v>610208</v>
      </c>
      <c r="C37" s="35">
        <v>41130</v>
      </c>
      <c r="D37" s="41">
        <v>85</v>
      </c>
      <c r="E37" s="41">
        <v>0</v>
      </c>
      <c r="F37" s="41">
        <v>0</v>
      </c>
      <c r="G37" s="41">
        <v>0</v>
      </c>
      <c r="H37" s="41">
        <v>0</v>
      </c>
    </row>
    <row r="38" spans="1:8" x14ac:dyDescent="0.25">
      <c r="A38" s="40" t="s">
        <v>37</v>
      </c>
      <c r="B38" s="34">
        <v>610208</v>
      </c>
      <c r="C38" s="35">
        <v>41130</v>
      </c>
      <c r="D38" s="41">
        <v>477</v>
      </c>
      <c r="E38" s="41">
        <v>52</v>
      </c>
      <c r="F38" s="41">
        <v>13921</v>
      </c>
      <c r="G38" s="41">
        <v>15</v>
      </c>
      <c r="H38" s="41">
        <v>0</v>
      </c>
    </row>
    <row r="39" spans="1:8" x14ac:dyDescent="0.25">
      <c r="A39" s="40" t="s">
        <v>37</v>
      </c>
      <c r="B39" s="34">
        <v>610208</v>
      </c>
      <c r="C39" s="35">
        <v>41130</v>
      </c>
      <c r="D39" s="41">
        <v>478</v>
      </c>
      <c r="E39" s="41">
        <v>18</v>
      </c>
      <c r="F39" s="41">
        <v>4872</v>
      </c>
      <c r="G39" s="41">
        <v>14</v>
      </c>
      <c r="H39" s="41">
        <v>0</v>
      </c>
    </row>
    <row r="40" spans="1:8" x14ac:dyDescent="0.25">
      <c r="A40" s="40" t="s">
        <v>37</v>
      </c>
      <c r="B40" s="34">
        <v>610208</v>
      </c>
      <c r="C40" s="35">
        <v>41130</v>
      </c>
      <c r="D40" s="41">
        <v>481</v>
      </c>
      <c r="E40" s="41">
        <v>2</v>
      </c>
      <c r="F40" s="41">
        <v>682</v>
      </c>
      <c r="G40" s="41">
        <v>0</v>
      </c>
      <c r="H40" s="41">
        <v>0</v>
      </c>
    </row>
    <row r="41" spans="1:8" x14ac:dyDescent="0.25">
      <c r="A41" s="40" t="s">
        <v>37</v>
      </c>
      <c r="B41" s="34">
        <v>610208</v>
      </c>
      <c r="C41" s="35">
        <v>41130</v>
      </c>
      <c r="D41" s="41">
        <v>790</v>
      </c>
      <c r="E41" s="41">
        <v>0</v>
      </c>
      <c r="F41" s="41">
        <v>0</v>
      </c>
      <c r="G41" s="41">
        <v>0</v>
      </c>
      <c r="H41" s="41">
        <v>0</v>
      </c>
    </row>
    <row r="42" spans="1:8" x14ac:dyDescent="0.25">
      <c r="A42" s="40" t="s">
        <v>37</v>
      </c>
      <c r="B42" s="34">
        <v>610208</v>
      </c>
      <c r="C42" s="35">
        <v>41131</v>
      </c>
      <c r="D42" s="41">
        <v>85</v>
      </c>
      <c r="E42" s="41">
        <v>0</v>
      </c>
      <c r="F42" s="41">
        <v>0</v>
      </c>
      <c r="G42" s="41">
        <v>0</v>
      </c>
      <c r="H42" s="41">
        <v>0</v>
      </c>
    </row>
    <row r="43" spans="1:8" x14ac:dyDescent="0.25">
      <c r="A43" s="40" t="s">
        <v>37</v>
      </c>
      <c r="B43" s="34">
        <v>610208</v>
      </c>
      <c r="C43" s="35">
        <v>41131</v>
      </c>
      <c r="D43" s="41">
        <v>477</v>
      </c>
      <c r="E43" s="41">
        <v>67</v>
      </c>
      <c r="F43" s="41">
        <v>15243</v>
      </c>
      <c r="G43" s="41">
        <v>13</v>
      </c>
      <c r="H43" s="41">
        <v>0</v>
      </c>
    </row>
    <row r="44" spans="1:8" x14ac:dyDescent="0.25">
      <c r="A44" s="40" t="s">
        <v>37</v>
      </c>
      <c r="B44" s="34">
        <v>610208</v>
      </c>
      <c r="C44" s="35">
        <v>41131</v>
      </c>
      <c r="D44" s="41">
        <v>478</v>
      </c>
      <c r="E44" s="41">
        <v>11</v>
      </c>
      <c r="F44" s="41">
        <v>2254</v>
      </c>
      <c r="G44" s="41">
        <v>0</v>
      </c>
      <c r="H44" s="41">
        <v>0</v>
      </c>
    </row>
    <row r="45" spans="1:8" x14ac:dyDescent="0.25">
      <c r="A45" s="40" t="s">
        <v>37</v>
      </c>
      <c r="B45" s="34">
        <v>610208</v>
      </c>
      <c r="C45" s="35">
        <v>41131</v>
      </c>
      <c r="D45" s="41">
        <v>481</v>
      </c>
      <c r="E45" s="41">
        <v>0</v>
      </c>
      <c r="F45" s="41">
        <v>0</v>
      </c>
      <c r="G45" s="41">
        <v>0</v>
      </c>
      <c r="H45" s="41">
        <v>0</v>
      </c>
    </row>
    <row r="46" spans="1:8" x14ac:dyDescent="0.25">
      <c r="A46" s="40" t="s">
        <v>37</v>
      </c>
      <c r="B46" s="34">
        <v>610208</v>
      </c>
      <c r="C46" s="35">
        <v>41131</v>
      </c>
      <c r="D46" s="41">
        <v>790</v>
      </c>
      <c r="E46" s="41">
        <v>0</v>
      </c>
      <c r="F46" s="41">
        <v>0</v>
      </c>
      <c r="G46" s="41">
        <v>0</v>
      </c>
      <c r="H46" s="41">
        <v>0</v>
      </c>
    </row>
    <row r="47" spans="1:8" x14ac:dyDescent="0.25">
      <c r="A47" s="40" t="s">
        <v>37</v>
      </c>
      <c r="B47" s="34">
        <v>610208</v>
      </c>
      <c r="C47" s="35">
        <v>41133</v>
      </c>
      <c r="D47" s="41">
        <v>85</v>
      </c>
      <c r="E47" s="41">
        <v>0</v>
      </c>
      <c r="F47" s="41">
        <v>0</v>
      </c>
      <c r="G47" s="41">
        <v>0</v>
      </c>
      <c r="H47" s="41">
        <v>0</v>
      </c>
    </row>
    <row r="48" spans="1:8" x14ac:dyDescent="0.25">
      <c r="A48" s="40" t="s">
        <v>37</v>
      </c>
      <c r="B48" s="34">
        <v>610208</v>
      </c>
      <c r="C48" s="35">
        <v>41133</v>
      </c>
      <c r="D48" s="41">
        <v>466</v>
      </c>
      <c r="E48" s="41">
        <v>1</v>
      </c>
      <c r="F48" s="41">
        <v>351</v>
      </c>
      <c r="G48" s="41">
        <v>0</v>
      </c>
      <c r="H48" s="41">
        <v>0</v>
      </c>
    </row>
    <row r="49" spans="1:8" x14ac:dyDescent="0.25">
      <c r="A49" s="40" t="s">
        <v>37</v>
      </c>
      <c r="B49" s="34">
        <v>610208</v>
      </c>
      <c r="C49" s="35">
        <v>41133</v>
      </c>
      <c r="D49" s="41">
        <v>477</v>
      </c>
      <c r="E49" s="41">
        <v>18</v>
      </c>
      <c r="F49" s="41">
        <v>6813</v>
      </c>
      <c r="G49" s="41">
        <v>0</v>
      </c>
      <c r="H49" s="41">
        <v>0</v>
      </c>
    </row>
    <row r="50" spans="1:8" x14ac:dyDescent="0.25">
      <c r="A50" s="40" t="s">
        <v>37</v>
      </c>
      <c r="B50" s="34">
        <v>610208</v>
      </c>
      <c r="C50" s="35">
        <v>41133</v>
      </c>
      <c r="D50" s="41">
        <v>478</v>
      </c>
      <c r="E50" s="41">
        <v>12</v>
      </c>
      <c r="F50" s="41">
        <v>3120</v>
      </c>
      <c r="G50" s="41">
        <v>3</v>
      </c>
      <c r="H50" s="41">
        <v>0</v>
      </c>
    </row>
    <row r="51" spans="1:8" x14ac:dyDescent="0.25">
      <c r="A51" s="40" t="s">
        <v>37</v>
      </c>
      <c r="B51" s="34">
        <v>610208</v>
      </c>
      <c r="C51" s="35">
        <v>41133</v>
      </c>
      <c r="D51" s="41">
        <v>481</v>
      </c>
      <c r="E51" s="41">
        <v>0</v>
      </c>
      <c r="F51" s="41">
        <v>0</v>
      </c>
      <c r="G51" s="41">
        <v>0</v>
      </c>
      <c r="H51" s="41">
        <v>0</v>
      </c>
    </row>
    <row r="52" spans="1:8" x14ac:dyDescent="0.25">
      <c r="A52" s="40" t="s">
        <v>37</v>
      </c>
      <c r="B52" s="34">
        <v>610208</v>
      </c>
      <c r="C52" s="35">
        <v>41133</v>
      </c>
      <c r="D52" s="41">
        <v>790</v>
      </c>
      <c r="E52" s="41">
        <v>0</v>
      </c>
      <c r="F52" s="41">
        <v>0</v>
      </c>
      <c r="G52" s="41">
        <v>0</v>
      </c>
      <c r="H52" s="41">
        <v>0</v>
      </c>
    </row>
    <row r="53" spans="1:8" x14ac:dyDescent="0.25">
      <c r="A53" s="40" t="s">
        <v>37</v>
      </c>
      <c r="B53" s="34">
        <v>610208</v>
      </c>
      <c r="C53" s="35">
        <v>41134</v>
      </c>
      <c r="D53" s="41">
        <v>85</v>
      </c>
      <c r="E53" s="41">
        <v>0</v>
      </c>
      <c r="F53" s="41">
        <v>0</v>
      </c>
      <c r="G53" s="41">
        <v>0</v>
      </c>
      <c r="H53" s="41">
        <v>0</v>
      </c>
    </row>
    <row r="54" spans="1:8" x14ac:dyDescent="0.25">
      <c r="A54" s="40" t="s">
        <v>37</v>
      </c>
      <c r="B54" s="34">
        <v>610208</v>
      </c>
      <c r="C54" s="35">
        <v>41134</v>
      </c>
      <c r="D54" s="41">
        <v>477</v>
      </c>
      <c r="E54" s="41">
        <v>58</v>
      </c>
      <c r="F54" s="41">
        <v>16595</v>
      </c>
      <c r="G54" s="41">
        <v>20</v>
      </c>
      <c r="H54" s="41">
        <v>0</v>
      </c>
    </row>
    <row r="55" spans="1:8" x14ac:dyDescent="0.25">
      <c r="A55" s="40" t="s">
        <v>37</v>
      </c>
      <c r="B55" s="34">
        <v>610208</v>
      </c>
      <c r="C55" s="35">
        <v>41134</v>
      </c>
      <c r="D55" s="41">
        <v>478</v>
      </c>
      <c r="E55" s="41">
        <v>9</v>
      </c>
      <c r="F55" s="41">
        <v>2912</v>
      </c>
      <c r="G55" s="41">
        <v>5</v>
      </c>
      <c r="H55" s="41">
        <v>0</v>
      </c>
    </row>
    <row r="56" spans="1:8" x14ac:dyDescent="0.25">
      <c r="A56" s="40" t="s">
        <v>37</v>
      </c>
      <c r="B56" s="34">
        <v>610208</v>
      </c>
      <c r="C56" s="35">
        <v>41134</v>
      </c>
      <c r="D56" s="41">
        <v>481</v>
      </c>
      <c r="E56" s="41">
        <v>0</v>
      </c>
      <c r="F56" s="41">
        <v>0</v>
      </c>
      <c r="G56" s="41">
        <v>0</v>
      </c>
      <c r="H56" s="41">
        <v>0</v>
      </c>
    </row>
    <row r="57" spans="1:8" x14ac:dyDescent="0.25">
      <c r="A57" s="40" t="s">
        <v>37</v>
      </c>
      <c r="B57" s="34">
        <v>610208</v>
      </c>
      <c r="C57" s="35">
        <v>41134</v>
      </c>
      <c r="D57" s="41">
        <v>790</v>
      </c>
      <c r="E57" s="41">
        <v>0</v>
      </c>
      <c r="F57" s="41">
        <v>0</v>
      </c>
      <c r="G57" s="41">
        <v>0</v>
      </c>
      <c r="H57" s="41">
        <v>0</v>
      </c>
    </row>
    <row r="58" spans="1:8" x14ac:dyDescent="0.25">
      <c r="A58" s="40" t="s">
        <v>37</v>
      </c>
      <c r="B58" s="34">
        <v>610208</v>
      </c>
      <c r="C58" s="35">
        <v>41135</v>
      </c>
      <c r="D58" s="41">
        <v>85</v>
      </c>
      <c r="E58" s="41">
        <v>0</v>
      </c>
      <c r="F58" s="41">
        <v>0</v>
      </c>
      <c r="G58" s="41">
        <v>0</v>
      </c>
      <c r="H58" s="41">
        <v>0</v>
      </c>
    </row>
    <row r="59" spans="1:8" x14ac:dyDescent="0.25">
      <c r="A59" s="40" t="s">
        <v>37</v>
      </c>
      <c r="B59" s="34">
        <v>610208</v>
      </c>
      <c r="C59" s="35">
        <v>41135</v>
      </c>
      <c r="D59" s="41">
        <v>466</v>
      </c>
      <c r="E59" s="41">
        <v>3</v>
      </c>
      <c r="F59" s="41">
        <v>572</v>
      </c>
      <c r="G59" s="41">
        <v>0</v>
      </c>
      <c r="H59" s="41">
        <v>0</v>
      </c>
    </row>
    <row r="60" spans="1:8" x14ac:dyDescent="0.25">
      <c r="A60" s="40" t="s">
        <v>37</v>
      </c>
      <c r="B60" s="34">
        <v>610208</v>
      </c>
      <c r="C60" s="35">
        <v>41135</v>
      </c>
      <c r="D60" s="41">
        <v>467</v>
      </c>
      <c r="E60" s="41">
        <v>0</v>
      </c>
      <c r="F60" s="41">
        <v>0</v>
      </c>
      <c r="G60" s="41">
        <v>0</v>
      </c>
      <c r="H60" s="41">
        <v>0</v>
      </c>
    </row>
    <row r="61" spans="1:8" x14ac:dyDescent="0.25">
      <c r="A61" s="40" t="s">
        <v>37</v>
      </c>
      <c r="B61" s="34">
        <v>610208</v>
      </c>
      <c r="C61" s="35">
        <v>41135</v>
      </c>
      <c r="D61" s="41">
        <v>477</v>
      </c>
      <c r="E61" s="41">
        <v>21</v>
      </c>
      <c r="F61" s="41">
        <v>6630</v>
      </c>
      <c r="G61" s="41">
        <v>33</v>
      </c>
      <c r="H61" s="41">
        <v>0</v>
      </c>
    </row>
    <row r="62" spans="1:8" x14ac:dyDescent="0.25">
      <c r="A62" s="40" t="s">
        <v>37</v>
      </c>
      <c r="B62" s="34">
        <v>610208</v>
      </c>
      <c r="C62" s="35">
        <v>41135</v>
      </c>
      <c r="D62" s="41">
        <v>478</v>
      </c>
      <c r="E62" s="41">
        <v>42</v>
      </c>
      <c r="F62" s="41">
        <v>12226</v>
      </c>
      <c r="G62" s="41">
        <v>6</v>
      </c>
      <c r="H62" s="41">
        <v>0</v>
      </c>
    </row>
    <row r="63" spans="1:8" x14ac:dyDescent="0.25">
      <c r="A63" s="40" t="s">
        <v>37</v>
      </c>
      <c r="B63" s="34">
        <v>610208</v>
      </c>
      <c r="C63" s="35">
        <v>41135</v>
      </c>
      <c r="D63" s="41">
        <v>481</v>
      </c>
      <c r="E63" s="41">
        <v>0</v>
      </c>
      <c r="F63" s="41">
        <v>0</v>
      </c>
      <c r="G63" s="41">
        <v>0</v>
      </c>
      <c r="H63" s="41">
        <v>0</v>
      </c>
    </row>
    <row r="64" spans="1:8" x14ac:dyDescent="0.25">
      <c r="A64" s="40" t="s">
        <v>37</v>
      </c>
      <c r="B64" s="34">
        <v>610208</v>
      </c>
      <c r="C64" s="35">
        <v>41135</v>
      </c>
      <c r="D64" s="41">
        <v>790</v>
      </c>
      <c r="E64" s="41">
        <v>0</v>
      </c>
      <c r="F64" s="41">
        <v>0</v>
      </c>
      <c r="G64" s="41">
        <v>0</v>
      </c>
      <c r="H64" s="41">
        <v>0</v>
      </c>
    </row>
    <row r="65" spans="1:8" x14ac:dyDescent="0.25">
      <c r="A65" s="40" t="s">
        <v>37</v>
      </c>
      <c r="B65" s="34">
        <v>610208</v>
      </c>
      <c r="C65" s="35">
        <v>41136</v>
      </c>
      <c r="D65" s="41">
        <v>85</v>
      </c>
      <c r="E65" s="41">
        <v>0</v>
      </c>
      <c r="F65" s="41">
        <v>0</v>
      </c>
      <c r="G65" s="41">
        <v>0</v>
      </c>
      <c r="H65" s="41">
        <v>0</v>
      </c>
    </row>
    <row r="66" spans="1:8" x14ac:dyDescent="0.25">
      <c r="A66" s="40" t="s">
        <v>37</v>
      </c>
      <c r="B66" s="34">
        <v>610208</v>
      </c>
      <c r="C66" s="35">
        <v>41136</v>
      </c>
      <c r="D66" s="41">
        <v>465</v>
      </c>
      <c r="E66" s="41">
        <v>0</v>
      </c>
      <c r="F66" s="41">
        <v>0</v>
      </c>
      <c r="G66" s="41">
        <v>0</v>
      </c>
      <c r="H66" s="41">
        <v>0</v>
      </c>
    </row>
    <row r="67" spans="1:8" x14ac:dyDescent="0.25">
      <c r="A67" s="40" t="s">
        <v>37</v>
      </c>
      <c r="B67" s="34">
        <v>610208</v>
      </c>
      <c r="C67" s="35">
        <v>41136</v>
      </c>
      <c r="D67" s="41">
        <v>466</v>
      </c>
      <c r="E67" s="41">
        <v>15</v>
      </c>
      <c r="F67" s="41">
        <v>4063</v>
      </c>
      <c r="G67" s="41">
        <v>0</v>
      </c>
      <c r="H67" s="41">
        <v>0</v>
      </c>
    </row>
    <row r="68" spans="1:8" x14ac:dyDescent="0.25">
      <c r="A68" s="40" t="s">
        <v>37</v>
      </c>
      <c r="B68" s="34">
        <v>610208</v>
      </c>
      <c r="C68" s="35">
        <v>41136</v>
      </c>
      <c r="D68" s="41">
        <v>467</v>
      </c>
      <c r="E68" s="41">
        <v>0</v>
      </c>
      <c r="F68" s="41">
        <v>0</v>
      </c>
      <c r="G68" s="41">
        <v>0</v>
      </c>
      <c r="H68" s="41">
        <v>0</v>
      </c>
    </row>
    <row r="69" spans="1:8" x14ac:dyDescent="0.25">
      <c r="A69" s="40" t="s">
        <v>37</v>
      </c>
      <c r="B69" s="34">
        <v>610208</v>
      </c>
      <c r="C69" s="35">
        <v>41136</v>
      </c>
      <c r="D69" s="41">
        <v>477</v>
      </c>
      <c r="E69" s="41">
        <v>1</v>
      </c>
      <c r="F69" s="41">
        <v>346</v>
      </c>
      <c r="G69" s="41">
        <v>0</v>
      </c>
      <c r="H69" s="41">
        <v>0</v>
      </c>
    </row>
    <row r="70" spans="1:8" x14ac:dyDescent="0.25">
      <c r="A70" s="40" t="s">
        <v>37</v>
      </c>
      <c r="B70" s="34">
        <v>610208</v>
      </c>
      <c r="C70" s="35">
        <v>41136</v>
      </c>
      <c r="D70" s="41">
        <v>478</v>
      </c>
      <c r="E70" s="41">
        <v>27</v>
      </c>
      <c r="F70" s="41">
        <v>7402</v>
      </c>
      <c r="G70" s="41">
        <v>0</v>
      </c>
      <c r="H70" s="41">
        <v>0</v>
      </c>
    </row>
    <row r="71" spans="1:8" x14ac:dyDescent="0.25">
      <c r="A71" s="40" t="s">
        <v>37</v>
      </c>
      <c r="B71" s="34">
        <v>610208</v>
      </c>
      <c r="C71" s="35">
        <v>41136</v>
      </c>
      <c r="D71" s="41">
        <v>480</v>
      </c>
      <c r="E71" s="41">
        <v>9</v>
      </c>
      <c r="F71" s="41">
        <v>1838</v>
      </c>
      <c r="G71" s="41">
        <v>0</v>
      </c>
      <c r="H71" s="41">
        <v>0</v>
      </c>
    </row>
    <row r="72" spans="1:8" x14ac:dyDescent="0.25">
      <c r="A72" s="40" t="s">
        <v>37</v>
      </c>
      <c r="B72" s="34">
        <v>610208</v>
      </c>
      <c r="C72" s="35">
        <v>41136</v>
      </c>
      <c r="D72" s="41">
        <v>481</v>
      </c>
      <c r="E72" s="41">
        <v>4</v>
      </c>
      <c r="F72" s="41">
        <v>1283</v>
      </c>
      <c r="G72" s="41">
        <v>0</v>
      </c>
      <c r="H72" s="41">
        <v>0</v>
      </c>
    </row>
    <row r="73" spans="1:8" x14ac:dyDescent="0.25">
      <c r="A73" s="40" t="s">
        <v>37</v>
      </c>
      <c r="B73" s="34">
        <v>610208</v>
      </c>
      <c r="C73" s="35">
        <v>41136</v>
      </c>
      <c r="D73" s="41">
        <v>482</v>
      </c>
      <c r="E73" s="41">
        <v>19</v>
      </c>
      <c r="F73" s="41">
        <v>5193</v>
      </c>
      <c r="G73" s="41">
        <v>0</v>
      </c>
      <c r="H73" s="41">
        <v>0</v>
      </c>
    </row>
    <row r="74" spans="1:8" x14ac:dyDescent="0.25">
      <c r="A74" s="40" t="s">
        <v>37</v>
      </c>
      <c r="B74" s="34">
        <v>610208</v>
      </c>
      <c r="C74" s="35">
        <v>41136</v>
      </c>
      <c r="D74" s="41">
        <v>790</v>
      </c>
      <c r="E74" s="41">
        <v>0</v>
      </c>
      <c r="F74" s="41">
        <v>0</v>
      </c>
      <c r="G74" s="41">
        <v>0</v>
      </c>
      <c r="H74" s="41">
        <v>0</v>
      </c>
    </row>
    <row r="75" spans="1:8" x14ac:dyDescent="0.25">
      <c r="A75" s="40" t="s">
        <v>37</v>
      </c>
      <c r="B75" s="34">
        <v>610208</v>
      </c>
      <c r="C75" s="35">
        <v>41137</v>
      </c>
      <c r="D75" s="41">
        <v>85</v>
      </c>
      <c r="E75" s="41">
        <v>0</v>
      </c>
      <c r="F75" s="41">
        <v>0</v>
      </c>
      <c r="G75" s="41">
        <v>0</v>
      </c>
      <c r="H75" s="41">
        <v>0</v>
      </c>
    </row>
    <row r="76" spans="1:8" x14ac:dyDescent="0.25">
      <c r="A76" s="40" t="s">
        <v>37</v>
      </c>
      <c r="B76" s="34">
        <v>610208</v>
      </c>
      <c r="C76" s="35">
        <v>41137</v>
      </c>
      <c r="D76" s="41">
        <v>465</v>
      </c>
      <c r="E76" s="41">
        <v>0</v>
      </c>
      <c r="F76" s="41">
        <v>0</v>
      </c>
      <c r="G76" s="41">
        <v>0</v>
      </c>
      <c r="H76" s="41">
        <v>0</v>
      </c>
    </row>
    <row r="77" spans="1:8" x14ac:dyDescent="0.25">
      <c r="A77" s="40" t="s">
        <v>37</v>
      </c>
      <c r="B77" s="34">
        <v>610208</v>
      </c>
      <c r="C77" s="35">
        <v>41137</v>
      </c>
      <c r="D77" s="41">
        <v>466</v>
      </c>
      <c r="E77" s="41">
        <v>38</v>
      </c>
      <c r="F77" s="41">
        <v>12317</v>
      </c>
      <c r="G77" s="41">
        <v>1</v>
      </c>
      <c r="H77" s="41">
        <v>0</v>
      </c>
    </row>
    <row r="78" spans="1:8" x14ac:dyDescent="0.25">
      <c r="A78" s="40" t="s">
        <v>37</v>
      </c>
      <c r="B78" s="34">
        <v>610208</v>
      </c>
      <c r="C78" s="35">
        <v>41137</v>
      </c>
      <c r="D78" s="41">
        <v>467</v>
      </c>
      <c r="E78" s="41">
        <v>0</v>
      </c>
      <c r="F78" s="41">
        <v>0</v>
      </c>
      <c r="G78" s="41">
        <v>0</v>
      </c>
      <c r="H78" s="41">
        <v>0</v>
      </c>
    </row>
    <row r="79" spans="1:8" x14ac:dyDescent="0.25">
      <c r="A79" s="40" t="s">
        <v>37</v>
      </c>
      <c r="B79" s="34">
        <v>610208</v>
      </c>
      <c r="C79" s="35">
        <v>41137</v>
      </c>
      <c r="D79" s="41">
        <v>477</v>
      </c>
      <c r="E79" s="41">
        <v>20</v>
      </c>
      <c r="F79" s="41">
        <v>6050</v>
      </c>
      <c r="G79" s="41">
        <v>0</v>
      </c>
      <c r="H79" s="41">
        <v>0</v>
      </c>
    </row>
    <row r="80" spans="1:8" x14ac:dyDescent="0.25">
      <c r="A80" s="40" t="s">
        <v>37</v>
      </c>
      <c r="B80" s="34">
        <v>610208</v>
      </c>
      <c r="C80" s="35">
        <v>41137</v>
      </c>
      <c r="D80" s="41">
        <v>478</v>
      </c>
      <c r="E80" s="41">
        <v>4</v>
      </c>
      <c r="F80" s="41">
        <v>798</v>
      </c>
      <c r="G80" s="41">
        <v>0</v>
      </c>
      <c r="H80" s="41">
        <v>0</v>
      </c>
    </row>
    <row r="81" spans="1:8" x14ac:dyDescent="0.25">
      <c r="A81" s="40" t="s">
        <v>37</v>
      </c>
      <c r="B81" s="34">
        <v>610208</v>
      </c>
      <c r="C81" s="35">
        <v>41137</v>
      </c>
      <c r="D81" s="41">
        <v>480</v>
      </c>
      <c r="E81" s="41">
        <v>1</v>
      </c>
      <c r="F81" s="41">
        <v>211</v>
      </c>
      <c r="G81" s="41">
        <v>0</v>
      </c>
      <c r="H81" s="41">
        <v>0</v>
      </c>
    </row>
    <row r="82" spans="1:8" x14ac:dyDescent="0.25">
      <c r="A82" s="40" t="s">
        <v>37</v>
      </c>
      <c r="B82" s="34">
        <v>610208</v>
      </c>
      <c r="C82" s="35">
        <v>41137</v>
      </c>
      <c r="D82" s="41">
        <v>481</v>
      </c>
      <c r="E82" s="41">
        <v>0</v>
      </c>
      <c r="F82" s="41">
        <v>0</v>
      </c>
      <c r="G82" s="41">
        <v>0</v>
      </c>
      <c r="H82" s="41">
        <v>0</v>
      </c>
    </row>
    <row r="83" spans="1:8" x14ac:dyDescent="0.25">
      <c r="A83" s="40" t="s">
        <v>37</v>
      </c>
      <c r="B83" s="34">
        <v>610208</v>
      </c>
      <c r="C83" s="35">
        <v>41137</v>
      </c>
      <c r="D83" s="41">
        <v>482</v>
      </c>
      <c r="E83" s="41">
        <v>5</v>
      </c>
      <c r="F83" s="41">
        <v>1238</v>
      </c>
      <c r="G83" s="41">
        <v>0</v>
      </c>
      <c r="H83" s="41">
        <v>0</v>
      </c>
    </row>
    <row r="84" spans="1:8" x14ac:dyDescent="0.25">
      <c r="A84" s="40" t="s">
        <v>37</v>
      </c>
      <c r="B84" s="34">
        <v>610208</v>
      </c>
      <c r="C84" s="35">
        <v>41137</v>
      </c>
      <c r="D84" s="41">
        <v>790</v>
      </c>
      <c r="E84" s="41">
        <v>0</v>
      </c>
      <c r="F84" s="41">
        <v>0</v>
      </c>
      <c r="G84" s="41">
        <v>0</v>
      </c>
      <c r="H84" s="41">
        <v>0</v>
      </c>
    </row>
    <row r="85" spans="1:8" x14ac:dyDescent="0.25">
      <c r="A85" s="40" t="s">
        <v>37</v>
      </c>
      <c r="B85" s="34">
        <v>610208</v>
      </c>
      <c r="C85" s="35">
        <v>41138</v>
      </c>
      <c r="D85" s="41">
        <v>85</v>
      </c>
      <c r="E85" s="41">
        <v>0</v>
      </c>
      <c r="F85" s="41">
        <v>0</v>
      </c>
      <c r="G85" s="41">
        <v>0</v>
      </c>
      <c r="H85" s="41">
        <v>0</v>
      </c>
    </row>
    <row r="86" spans="1:8" x14ac:dyDescent="0.25">
      <c r="A86" s="40" t="s">
        <v>37</v>
      </c>
      <c r="B86" s="34">
        <v>610208</v>
      </c>
      <c r="C86" s="35">
        <v>41138</v>
      </c>
      <c r="D86" s="41">
        <v>465</v>
      </c>
      <c r="E86" s="41">
        <v>0</v>
      </c>
      <c r="F86" s="41">
        <v>0</v>
      </c>
      <c r="G86" s="41">
        <v>0</v>
      </c>
      <c r="H86" s="41">
        <v>0</v>
      </c>
    </row>
    <row r="87" spans="1:8" x14ac:dyDescent="0.25">
      <c r="A87" s="40" t="s">
        <v>37</v>
      </c>
      <c r="B87" s="34">
        <v>610208</v>
      </c>
      <c r="C87" s="35">
        <v>41138</v>
      </c>
      <c r="D87" s="41">
        <v>466</v>
      </c>
      <c r="E87" s="41">
        <v>35</v>
      </c>
      <c r="F87" s="41">
        <v>10223</v>
      </c>
      <c r="G87" s="41">
        <v>0</v>
      </c>
      <c r="H87" s="41">
        <v>0</v>
      </c>
    </row>
    <row r="88" spans="1:8" x14ac:dyDescent="0.25">
      <c r="A88" s="40" t="s">
        <v>37</v>
      </c>
      <c r="B88" s="34">
        <v>610208</v>
      </c>
      <c r="C88" s="35">
        <v>41138</v>
      </c>
      <c r="D88" s="41">
        <v>467</v>
      </c>
      <c r="E88" s="41">
        <v>0</v>
      </c>
      <c r="F88" s="41">
        <v>0</v>
      </c>
      <c r="G88" s="41">
        <v>0</v>
      </c>
      <c r="H88" s="41">
        <v>0</v>
      </c>
    </row>
    <row r="89" spans="1:8" x14ac:dyDescent="0.25">
      <c r="A89" s="40" t="s">
        <v>37</v>
      </c>
      <c r="B89" s="34">
        <v>610208</v>
      </c>
      <c r="C89" s="35">
        <v>41138</v>
      </c>
      <c r="D89" s="41">
        <v>477</v>
      </c>
      <c r="E89" s="41">
        <v>17</v>
      </c>
      <c r="F89" s="41">
        <v>5300</v>
      </c>
      <c r="G89" s="41">
        <v>4</v>
      </c>
      <c r="H89" s="41">
        <v>0</v>
      </c>
    </row>
    <row r="90" spans="1:8" x14ac:dyDescent="0.25">
      <c r="A90" s="40" t="s">
        <v>37</v>
      </c>
      <c r="B90" s="34">
        <v>610208</v>
      </c>
      <c r="C90" s="35">
        <v>41138</v>
      </c>
      <c r="D90" s="41">
        <v>478</v>
      </c>
      <c r="E90" s="41">
        <v>1</v>
      </c>
      <c r="F90" s="41">
        <v>195</v>
      </c>
      <c r="G90" s="41">
        <v>0</v>
      </c>
      <c r="H90" s="41">
        <v>0</v>
      </c>
    </row>
    <row r="91" spans="1:8" x14ac:dyDescent="0.25">
      <c r="A91" s="40" t="s">
        <v>37</v>
      </c>
      <c r="B91" s="34">
        <v>610208</v>
      </c>
      <c r="C91" s="35">
        <v>41138</v>
      </c>
      <c r="D91" s="41">
        <v>480</v>
      </c>
      <c r="E91" s="41">
        <v>3</v>
      </c>
      <c r="F91" s="41">
        <v>351</v>
      </c>
      <c r="G91" s="41">
        <v>0</v>
      </c>
      <c r="H91" s="41">
        <v>0</v>
      </c>
    </row>
    <row r="92" spans="1:8" x14ac:dyDescent="0.25">
      <c r="A92" s="40" t="s">
        <v>37</v>
      </c>
      <c r="B92" s="34">
        <v>610208</v>
      </c>
      <c r="C92" s="35">
        <v>41138</v>
      </c>
      <c r="D92" s="41">
        <v>481</v>
      </c>
      <c r="E92" s="41">
        <v>0</v>
      </c>
      <c r="F92" s="41">
        <v>0</v>
      </c>
      <c r="G92" s="41">
        <v>0</v>
      </c>
      <c r="H92" s="41">
        <v>0</v>
      </c>
    </row>
    <row r="93" spans="1:8" x14ac:dyDescent="0.25">
      <c r="A93" s="40" t="s">
        <v>37</v>
      </c>
      <c r="B93" s="34">
        <v>610208</v>
      </c>
      <c r="C93" s="35">
        <v>41138</v>
      </c>
      <c r="D93" s="41">
        <v>482</v>
      </c>
      <c r="E93" s="41">
        <v>8</v>
      </c>
      <c r="F93" s="41">
        <v>1731</v>
      </c>
      <c r="G93" s="41">
        <v>0</v>
      </c>
      <c r="H93" s="41">
        <v>0</v>
      </c>
    </row>
    <row r="94" spans="1:8" x14ac:dyDescent="0.25">
      <c r="A94" s="40" t="s">
        <v>37</v>
      </c>
      <c r="B94" s="34">
        <v>610208</v>
      </c>
      <c r="C94" s="35">
        <v>41138</v>
      </c>
      <c r="D94" s="41">
        <v>790</v>
      </c>
      <c r="E94" s="41">
        <v>0</v>
      </c>
      <c r="F94" s="41">
        <v>0</v>
      </c>
      <c r="G94" s="41">
        <v>0</v>
      </c>
      <c r="H94" s="41">
        <v>0</v>
      </c>
    </row>
    <row r="95" spans="1:8" x14ac:dyDescent="0.25">
      <c r="A95" s="40" t="s">
        <v>37</v>
      </c>
      <c r="B95" s="34">
        <v>610208</v>
      </c>
      <c r="C95" s="35">
        <v>41139</v>
      </c>
      <c r="D95" s="41">
        <v>465</v>
      </c>
      <c r="E95" s="41">
        <v>0</v>
      </c>
      <c r="F95" s="41">
        <v>0</v>
      </c>
      <c r="G95" s="41">
        <v>0</v>
      </c>
      <c r="H95" s="41">
        <v>0</v>
      </c>
    </row>
    <row r="96" spans="1:8" x14ac:dyDescent="0.25">
      <c r="A96" s="40" t="s">
        <v>37</v>
      </c>
      <c r="B96" s="34">
        <v>610208</v>
      </c>
      <c r="C96" s="35">
        <v>41139</v>
      </c>
      <c r="D96" s="41">
        <v>467</v>
      </c>
      <c r="E96" s="41">
        <v>0</v>
      </c>
      <c r="F96" s="41">
        <v>0</v>
      </c>
      <c r="G96" s="41">
        <v>0</v>
      </c>
      <c r="H96" s="41">
        <v>0</v>
      </c>
    </row>
    <row r="97" spans="1:8" x14ac:dyDescent="0.25">
      <c r="A97" s="40" t="s">
        <v>37</v>
      </c>
      <c r="B97" s="34">
        <v>610208</v>
      </c>
      <c r="C97" s="35">
        <v>41139</v>
      </c>
      <c r="D97" s="41">
        <v>478</v>
      </c>
      <c r="E97" s="41">
        <v>21</v>
      </c>
      <c r="F97" s="41">
        <v>6477</v>
      </c>
      <c r="G97" s="41">
        <v>4</v>
      </c>
      <c r="H97" s="41">
        <v>0</v>
      </c>
    </row>
    <row r="98" spans="1:8" x14ac:dyDescent="0.25">
      <c r="A98" s="40" t="s">
        <v>37</v>
      </c>
      <c r="B98" s="34">
        <v>610208</v>
      </c>
      <c r="C98" s="35">
        <v>41139</v>
      </c>
      <c r="D98" s="41">
        <v>480</v>
      </c>
      <c r="E98" s="41">
        <v>11</v>
      </c>
      <c r="F98" s="41">
        <v>2133</v>
      </c>
      <c r="G98" s="41">
        <v>0</v>
      </c>
      <c r="H98" s="41">
        <v>0</v>
      </c>
    </row>
    <row r="99" spans="1:8" x14ac:dyDescent="0.25">
      <c r="A99" s="40" t="s">
        <v>37</v>
      </c>
      <c r="B99" s="34">
        <v>610208</v>
      </c>
      <c r="C99" s="35">
        <v>41139</v>
      </c>
      <c r="D99" s="41">
        <v>481</v>
      </c>
      <c r="E99" s="41">
        <v>0</v>
      </c>
      <c r="F99" s="41">
        <v>0</v>
      </c>
      <c r="G99" s="41">
        <v>0</v>
      </c>
      <c r="H99" s="41">
        <v>0</v>
      </c>
    </row>
    <row r="100" spans="1:8" x14ac:dyDescent="0.25">
      <c r="A100" s="40" t="s">
        <v>37</v>
      </c>
      <c r="B100" s="34">
        <v>610208</v>
      </c>
      <c r="C100" s="35">
        <v>41139</v>
      </c>
      <c r="D100" s="41">
        <v>482</v>
      </c>
      <c r="E100" s="41">
        <v>36</v>
      </c>
      <c r="F100" s="41">
        <v>9626</v>
      </c>
      <c r="G100" s="41">
        <v>0</v>
      </c>
      <c r="H100" s="41">
        <v>0</v>
      </c>
    </row>
    <row r="101" spans="1:8" x14ac:dyDescent="0.25">
      <c r="A101" s="40" t="s">
        <v>37</v>
      </c>
      <c r="B101" s="34">
        <v>610208</v>
      </c>
      <c r="C101" s="35">
        <v>41139</v>
      </c>
      <c r="D101" s="41">
        <v>790</v>
      </c>
      <c r="E101" s="41">
        <v>0</v>
      </c>
      <c r="F101" s="41">
        <v>0</v>
      </c>
      <c r="G101" s="41">
        <v>0</v>
      </c>
      <c r="H101" s="41">
        <v>0</v>
      </c>
    </row>
    <row r="102" spans="1:8" x14ac:dyDescent="0.25">
      <c r="A102" s="40" t="s">
        <v>37</v>
      </c>
      <c r="B102" s="34">
        <v>610208</v>
      </c>
      <c r="C102" s="35">
        <v>41141</v>
      </c>
      <c r="D102" s="41">
        <v>85</v>
      </c>
      <c r="E102" s="41">
        <v>0</v>
      </c>
      <c r="F102" s="41">
        <v>0</v>
      </c>
      <c r="G102" s="41">
        <v>0</v>
      </c>
      <c r="H102" s="41">
        <v>0</v>
      </c>
    </row>
    <row r="103" spans="1:8" x14ac:dyDescent="0.25">
      <c r="A103" s="40" t="s">
        <v>37</v>
      </c>
      <c r="B103" s="34">
        <v>610208</v>
      </c>
      <c r="C103" s="35">
        <v>41141</v>
      </c>
      <c r="D103" s="41">
        <v>465</v>
      </c>
      <c r="E103" s="41">
        <v>0</v>
      </c>
      <c r="F103" s="41">
        <v>0</v>
      </c>
      <c r="G103" s="41">
        <v>0</v>
      </c>
      <c r="H103" s="41">
        <v>0</v>
      </c>
    </row>
    <row r="104" spans="1:8" x14ac:dyDescent="0.25">
      <c r="A104" s="40" t="s">
        <v>37</v>
      </c>
      <c r="B104" s="34">
        <v>610208</v>
      </c>
      <c r="C104" s="35">
        <v>41141</v>
      </c>
      <c r="D104" s="41">
        <v>466</v>
      </c>
      <c r="E104" s="41">
        <v>43</v>
      </c>
      <c r="F104" s="41">
        <v>11590</v>
      </c>
      <c r="G104" s="41">
        <v>0</v>
      </c>
      <c r="H104" s="41">
        <v>0</v>
      </c>
    </row>
    <row r="105" spans="1:8" x14ac:dyDescent="0.25">
      <c r="A105" s="40" t="s">
        <v>37</v>
      </c>
      <c r="B105" s="34">
        <v>610208</v>
      </c>
      <c r="C105" s="35">
        <v>41141</v>
      </c>
      <c r="D105" s="41">
        <v>467</v>
      </c>
      <c r="E105" s="41">
        <v>0</v>
      </c>
      <c r="F105" s="41">
        <v>0</v>
      </c>
      <c r="G105" s="41">
        <v>0</v>
      </c>
      <c r="H105" s="41">
        <v>0</v>
      </c>
    </row>
    <row r="106" spans="1:8" x14ac:dyDescent="0.25">
      <c r="A106" s="40" t="s">
        <v>37</v>
      </c>
      <c r="B106" s="34">
        <v>610208</v>
      </c>
      <c r="C106" s="35">
        <v>41141</v>
      </c>
      <c r="D106" s="41">
        <v>477</v>
      </c>
      <c r="E106" s="41">
        <v>19</v>
      </c>
      <c r="F106" s="41">
        <v>4823</v>
      </c>
      <c r="G106" s="41">
        <v>1</v>
      </c>
      <c r="H106" s="41">
        <v>0</v>
      </c>
    </row>
    <row r="107" spans="1:8" x14ac:dyDescent="0.25">
      <c r="A107" s="40" t="s">
        <v>37</v>
      </c>
      <c r="B107" s="34">
        <v>610208</v>
      </c>
      <c r="C107" s="35">
        <v>41141</v>
      </c>
      <c r="D107" s="41">
        <v>478</v>
      </c>
      <c r="E107" s="41">
        <v>3</v>
      </c>
      <c r="F107" s="41">
        <v>668</v>
      </c>
      <c r="G107" s="41">
        <v>0</v>
      </c>
      <c r="H107" s="41">
        <v>0</v>
      </c>
    </row>
    <row r="108" spans="1:8" x14ac:dyDescent="0.25">
      <c r="A108" s="40" t="s">
        <v>37</v>
      </c>
      <c r="B108" s="34">
        <v>610208</v>
      </c>
      <c r="C108" s="35">
        <v>41141</v>
      </c>
      <c r="D108" s="41">
        <v>480</v>
      </c>
      <c r="E108" s="41">
        <v>3</v>
      </c>
      <c r="F108" s="41">
        <v>455</v>
      </c>
      <c r="G108" s="41">
        <v>0</v>
      </c>
      <c r="H108" s="41">
        <v>0</v>
      </c>
    </row>
    <row r="109" spans="1:8" x14ac:dyDescent="0.25">
      <c r="A109" s="40" t="s">
        <v>37</v>
      </c>
      <c r="B109" s="34">
        <v>610208</v>
      </c>
      <c r="C109" s="35">
        <v>41141</v>
      </c>
      <c r="D109" s="41">
        <v>481</v>
      </c>
      <c r="E109" s="41">
        <v>0</v>
      </c>
      <c r="F109" s="41">
        <v>0</v>
      </c>
      <c r="G109" s="41">
        <v>0</v>
      </c>
      <c r="H109" s="41">
        <v>0</v>
      </c>
    </row>
    <row r="110" spans="1:8" x14ac:dyDescent="0.25">
      <c r="A110" s="40" t="s">
        <v>37</v>
      </c>
      <c r="B110" s="34">
        <v>610208</v>
      </c>
      <c r="C110" s="35">
        <v>41141</v>
      </c>
      <c r="D110" s="41">
        <v>482</v>
      </c>
      <c r="E110" s="41">
        <v>10</v>
      </c>
      <c r="F110" s="41">
        <v>3160</v>
      </c>
      <c r="G110" s="41">
        <v>0</v>
      </c>
      <c r="H110" s="41">
        <v>0</v>
      </c>
    </row>
    <row r="111" spans="1:8" x14ac:dyDescent="0.25">
      <c r="A111" s="40" t="s">
        <v>37</v>
      </c>
      <c r="B111" s="34">
        <v>610208</v>
      </c>
      <c r="C111" s="35">
        <v>41141</v>
      </c>
      <c r="D111" s="41">
        <v>790</v>
      </c>
      <c r="E111" s="41">
        <v>0</v>
      </c>
      <c r="F111" s="41">
        <v>0</v>
      </c>
      <c r="G111" s="41">
        <v>0</v>
      </c>
      <c r="H111" s="41">
        <v>0</v>
      </c>
    </row>
    <row r="112" spans="1:8" x14ac:dyDescent="0.25">
      <c r="A112" s="40" t="s">
        <v>37</v>
      </c>
      <c r="B112" s="34">
        <v>610208</v>
      </c>
      <c r="C112" s="35">
        <v>41142</v>
      </c>
      <c r="D112" s="41">
        <v>85</v>
      </c>
      <c r="E112" s="41">
        <v>0</v>
      </c>
      <c r="F112" s="41">
        <v>0</v>
      </c>
      <c r="G112" s="41">
        <v>0</v>
      </c>
      <c r="H112" s="41">
        <v>0</v>
      </c>
    </row>
    <row r="113" spans="1:8" x14ac:dyDescent="0.25">
      <c r="A113" s="40" t="s">
        <v>37</v>
      </c>
      <c r="B113" s="34">
        <v>610208</v>
      </c>
      <c r="C113" s="35">
        <v>41142</v>
      </c>
      <c r="D113" s="41">
        <v>465</v>
      </c>
      <c r="E113" s="41">
        <v>0</v>
      </c>
      <c r="F113" s="41">
        <v>0</v>
      </c>
      <c r="G113" s="41">
        <v>0</v>
      </c>
      <c r="H113" s="41">
        <v>0</v>
      </c>
    </row>
    <row r="114" spans="1:8" x14ac:dyDescent="0.25">
      <c r="A114" s="40" t="s">
        <v>37</v>
      </c>
      <c r="B114" s="34">
        <v>610208</v>
      </c>
      <c r="C114" s="35">
        <v>41142</v>
      </c>
      <c r="D114" s="41">
        <v>466</v>
      </c>
      <c r="E114" s="41">
        <v>37</v>
      </c>
      <c r="F114" s="41">
        <v>9252</v>
      </c>
      <c r="G114" s="41">
        <v>23</v>
      </c>
      <c r="H114" s="41">
        <v>0</v>
      </c>
    </row>
    <row r="115" spans="1:8" x14ac:dyDescent="0.25">
      <c r="A115" s="40" t="s">
        <v>37</v>
      </c>
      <c r="B115" s="34">
        <v>610208</v>
      </c>
      <c r="C115" s="35">
        <v>41142</v>
      </c>
      <c r="D115" s="41">
        <v>467</v>
      </c>
      <c r="E115" s="41">
        <v>0</v>
      </c>
      <c r="F115" s="41">
        <v>0</v>
      </c>
      <c r="G115" s="41">
        <v>0</v>
      </c>
      <c r="H115" s="41">
        <v>0</v>
      </c>
    </row>
    <row r="116" spans="1:8" x14ac:dyDescent="0.25">
      <c r="A116" s="40" t="s">
        <v>37</v>
      </c>
      <c r="B116" s="34">
        <v>610208</v>
      </c>
      <c r="C116" s="35">
        <v>41142</v>
      </c>
      <c r="D116" s="41">
        <v>477</v>
      </c>
      <c r="E116" s="41">
        <v>16</v>
      </c>
      <c r="F116" s="41">
        <v>7219</v>
      </c>
      <c r="G116" s="41">
        <v>3</v>
      </c>
      <c r="H116" s="41">
        <v>0</v>
      </c>
    </row>
    <row r="117" spans="1:8" x14ac:dyDescent="0.25">
      <c r="A117" s="40" t="s">
        <v>37</v>
      </c>
      <c r="B117" s="34">
        <v>610208</v>
      </c>
      <c r="C117" s="35">
        <v>41142</v>
      </c>
      <c r="D117" s="41">
        <v>478</v>
      </c>
      <c r="E117" s="41">
        <v>2</v>
      </c>
      <c r="F117" s="41">
        <v>619</v>
      </c>
      <c r="G117" s="41">
        <v>0</v>
      </c>
      <c r="H117" s="41">
        <v>0</v>
      </c>
    </row>
    <row r="118" spans="1:8" x14ac:dyDescent="0.25">
      <c r="A118" s="40" t="s">
        <v>37</v>
      </c>
      <c r="B118" s="34">
        <v>610208</v>
      </c>
      <c r="C118" s="35">
        <v>41142</v>
      </c>
      <c r="D118" s="41">
        <v>480</v>
      </c>
      <c r="E118" s="41">
        <v>4</v>
      </c>
      <c r="F118" s="41">
        <v>1129</v>
      </c>
      <c r="G118" s="41">
        <v>0</v>
      </c>
      <c r="H118" s="41">
        <v>0</v>
      </c>
    </row>
    <row r="119" spans="1:8" x14ac:dyDescent="0.25">
      <c r="A119" s="40" t="s">
        <v>37</v>
      </c>
      <c r="B119" s="34">
        <v>610208</v>
      </c>
      <c r="C119" s="35">
        <v>41142</v>
      </c>
      <c r="D119" s="41">
        <v>481</v>
      </c>
      <c r="E119" s="41">
        <v>0</v>
      </c>
      <c r="F119" s="41">
        <v>0</v>
      </c>
      <c r="G119" s="41">
        <v>0</v>
      </c>
      <c r="H119" s="41">
        <v>0</v>
      </c>
    </row>
    <row r="120" spans="1:8" x14ac:dyDescent="0.25">
      <c r="A120" s="40" t="s">
        <v>37</v>
      </c>
      <c r="B120" s="34">
        <v>610208</v>
      </c>
      <c r="C120" s="35">
        <v>41142</v>
      </c>
      <c r="D120" s="41">
        <v>482</v>
      </c>
      <c r="E120" s="41">
        <v>8</v>
      </c>
      <c r="F120" s="41">
        <v>2171</v>
      </c>
      <c r="G120" s="41">
        <v>0</v>
      </c>
      <c r="H120" s="41">
        <v>0</v>
      </c>
    </row>
    <row r="121" spans="1:8" x14ac:dyDescent="0.25">
      <c r="A121" s="40" t="s">
        <v>37</v>
      </c>
      <c r="B121" s="34">
        <v>610208</v>
      </c>
      <c r="C121" s="35">
        <v>41142</v>
      </c>
      <c r="D121" s="41">
        <v>790</v>
      </c>
      <c r="E121" s="41">
        <v>0</v>
      </c>
      <c r="F121" s="41">
        <v>0</v>
      </c>
      <c r="G121" s="41">
        <v>0</v>
      </c>
      <c r="H121" s="41">
        <v>0</v>
      </c>
    </row>
    <row r="122" spans="1:8" x14ac:dyDescent="0.25">
      <c r="A122" s="40" t="s">
        <v>37</v>
      </c>
      <c r="B122" s="34">
        <v>610208</v>
      </c>
      <c r="C122" s="35">
        <v>41143</v>
      </c>
      <c r="D122" s="41">
        <v>85</v>
      </c>
      <c r="E122" s="41">
        <v>0</v>
      </c>
      <c r="F122" s="41">
        <v>0</v>
      </c>
      <c r="G122" s="41">
        <v>0</v>
      </c>
      <c r="H122" s="41">
        <v>0</v>
      </c>
    </row>
    <row r="123" spans="1:8" x14ac:dyDescent="0.25">
      <c r="A123" s="40" t="s">
        <v>37</v>
      </c>
      <c r="B123" s="34">
        <v>610208</v>
      </c>
      <c r="C123" s="35">
        <v>41143</v>
      </c>
      <c r="D123" s="41">
        <v>465</v>
      </c>
      <c r="E123" s="41">
        <v>0</v>
      </c>
      <c r="F123" s="41">
        <v>0</v>
      </c>
      <c r="G123" s="41">
        <v>0</v>
      </c>
      <c r="H123" s="41">
        <v>0</v>
      </c>
    </row>
    <row r="124" spans="1:8" x14ac:dyDescent="0.25">
      <c r="A124" s="40" t="s">
        <v>37</v>
      </c>
      <c r="B124" s="34">
        <v>610208</v>
      </c>
      <c r="C124" s="35">
        <v>41143</v>
      </c>
      <c r="D124" s="41">
        <v>466</v>
      </c>
      <c r="E124" s="41">
        <v>30</v>
      </c>
      <c r="F124" s="41">
        <v>8708</v>
      </c>
      <c r="G124" s="41">
        <v>2</v>
      </c>
      <c r="H124" s="41">
        <v>0</v>
      </c>
    </row>
    <row r="125" spans="1:8" x14ac:dyDescent="0.25">
      <c r="A125" s="40" t="s">
        <v>37</v>
      </c>
      <c r="B125" s="34">
        <v>610208</v>
      </c>
      <c r="C125" s="35">
        <v>41143</v>
      </c>
      <c r="D125" s="41">
        <v>477</v>
      </c>
      <c r="E125" s="41">
        <v>24</v>
      </c>
      <c r="F125" s="41">
        <v>6255</v>
      </c>
      <c r="G125" s="41">
        <v>8</v>
      </c>
      <c r="H125" s="41">
        <v>0</v>
      </c>
    </row>
    <row r="126" spans="1:8" x14ac:dyDescent="0.25">
      <c r="A126" s="40" t="s">
        <v>37</v>
      </c>
      <c r="B126" s="34">
        <v>610208</v>
      </c>
      <c r="C126" s="35">
        <v>41143</v>
      </c>
      <c r="D126" s="41">
        <v>478</v>
      </c>
      <c r="E126" s="41">
        <v>3</v>
      </c>
      <c r="F126" s="41">
        <v>627</v>
      </c>
      <c r="G126" s="41">
        <v>0</v>
      </c>
      <c r="H126" s="41">
        <v>0</v>
      </c>
    </row>
    <row r="127" spans="1:8" x14ac:dyDescent="0.25">
      <c r="A127" s="40" t="s">
        <v>37</v>
      </c>
      <c r="B127" s="34">
        <v>610208</v>
      </c>
      <c r="C127" s="35">
        <v>41143</v>
      </c>
      <c r="D127" s="41">
        <v>480</v>
      </c>
      <c r="E127" s="41">
        <v>4</v>
      </c>
      <c r="F127" s="41">
        <v>958</v>
      </c>
      <c r="G127" s="41">
        <v>0</v>
      </c>
      <c r="H127" s="41">
        <v>0</v>
      </c>
    </row>
    <row r="128" spans="1:8" x14ac:dyDescent="0.25">
      <c r="A128" s="40" t="s">
        <v>37</v>
      </c>
      <c r="B128" s="34">
        <v>610208</v>
      </c>
      <c r="C128" s="35">
        <v>41143</v>
      </c>
      <c r="D128" s="41">
        <v>481</v>
      </c>
      <c r="E128" s="41">
        <v>2</v>
      </c>
      <c r="F128" s="41">
        <v>825</v>
      </c>
      <c r="G128" s="41">
        <v>0</v>
      </c>
      <c r="H128" s="41">
        <v>0</v>
      </c>
    </row>
    <row r="129" spans="1:8" x14ac:dyDescent="0.25">
      <c r="A129" s="40" t="s">
        <v>37</v>
      </c>
      <c r="B129" s="34">
        <v>610208</v>
      </c>
      <c r="C129" s="35">
        <v>41143</v>
      </c>
      <c r="D129" s="41">
        <v>482</v>
      </c>
      <c r="E129" s="41">
        <v>6</v>
      </c>
      <c r="F129" s="41">
        <v>1447</v>
      </c>
      <c r="G129" s="41">
        <v>0</v>
      </c>
      <c r="H129" s="41">
        <v>0</v>
      </c>
    </row>
    <row r="130" spans="1:8" x14ac:dyDescent="0.25">
      <c r="A130" s="40" t="s">
        <v>37</v>
      </c>
      <c r="B130" s="34">
        <v>610208</v>
      </c>
      <c r="C130" s="35">
        <v>41143</v>
      </c>
      <c r="D130" s="41">
        <v>790</v>
      </c>
      <c r="E130" s="41">
        <v>0</v>
      </c>
      <c r="F130" s="41">
        <v>0</v>
      </c>
      <c r="G130" s="41">
        <v>0</v>
      </c>
      <c r="H130" s="41">
        <v>0</v>
      </c>
    </row>
    <row r="131" spans="1:8" x14ac:dyDescent="0.25">
      <c r="A131" s="40" t="s">
        <v>37</v>
      </c>
      <c r="B131" s="34">
        <v>610208</v>
      </c>
      <c r="C131" s="35">
        <v>41144</v>
      </c>
      <c r="D131" s="41">
        <v>85</v>
      </c>
      <c r="E131" s="41">
        <v>0</v>
      </c>
      <c r="F131" s="41">
        <v>0</v>
      </c>
      <c r="G131" s="41">
        <v>0</v>
      </c>
      <c r="H131" s="41">
        <v>0</v>
      </c>
    </row>
    <row r="132" spans="1:8" x14ac:dyDescent="0.25">
      <c r="A132" s="40" t="s">
        <v>37</v>
      </c>
      <c r="B132" s="34">
        <v>610208</v>
      </c>
      <c r="C132" s="35">
        <v>41144</v>
      </c>
      <c r="D132" s="41">
        <v>465</v>
      </c>
      <c r="E132" s="41">
        <v>0</v>
      </c>
      <c r="F132" s="41">
        <v>0</v>
      </c>
      <c r="G132" s="41">
        <v>0</v>
      </c>
      <c r="H132" s="41">
        <v>0</v>
      </c>
    </row>
    <row r="133" spans="1:8" x14ac:dyDescent="0.25">
      <c r="A133" s="40" t="s">
        <v>37</v>
      </c>
      <c r="B133" s="34">
        <v>610208</v>
      </c>
      <c r="C133" s="35">
        <v>41144</v>
      </c>
      <c r="D133" s="41">
        <v>466</v>
      </c>
      <c r="E133" s="41">
        <v>24</v>
      </c>
      <c r="F133" s="41">
        <v>6133</v>
      </c>
      <c r="G133" s="41">
        <v>7</v>
      </c>
      <c r="H133" s="41">
        <v>0</v>
      </c>
    </row>
    <row r="134" spans="1:8" x14ac:dyDescent="0.25">
      <c r="A134" s="40" t="s">
        <v>37</v>
      </c>
      <c r="B134" s="34">
        <v>610208</v>
      </c>
      <c r="C134" s="35">
        <v>41144</v>
      </c>
      <c r="D134" s="41">
        <v>467</v>
      </c>
      <c r="E134" s="41">
        <v>0</v>
      </c>
      <c r="F134" s="41">
        <v>0</v>
      </c>
      <c r="G134" s="41">
        <v>0</v>
      </c>
      <c r="H134" s="41">
        <v>0</v>
      </c>
    </row>
    <row r="135" spans="1:8" x14ac:dyDescent="0.25">
      <c r="A135" s="40" t="s">
        <v>37</v>
      </c>
      <c r="B135" s="34">
        <v>610208</v>
      </c>
      <c r="C135" s="35">
        <v>41144</v>
      </c>
      <c r="D135" s="41">
        <v>477</v>
      </c>
      <c r="E135" s="41">
        <v>30</v>
      </c>
      <c r="F135" s="41">
        <v>7860</v>
      </c>
      <c r="G135" s="41">
        <v>0</v>
      </c>
      <c r="H135" s="41">
        <v>0</v>
      </c>
    </row>
    <row r="136" spans="1:8" x14ac:dyDescent="0.25">
      <c r="A136" s="40" t="s">
        <v>37</v>
      </c>
      <c r="B136" s="34">
        <v>610208</v>
      </c>
      <c r="C136" s="35">
        <v>41144</v>
      </c>
      <c r="D136" s="41">
        <v>478</v>
      </c>
      <c r="E136" s="41">
        <v>4</v>
      </c>
      <c r="F136" s="41">
        <v>791</v>
      </c>
      <c r="G136" s="41">
        <v>1</v>
      </c>
      <c r="H136" s="41">
        <v>0</v>
      </c>
    </row>
    <row r="137" spans="1:8" x14ac:dyDescent="0.25">
      <c r="A137" s="40" t="s">
        <v>37</v>
      </c>
      <c r="B137" s="34">
        <v>610208</v>
      </c>
      <c r="C137" s="35">
        <v>41144</v>
      </c>
      <c r="D137" s="41">
        <v>480</v>
      </c>
      <c r="E137" s="41">
        <v>4</v>
      </c>
      <c r="F137" s="41">
        <v>1397</v>
      </c>
      <c r="G137" s="41">
        <v>0</v>
      </c>
      <c r="H137" s="41">
        <v>0</v>
      </c>
    </row>
    <row r="138" spans="1:8" x14ac:dyDescent="0.25">
      <c r="A138" s="40" t="s">
        <v>37</v>
      </c>
      <c r="B138" s="34">
        <v>610208</v>
      </c>
      <c r="C138" s="35">
        <v>41144</v>
      </c>
      <c r="D138" s="41">
        <v>481</v>
      </c>
      <c r="E138" s="41">
        <v>0</v>
      </c>
      <c r="F138" s="41">
        <v>0</v>
      </c>
      <c r="G138" s="41">
        <v>0</v>
      </c>
      <c r="H138" s="41">
        <v>0</v>
      </c>
    </row>
    <row r="139" spans="1:8" x14ac:dyDescent="0.25">
      <c r="A139" s="40" t="s">
        <v>37</v>
      </c>
      <c r="B139" s="34">
        <v>610208</v>
      </c>
      <c r="C139" s="35">
        <v>41144</v>
      </c>
      <c r="D139" s="41">
        <v>482</v>
      </c>
      <c r="E139" s="41">
        <v>14</v>
      </c>
      <c r="F139" s="41">
        <v>3804</v>
      </c>
      <c r="G139" s="41">
        <v>0</v>
      </c>
      <c r="H139" s="41">
        <v>0</v>
      </c>
    </row>
    <row r="140" spans="1:8" x14ac:dyDescent="0.25">
      <c r="A140" s="40" t="s">
        <v>37</v>
      </c>
      <c r="B140" s="34">
        <v>610208</v>
      </c>
      <c r="C140" s="35">
        <v>41144</v>
      </c>
      <c r="D140" s="41">
        <v>790</v>
      </c>
      <c r="E140" s="41">
        <v>0</v>
      </c>
      <c r="F140" s="41">
        <v>0</v>
      </c>
      <c r="G140" s="41">
        <v>0</v>
      </c>
      <c r="H140" s="41">
        <v>0</v>
      </c>
    </row>
    <row r="141" spans="1:8" x14ac:dyDescent="0.25">
      <c r="A141" s="40" t="s">
        <v>37</v>
      </c>
      <c r="B141" s="34">
        <v>610208</v>
      </c>
      <c r="C141" s="35">
        <v>41145</v>
      </c>
      <c r="D141" s="41">
        <v>85</v>
      </c>
      <c r="E141" s="41">
        <v>0</v>
      </c>
      <c r="F141" s="41">
        <v>0</v>
      </c>
      <c r="G141" s="41">
        <v>0</v>
      </c>
      <c r="H141" s="41">
        <v>0</v>
      </c>
    </row>
    <row r="142" spans="1:8" x14ac:dyDescent="0.25">
      <c r="A142" s="40" t="s">
        <v>37</v>
      </c>
      <c r="B142" s="34">
        <v>610208</v>
      </c>
      <c r="C142" s="35">
        <v>41145</v>
      </c>
      <c r="D142" s="41">
        <v>465</v>
      </c>
      <c r="E142" s="41">
        <v>0</v>
      </c>
      <c r="F142" s="41">
        <v>0</v>
      </c>
      <c r="G142" s="41">
        <v>0</v>
      </c>
      <c r="H142" s="41">
        <v>0</v>
      </c>
    </row>
    <row r="143" spans="1:8" x14ac:dyDescent="0.25">
      <c r="A143" s="40" t="s">
        <v>37</v>
      </c>
      <c r="B143" s="34">
        <v>610208</v>
      </c>
      <c r="C143" s="35">
        <v>41145</v>
      </c>
      <c r="D143" s="41">
        <v>466</v>
      </c>
      <c r="E143" s="41">
        <v>23</v>
      </c>
      <c r="F143" s="41">
        <v>5673</v>
      </c>
      <c r="G143" s="41">
        <v>0</v>
      </c>
      <c r="H143" s="41">
        <v>0</v>
      </c>
    </row>
    <row r="144" spans="1:8" x14ac:dyDescent="0.25">
      <c r="A144" s="40" t="s">
        <v>37</v>
      </c>
      <c r="B144" s="34">
        <v>610208</v>
      </c>
      <c r="C144" s="35">
        <v>41145</v>
      </c>
      <c r="D144" s="41">
        <v>467</v>
      </c>
      <c r="E144" s="41">
        <v>0</v>
      </c>
      <c r="F144" s="41">
        <v>0</v>
      </c>
      <c r="G144" s="41">
        <v>0</v>
      </c>
      <c r="H144" s="41">
        <v>0</v>
      </c>
    </row>
    <row r="145" spans="1:8" x14ac:dyDescent="0.25">
      <c r="A145" s="40" t="s">
        <v>37</v>
      </c>
      <c r="B145" s="34">
        <v>610208</v>
      </c>
      <c r="C145" s="35">
        <v>41145</v>
      </c>
      <c r="D145" s="41">
        <v>477</v>
      </c>
      <c r="E145" s="41">
        <v>24</v>
      </c>
      <c r="F145" s="41">
        <v>7022</v>
      </c>
      <c r="G145" s="41">
        <v>1</v>
      </c>
      <c r="H145" s="41">
        <v>0</v>
      </c>
    </row>
    <row r="146" spans="1:8" x14ac:dyDescent="0.25">
      <c r="A146" s="40" t="s">
        <v>37</v>
      </c>
      <c r="B146" s="34">
        <v>610208</v>
      </c>
      <c r="C146" s="35">
        <v>41145</v>
      </c>
      <c r="D146" s="41">
        <v>478</v>
      </c>
      <c r="E146" s="41">
        <v>1</v>
      </c>
      <c r="F146" s="41">
        <v>187</v>
      </c>
      <c r="G146" s="41">
        <v>0</v>
      </c>
      <c r="H146" s="41">
        <v>0</v>
      </c>
    </row>
    <row r="147" spans="1:8" x14ac:dyDescent="0.25">
      <c r="A147" s="40" t="s">
        <v>37</v>
      </c>
      <c r="B147" s="34">
        <v>610208</v>
      </c>
      <c r="C147" s="35">
        <v>41145</v>
      </c>
      <c r="D147" s="41">
        <v>480</v>
      </c>
      <c r="E147" s="41">
        <v>4</v>
      </c>
      <c r="F147" s="41">
        <v>1046</v>
      </c>
      <c r="G147" s="41">
        <v>0</v>
      </c>
      <c r="H147" s="41">
        <v>0</v>
      </c>
    </row>
    <row r="148" spans="1:8" x14ac:dyDescent="0.25">
      <c r="A148" s="40" t="s">
        <v>37</v>
      </c>
      <c r="B148" s="34">
        <v>610208</v>
      </c>
      <c r="C148" s="35">
        <v>41145</v>
      </c>
      <c r="D148" s="41">
        <v>481</v>
      </c>
      <c r="E148" s="41">
        <v>0</v>
      </c>
      <c r="F148" s="41">
        <v>0</v>
      </c>
      <c r="G148" s="41">
        <v>0</v>
      </c>
      <c r="H148" s="41">
        <v>0</v>
      </c>
    </row>
    <row r="149" spans="1:8" x14ac:dyDescent="0.25">
      <c r="A149" s="40" t="s">
        <v>37</v>
      </c>
      <c r="B149" s="34">
        <v>610208</v>
      </c>
      <c r="C149" s="35">
        <v>41145</v>
      </c>
      <c r="D149" s="41">
        <v>482</v>
      </c>
      <c r="E149" s="41">
        <v>11</v>
      </c>
      <c r="F149" s="41">
        <v>3696</v>
      </c>
      <c r="G149" s="41">
        <v>0</v>
      </c>
      <c r="H149" s="41">
        <v>0</v>
      </c>
    </row>
    <row r="150" spans="1:8" x14ac:dyDescent="0.25">
      <c r="A150" s="40" t="s">
        <v>37</v>
      </c>
      <c r="B150" s="34">
        <v>610208</v>
      </c>
      <c r="C150" s="35">
        <v>41145</v>
      </c>
      <c r="D150" s="41">
        <v>790</v>
      </c>
      <c r="E150" s="41">
        <v>0</v>
      </c>
      <c r="F150" s="41">
        <v>0</v>
      </c>
      <c r="G150" s="41">
        <v>0</v>
      </c>
      <c r="H150" s="41">
        <v>0</v>
      </c>
    </row>
    <row r="151" spans="1:8" x14ac:dyDescent="0.25">
      <c r="A151" s="40" t="s">
        <v>37</v>
      </c>
      <c r="B151" s="34">
        <v>610208</v>
      </c>
      <c r="C151" s="35">
        <v>41146</v>
      </c>
      <c r="D151" s="41">
        <v>473</v>
      </c>
      <c r="E151" s="41">
        <v>26</v>
      </c>
      <c r="F151" s="41">
        <v>6899</v>
      </c>
      <c r="G151" s="41">
        <v>0</v>
      </c>
      <c r="H151" s="41">
        <v>0</v>
      </c>
    </row>
    <row r="152" spans="1:8" x14ac:dyDescent="0.25">
      <c r="A152" s="40" t="s">
        <v>37</v>
      </c>
      <c r="B152" s="34">
        <v>610208</v>
      </c>
      <c r="C152" s="35">
        <v>41146</v>
      </c>
      <c r="D152" s="41">
        <v>474</v>
      </c>
      <c r="E152" s="41">
        <v>15</v>
      </c>
      <c r="F152" s="41">
        <v>3858</v>
      </c>
      <c r="G152" s="41">
        <v>0</v>
      </c>
      <c r="H152" s="41">
        <v>0</v>
      </c>
    </row>
    <row r="153" spans="1:8" x14ac:dyDescent="0.25">
      <c r="A153" s="40" t="s">
        <v>37</v>
      </c>
      <c r="B153" s="34">
        <v>610208</v>
      </c>
      <c r="C153" s="35">
        <v>41146</v>
      </c>
      <c r="D153" s="41">
        <v>475</v>
      </c>
      <c r="E153" s="41">
        <v>1</v>
      </c>
      <c r="F153" s="41">
        <v>148</v>
      </c>
      <c r="G153" s="41">
        <v>0</v>
      </c>
      <c r="H153" s="41">
        <v>0</v>
      </c>
    </row>
    <row r="154" spans="1:8" x14ac:dyDescent="0.25">
      <c r="A154" s="40" t="s">
        <v>37</v>
      </c>
      <c r="B154" s="34">
        <v>610208</v>
      </c>
      <c r="C154" s="35">
        <v>41146</v>
      </c>
      <c r="D154" s="41">
        <v>476</v>
      </c>
      <c r="E154" s="41">
        <v>38</v>
      </c>
      <c r="F154" s="41">
        <v>9230</v>
      </c>
      <c r="G154" s="41">
        <v>0</v>
      </c>
      <c r="H154" s="41">
        <v>0</v>
      </c>
    </row>
    <row r="155" spans="1:8" x14ac:dyDescent="0.25">
      <c r="A155" s="40" t="s">
        <v>37</v>
      </c>
      <c r="B155" s="34">
        <v>610208</v>
      </c>
      <c r="C155" s="35">
        <v>41146</v>
      </c>
      <c r="D155" s="41">
        <v>484</v>
      </c>
      <c r="E155" s="41">
        <v>0</v>
      </c>
      <c r="F155" s="41">
        <v>0</v>
      </c>
      <c r="G155" s="41">
        <v>0</v>
      </c>
      <c r="H155" s="41">
        <v>0</v>
      </c>
    </row>
    <row r="156" spans="1:8" x14ac:dyDescent="0.25">
      <c r="A156" s="40" t="s">
        <v>37</v>
      </c>
      <c r="B156" s="34">
        <v>610208</v>
      </c>
      <c r="C156" s="35">
        <v>41146</v>
      </c>
      <c r="D156" s="41">
        <v>791</v>
      </c>
      <c r="E156" s="41">
        <v>0</v>
      </c>
      <c r="F156" s="41">
        <v>0</v>
      </c>
      <c r="G156" s="41">
        <v>0</v>
      </c>
      <c r="H156" s="41">
        <v>0</v>
      </c>
    </row>
    <row r="157" spans="1:8" x14ac:dyDescent="0.25">
      <c r="A157" s="40" t="s">
        <v>37</v>
      </c>
      <c r="B157" s="34">
        <v>610208</v>
      </c>
      <c r="C157" s="35">
        <v>41148</v>
      </c>
      <c r="D157" s="41">
        <v>85</v>
      </c>
      <c r="E157" s="41">
        <v>0</v>
      </c>
      <c r="F157" s="41">
        <v>0</v>
      </c>
      <c r="G157" s="41">
        <v>0</v>
      </c>
      <c r="H157" s="41">
        <v>0</v>
      </c>
    </row>
    <row r="158" spans="1:8" x14ac:dyDescent="0.25">
      <c r="A158" s="40" t="s">
        <v>37</v>
      </c>
      <c r="B158" s="34">
        <v>610208</v>
      </c>
      <c r="C158" s="35">
        <v>41148</v>
      </c>
      <c r="D158" s="41">
        <v>465</v>
      </c>
      <c r="E158" s="41">
        <v>1</v>
      </c>
      <c r="F158" s="41">
        <v>341</v>
      </c>
      <c r="G158" s="41">
        <v>0</v>
      </c>
      <c r="H158" s="41">
        <v>0</v>
      </c>
    </row>
    <row r="159" spans="1:8" x14ac:dyDescent="0.25">
      <c r="A159" s="40" t="s">
        <v>37</v>
      </c>
      <c r="B159" s="34">
        <v>610208</v>
      </c>
      <c r="C159" s="35">
        <v>41148</v>
      </c>
      <c r="D159" s="41">
        <v>466</v>
      </c>
      <c r="E159" s="41">
        <v>5</v>
      </c>
      <c r="F159" s="41">
        <v>1325</v>
      </c>
      <c r="G159" s="41">
        <v>0</v>
      </c>
      <c r="H159" s="41">
        <v>0</v>
      </c>
    </row>
    <row r="160" spans="1:8" x14ac:dyDescent="0.25">
      <c r="A160" s="40" t="s">
        <v>37</v>
      </c>
      <c r="B160" s="34">
        <v>610208</v>
      </c>
      <c r="C160" s="35">
        <v>41148</v>
      </c>
      <c r="D160" s="41">
        <v>467</v>
      </c>
      <c r="E160" s="41">
        <v>0</v>
      </c>
      <c r="F160" s="41">
        <v>0</v>
      </c>
      <c r="G160" s="41">
        <v>0</v>
      </c>
      <c r="H160" s="41">
        <v>0</v>
      </c>
    </row>
    <row r="161" spans="1:8" x14ac:dyDescent="0.25">
      <c r="A161" s="40" t="s">
        <v>37</v>
      </c>
      <c r="B161" s="34">
        <v>610208</v>
      </c>
      <c r="C161" s="35">
        <v>41148</v>
      </c>
      <c r="D161" s="41">
        <v>477</v>
      </c>
      <c r="E161" s="41">
        <v>2</v>
      </c>
      <c r="F161" s="41">
        <v>412</v>
      </c>
      <c r="G161" s="41">
        <v>0</v>
      </c>
      <c r="H161" s="41">
        <v>0</v>
      </c>
    </row>
    <row r="162" spans="1:8" x14ac:dyDescent="0.25">
      <c r="A162" s="40" t="s">
        <v>37</v>
      </c>
      <c r="B162" s="34">
        <v>610208</v>
      </c>
      <c r="C162" s="35">
        <v>41148</v>
      </c>
      <c r="D162" s="41">
        <v>478</v>
      </c>
      <c r="E162" s="41">
        <v>54</v>
      </c>
      <c r="F162" s="41">
        <v>17777</v>
      </c>
      <c r="G162" s="41">
        <v>4</v>
      </c>
      <c r="H162" s="41">
        <v>0</v>
      </c>
    </row>
    <row r="163" spans="1:8" x14ac:dyDescent="0.25">
      <c r="A163" s="40" t="s">
        <v>37</v>
      </c>
      <c r="B163" s="34">
        <v>610208</v>
      </c>
      <c r="C163" s="35">
        <v>41148</v>
      </c>
      <c r="D163" s="41">
        <v>480</v>
      </c>
      <c r="E163" s="41">
        <v>2</v>
      </c>
      <c r="F163" s="41">
        <v>518</v>
      </c>
      <c r="G163" s="41">
        <v>0</v>
      </c>
      <c r="H163" s="41">
        <v>0</v>
      </c>
    </row>
    <row r="164" spans="1:8" x14ac:dyDescent="0.25">
      <c r="A164" s="40" t="s">
        <v>37</v>
      </c>
      <c r="B164" s="34">
        <v>610208</v>
      </c>
      <c r="C164" s="35">
        <v>41148</v>
      </c>
      <c r="D164" s="41">
        <v>481</v>
      </c>
      <c r="E164" s="41">
        <v>1</v>
      </c>
      <c r="F164" s="41">
        <v>255</v>
      </c>
      <c r="G164" s="41">
        <v>0</v>
      </c>
      <c r="H164" s="41">
        <v>0</v>
      </c>
    </row>
    <row r="165" spans="1:8" x14ac:dyDescent="0.25">
      <c r="A165" s="40" t="s">
        <v>37</v>
      </c>
      <c r="B165" s="34">
        <v>610208</v>
      </c>
      <c r="C165" s="35">
        <v>41148</v>
      </c>
      <c r="D165" s="41">
        <v>790</v>
      </c>
      <c r="E165" s="41">
        <v>0</v>
      </c>
      <c r="F165" s="41">
        <v>0</v>
      </c>
      <c r="G165" s="41">
        <v>0</v>
      </c>
      <c r="H165" s="41">
        <v>0</v>
      </c>
    </row>
    <row r="166" spans="1:8" x14ac:dyDescent="0.25">
      <c r="A166" s="40" t="s">
        <v>37</v>
      </c>
      <c r="B166" s="34">
        <v>610208</v>
      </c>
      <c r="C166" s="35">
        <v>41149</v>
      </c>
      <c r="D166" s="41">
        <v>85</v>
      </c>
      <c r="E166" s="41">
        <v>0</v>
      </c>
      <c r="F166" s="41">
        <v>0</v>
      </c>
      <c r="G166" s="41">
        <v>0</v>
      </c>
      <c r="H166" s="41">
        <v>0</v>
      </c>
    </row>
    <row r="167" spans="1:8" x14ac:dyDescent="0.25">
      <c r="A167" s="40" t="s">
        <v>37</v>
      </c>
      <c r="B167" s="34">
        <v>610208</v>
      </c>
      <c r="C167" s="35">
        <v>41149</v>
      </c>
      <c r="D167" s="41">
        <v>465</v>
      </c>
      <c r="E167" s="41">
        <v>0</v>
      </c>
      <c r="F167" s="41">
        <v>0</v>
      </c>
      <c r="G167" s="41">
        <v>0</v>
      </c>
      <c r="H167" s="41">
        <v>0</v>
      </c>
    </row>
    <row r="168" spans="1:8" x14ac:dyDescent="0.25">
      <c r="A168" s="40" t="s">
        <v>37</v>
      </c>
      <c r="B168" s="34">
        <v>610208</v>
      </c>
      <c r="C168" s="35">
        <v>41149</v>
      </c>
      <c r="D168" s="41">
        <v>466</v>
      </c>
      <c r="E168" s="41">
        <v>0</v>
      </c>
      <c r="F168" s="41">
        <v>0</v>
      </c>
      <c r="G168" s="41">
        <v>0</v>
      </c>
      <c r="H168" s="41">
        <v>0</v>
      </c>
    </row>
    <row r="169" spans="1:8" x14ac:dyDescent="0.25">
      <c r="A169" s="40" t="s">
        <v>37</v>
      </c>
      <c r="B169" s="34">
        <v>610208</v>
      </c>
      <c r="C169" s="35">
        <v>41149</v>
      </c>
      <c r="D169" s="41">
        <v>467</v>
      </c>
      <c r="E169" s="41">
        <v>0</v>
      </c>
      <c r="F169" s="41">
        <v>0</v>
      </c>
      <c r="G169" s="41">
        <v>0</v>
      </c>
      <c r="H169" s="41">
        <v>0</v>
      </c>
    </row>
    <row r="170" spans="1:8" x14ac:dyDescent="0.25">
      <c r="A170" s="40" t="s">
        <v>37</v>
      </c>
      <c r="B170" s="34">
        <v>610208</v>
      </c>
      <c r="C170" s="35">
        <v>41149</v>
      </c>
      <c r="D170" s="41">
        <v>473</v>
      </c>
      <c r="E170" s="41">
        <v>20</v>
      </c>
      <c r="F170" s="41">
        <v>5866</v>
      </c>
      <c r="G170" s="41">
        <v>1</v>
      </c>
      <c r="H170" s="41">
        <v>0</v>
      </c>
    </row>
    <row r="171" spans="1:8" x14ac:dyDescent="0.25">
      <c r="A171" s="40" t="s">
        <v>37</v>
      </c>
      <c r="B171" s="34">
        <v>610208</v>
      </c>
      <c r="C171" s="35">
        <v>41149</v>
      </c>
      <c r="D171" s="41">
        <v>474</v>
      </c>
      <c r="E171" s="41">
        <v>16</v>
      </c>
      <c r="F171" s="41">
        <v>5794</v>
      </c>
      <c r="G171" s="41">
        <v>0</v>
      </c>
      <c r="H171" s="41">
        <v>0</v>
      </c>
    </row>
    <row r="172" spans="1:8" x14ac:dyDescent="0.25">
      <c r="A172" s="40" t="s">
        <v>37</v>
      </c>
      <c r="B172" s="34">
        <v>610208</v>
      </c>
      <c r="C172" s="35">
        <v>41149</v>
      </c>
      <c r="D172" s="41">
        <v>475</v>
      </c>
      <c r="E172" s="41">
        <v>0</v>
      </c>
      <c r="F172" s="41">
        <v>0</v>
      </c>
      <c r="G172" s="41">
        <v>0</v>
      </c>
      <c r="H172" s="41">
        <v>0</v>
      </c>
    </row>
    <row r="173" spans="1:8" x14ac:dyDescent="0.25">
      <c r="A173" s="40" t="s">
        <v>37</v>
      </c>
      <c r="B173" s="34">
        <v>610208</v>
      </c>
      <c r="C173" s="35">
        <v>41149</v>
      </c>
      <c r="D173" s="41">
        <v>476</v>
      </c>
      <c r="E173" s="41">
        <v>29</v>
      </c>
      <c r="F173" s="41">
        <v>8420</v>
      </c>
      <c r="G173" s="41">
        <v>0</v>
      </c>
      <c r="H173" s="41">
        <v>0</v>
      </c>
    </row>
    <row r="174" spans="1:8" x14ac:dyDescent="0.25">
      <c r="A174" s="40" t="s">
        <v>37</v>
      </c>
      <c r="B174" s="34">
        <v>610208</v>
      </c>
      <c r="C174" s="35">
        <v>41149</v>
      </c>
      <c r="D174" s="41">
        <v>477</v>
      </c>
      <c r="E174" s="41">
        <v>0</v>
      </c>
      <c r="F174" s="41">
        <v>0</v>
      </c>
      <c r="G174" s="41">
        <v>0</v>
      </c>
      <c r="H174" s="41">
        <v>0</v>
      </c>
    </row>
    <row r="175" spans="1:8" x14ac:dyDescent="0.25">
      <c r="A175" s="40" t="s">
        <v>37</v>
      </c>
      <c r="B175" s="34">
        <v>610208</v>
      </c>
      <c r="C175" s="35">
        <v>41149</v>
      </c>
      <c r="D175" s="41">
        <v>478</v>
      </c>
      <c r="E175" s="41">
        <v>0</v>
      </c>
      <c r="F175" s="41">
        <v>0</v>
      </c>
      <c r="G175" s="41">
        <v>0</v>
      </c>
      <c r="H175" s="41">
        <v>0</v>
      </c>
    </row>
    <row r="176" spans="1:8" x14ac:dyDescent="0.25">
      <c r="A176" s="40" t="s">
        <v>37</v>
      </c>
      <c r="B176" s="34">
        <v>610208</v>
      </c>
      <c r="C176" s="35">
        <v>41149</v>
      </c>
      <c r="D176" s="41">
        <v>480</v>
      </c>
      <c r="E176" s="41">
        <v>0</v>
      </c>
      <c r="F176" s="41">
        <v>0</v>
      </c>
      <c r="G176" s="41">
        <v>0</v>
      </c>
      <c r="H176" s="41">
        <v>0</v>
      </c>
    </row>
    <row r="177" spans="1:8" x14ac:dyDescent="0.25">
      <c r="A177" s="40" t="s">
        <v>37</v>
      </c>
      <c r="B177" s="34">
        <v>610208</v>
      </c>
      <c r="C177" s="35">
        <v>41149</v>
      </c>
      <c r="D177" s="41">
        <v>481</v>
      </c>
      <c r="E177" s="41">
        <v>0</v>
      </c>
      <c r="F177" s="41">
        <v>0</v>
      </c>
      <c r="G177" s="41">
        <v>0</v>
      </c>
      <c r="H177" s="41">
        <v>0</v>
      </c>
    </row>
    <row r="178" spans="1:8" x14ac:dyDescent="0.25">
      <c r="A178" s="40" t="s">
        <v>37</v>
      </c>
      <c r="B178" s="34">
        <v>610208</v>
      </c>
      <c r="C178" s="35">
        <v>41149</v>
      </c>
      <c r="D178" s="41">
        <v>484</v>
      </c>
      <c r="E178" s="41">
        <v>0</v>
      </c>
      <c r="F178" s="41">
        <v>0</v>
      </c>
      <c r="G178" s="41">
        <v>0</v>
      </c>
      <c r="H178" s="41">
        <v>0</v>
      </c>
    </row>
    <row r="179" spans="1:8" x14ac:dyDescent="0.25">
      <c r="A179" s="40" t="s">
        <v>37</v>
      </c>
      <c r="B179" s="34">
        <v>610208</v>
      </c>
      <c r="C179" s="35">
        <v>41149</v>
      </c>
      <c r="D179" s="41">
        <v>790</v>
      </c>
      <c r="E179" s="41">
        <v>0</v>
      </c>
      <c r="F179" s="41">
        <v>0</v>
      </c>
      <c r="G179" s="41">
        <v>0</v>
      </c>
      <c r="H179" s="41">
        <v>0</v>
      </c>
    </row>
    <row r="180" spans="1:8" x14ac:dyDescent="0.25">
      <c r="A180" s="40" t="s">
        <v>37</v>
      </c>
      <c r="B180" s="34">
        <v>610208</v>
      </c>
      <c r="C180" s="35">
        <v>41149</v>
      </c>
      <c r="D180" s="41">
        <v>791</v>
      </c>
      <c r="E180" s="41">
        <v>0</v>
      </c>
      <c r="F180" s="41">
        <v>0</v>
      </c>
      <c r="G180" s="41">
        <v>0</v>
      </c>
      <c r="H180" s="41">
        <v>0</v>
      </c>
    </row>
    <row r="181" spans="1:8" x14ac:dyDescent="0.25">
      <c r="A181" s="40" t="s">
        <v>37</v>
      </c>
      <c r="B181" s="34">
        <v>610208</v>
      </c>
      <c r="C181" s="35">
        <v>41150</v>
      </c>
      <c r="D181" s="41">
        <v>473</v>
      </c>
      <c r="E181" s="41">
        <v>14</v>
      </c>
      <c r="F181" s="41">
        <v>3746</v>
      </c>
      <c r="G181" s="41">
        <v>4</v>
      </c>
      <c r="H181" s="41">
        <v>0</v>
      </c>
    </row>
    <row r="182" spans="1:8" x14ac:dyDescent="0.25">
      <c r="A182" s="40" t="s">
        <v>37</v>
      </c>
      <c r="B182" s="34">
        <v>610208</v>
      </c>
      <c r="C182" s="35">
        <v>41150</v>
      </c>
      <c r="D182" s="41">
        <v>474</v>
      </c>
      <c r="E182" s="41">
        <v>8</v>
      </c>
      <c r="F182" s="41">
        <v>1863</v>
      </c>
      <c r="G182" s="41">
        <v>0</v>
      </c>
      <c r="H182" s="41">
        <v>0</v>
      </c>
    </row>
    <row r="183" spans="1:8" x14ac:dyDescent="0.25">
      <c r="A183" s="40" t="s">
        <v>37</v>
      </c>
      <c r="B183" s="34">
        <v>610208</v>
      </c>
      <c r="C183" s="35">
        <v>41150</v>
      </c>
      <c r="D183" s="41">
        <v>475</v>
      </c>
      <c r="E183" s="41">
        <v>1</v>
      </c>
      <c r="F183" s="41">
        <v>92</v>
      </c>
      <c r="G183" s="41">
        <v>0</v>
      </c>
      <c r="H183" s="41">
        <v>0</v>
      </c>
    </row>
    <row r="184" spans="1:8" x14ac:dyDescent="0.25">
      <c r="A184" s="40" t="s">
        <v>37</v>
      </c>
      <c r="B184" s="34">
        <v>610208</v>
      </c>
      <c r="C184" s="35">
        <v>41150</v>
      </c>
      <c r="D184" s="41">
        <v>476</v>
      </c>
      <c r="E184" s="41">
        <v>44</v>
      </c>
      <c r="F184" s="41">
        <v>14694</v>
      </c>
      <c r="G184" s="41">
        <v>2</v>
      </c>
      <c r="H184" s="41">
        <v>0</v>
      </c>
    </row>
    <row r="185" spans="1:8" x14ac:dyDescent="0.25">
      <c r="A185" s="40" t="s">
        <v>37</v>
      </c>
      <c r="B185" s="34">
        <v>610208</v>
      </c>
      <c r="C185" s="35">
        <v>41150</v>
      </c>
      <c r="D185" s="41">
        <v>484</v>
      </c>
      <c r="E185" s="41">
        <v>0</v>
      </c>
      <c r="F185" s="41">
        <v>0</v>
      </c>
      <c r="G185" s="41">
        <v>0</v>
      </c>
      <c r="H185" s="41">
        <v>0</v>
      </c>
    </row>
    <row r="186" spans="1:8" x14ac:dyDescent="0.25">
      <c r="A186" s="40" t="s">
        <v>37</v>
      </c>
      <c r="B186" s="34">
        <v>610208</v>
      </c>
      <c r="C186" s="35">
        <v>41150</v>
      </c>
      <c r="D186" s="41">
        <v>791</v>
      </c>
      <c r="E186" s="41">
        <v>0</v>
      </c>
      <c r="F186" s="41">
        <v>0</v>
      </c>
      <c r="G186" s="41">
        <v>0</v>
      </c>
      <c r="H186" s="41">
        <v>0</v>
      </c>
    </row>
    <row r="187" spans="1:8" x14ac:dyDescent="0.25">
      <c r="A187" s="40" t="s">
        <v>37</v>
      </c>
      <c r="B187" s="34">
        <v>610208</v>
      </c>
      <c r="C187" s="35">
        <v>41151</v>
      </c>
      <c r="D187" s="41">
        <v>473</v>
      </c>
      <c r="E187" s="41">
        <v>21</v>
      </c>
      <c r="F187" s="41">
        <v>6538</v>
      </c>
      <c r="G187" s="41">
        <v>0</v>
      </c>
      <c r="H187" s="41">
        <v>0</v>
      </c>
    </row>
    <row r="188" spans="1:8" x14ac:dyDescent="0.25">
      <c r="A188" s="40" t="s">
        <v>37</v>
      </c>
      <c r="B188" s="34">
        <v>610208</v>
      </c>
      <c r="C188" s="35">
        <v>41151</v>
      </c>
      <c r="D188" s="41">
        <v>474</v>
      </c>
      <c r="E188" s="41">
        <v>13</v>
      </c>
      <c r="F188" s="41">
        <v>3403</v>
      </c>
      <c r="G188" s="41">
        <v>0</v>
      </c>
      <c r="H188" s="41">
        <v>0</v>
      </c>
    </row>
    <row r="189" spans="1:8" x14ac:dyDescent="0.25">
      <c r="A189" s="40" t="s">
        <v>37</v>
      </c>
      <c r="B189" s="34">
        <v>610208</v>
      </c>
      <c r="C189" s="35">
        <v>41151</v>
      </c>
      <c r="D189" s="41">
        <v>475</v>
      </c>
      <c r="E189" s="41">
        <v>1</v>
      </c>
      <c r="F189" s="41">
        <v>408</v>
      </c>
      <c r="G189" s="41">
        <v>0</v>
      </c>
      <c r="H189" s="41">
        <v>0</v>
      </c>
    </row>
    <row r="190" spans="1:8" x14ac:dyDescent="0.25">
      <c r="A190" s="40" t="s">
        <v>37</v>
      </c>
      <c r="B190" s="34">
        <v>610208</v>
      </c>
      <c r="C190" s="35">
        <v>41151</v>
      </c>
      <c r="D190" s="41">
        <v>476</v>
      </c>
      <c r="E190" s="41">
        <v>37</v>
      </c>
      <c r="F190" s="41">
        <v>9797</v>
      </c>
      <c r="G190" s="41">
        <v>39</v>
      </c>
      <c r="H190" s="41">
        <v>0</v>
      </c>
    </row>
    <row r="191" spans="1:8" x14ac:dyDescent="0.25">
      <c r="A191" s="40" t="s">
        <v>37</v>
      </c>
      <c r="B191" s="34">
        <v>610208</v>
      </c>
      <c r="C191" s="35">
        <v>41151</v>
      </c>
      <c r="D191" s="41">
        <v>484</v>
      </c>
      <c r="E191" s="41">
        <v>1</v>
      </c>
      <c r="F191" s="41">
        <v>325</v>
      </c>
      <c r="G191" s="41">
        <v>0</v>
      </c>
      <c r="H191" s="41">
        <v>0</v>
      </c>
    </row>
    <row r="192" spans="1:8" x14ac:dyDescent="0.25">
      <c r="A192" s="40" t="s">
        <v>37</v>
      </c>
      <c r="B192" s="34">
        <v>610208</v>
      </c>
      <c r="C192" s="35">
        <v>41151</v>
      </c>
      <c r="D192" s="41">
        <v>791</v>
      </c>
      <c r="E192" s="41">
        <v>0</v>
      </c>
      <c r="F192" s="41">
        <v>0</v>
      </c>
      <c r="G192" s="41">
        <v>0</v>
      </c>
      <c r="H192" s="41">
        <v>0</v>
      </c>
    </row>
    <row r="193" spans="1:8" x14ac:dyDescent="0.25">
      <c r="A193" s="40" t="s">
        <v>37</v>
      </c>
      <c r="B193" s="34">
        <v>610208</v>
      </c>
      <c r="C193" s="35">
        <v>41152</v>
      </c>
      <c r="D193" s="41">
        <v>473</v>
      </c>
      <c r="E193" s="41">
        <v>20</v>
      </c>
      <c r="F193" s="41">
        <v>4515</v>
      </c>
      <c r="G193" s="41">
        <v>0</v>
      </c>
      <c r="H193" s="41">
        <v>0</v>
      </c>
    </row>
    <row r="194" spans="1:8" x14ac:dyDescent="0.25">
      <c r="A194" s="40" t="s">
        <v>37</v>
      </c>
      <c r="B194" s="34">
        <v>610208</v>
      </c>
      <c r="C194" s="35">
        <v>41152</v>
      </c>
      <c r="D194" s="41">
        <v>474</v>
      </c>
      <c r="E194" s="41">
        <v>26</v>
      </c>
      <c r="F194" s="41">
        <v>6460</v>
      </c>
      <c r="G194" s="41">
        <v>0</v>
      </c>
      <c r="H194" s="41">
        <v>0</v>
      </c>
    </row>
    <row r="195" spans="1:8" x14ac:dyDescent="0.25">
      <c r="A195" s="40" t="s">
        <v>37</v>
      </c>
      <c r="B195" s="34">
        <v>610208</v>
      </c>
      <c r="C195" s="35">
        <v>41152</v>
      </c>
      <c r="D195" s="41">
        <v>475</v>
      </c>
      <c r="E195" s="41">
        <v>3</v>
      </c>
      <c r="F195" s="41">
        <v>1562</v>
      </c>
      <c r="G195" s="41">
        <v>8</v>
      </c>
      <c r="H195" s="41">
        <v>0</v>
      </c>
    </row>
    <row r="196" spans="1:8" x14ac:dyDescent="0.25">
      <c r="A196" s="40" t="s">
        <v>37</v>
      </c>
      <c r="B196" s="34">
        <v>610208</v>
      </c>
      <c r="C196" s="35">
        <v>41152</v>
      </c>
      <c r="D196" s="41">
        <v>476</v>
      </c>
      <c r="E196" s="41">
        <v>32</v>
      </c>
      <c r="F196" s="41">
        <v>7920</v>
      </c>
      <c r="G196" s="41">
        <v>0</v>
      </c>
      <c r="H196" s="41">
        <v>0</v>
      </c>
    </row>
    <row r="197" spans="1:8" x14ac:dyDescent="0.25">
      <c r="A197" s="40" t="s">
        <v>37</v>
      </c>
      <c r="B197" s="34">
        <v>610208</v>
      </c>
      <c r="C197" s="35">
        <v>41152</v>
      </c>
      <c r="D197" s="41">
        <v>484</v>
      </c>
      <c r="E197" s="41">
        <v>0</v>
      </c>
      <c r="F197" s="41">
        <v>0</v>
      </c>
      <c r="G197" s="41">
        <v>0</v>
      </c>
      <c r="H197" s="41">
        <v>0</v>
      </c>
    </row>
    <row r="198" spans="1:8" x14ac:dyDescent="0.25">
      <c r="A198" s="40" t="s">
        <v>37</v>
      </c>
      <c r="B198" s="34">
        <v>610208</v>
      </c>
      <c r="C198" s="35">
        <v>41152</v>
      </c>
      <c r="D198" s="41">
        <v>791</v>
      </c>
      <c r="E198" s="41">
        <v>0</v>
      </c>
      <c r="F198" s="41">
        <v>0</v>
      </c>
      <c r="G198" s="41">
        <v>0</v>
      </c>
      <c r="H198" s="41">
        <v>0</v>
      </c>
    </row>
    <row r="199" spans="1:8" x14ac:dyDescent="0.25">
      <c r="A199" s="40" t="s">
        <v>38</v>
      </c>
      <c r="B199" s="34">
        <v>610340</v>
      </c>
      <c r="C199" s="35">
        <v>41122</v>
      </c>
      <c r="D199" s="41">
        <v>85</v>
      </c>
      <c r="E199" s="41">
        <v>0</v>
      </c>
      <c r="F199" s="41">
        <v>0</v>
      </c>
      <c r="G199" s="41">
        <v>0</v>
      </c>
      <c r="H199" s="41">
        <v>0</v>
      </c>
    </row>
    <row r="200" spans="1:8" x14ac:dyDescent="0.25">
      <c r="A200" s="40" t="s">
        <v>38</v>
      </c>
      <c r="B200" s="34">
        <v>610340</v>
      </c>
      <c r="C200" s="35">
        <v>41122</v>
      </c>
      <c r="D200" s="41">
        <v>477</v>
      </c>
      <c r="E200" s="41">
        <v>60</v>
      </c>
      <c r="F200" s="41">
        <v>15117</v>
      </c>
      <c r="G200" s="41">
        <v>2</v>
      </c>
      <c r="H200" s="41">
        <v>0</v>
      </c>
    </row>
    <row r="201" spans="1:8" x14ac:dyDescent="0.25">
      <c r="A201" s="40" t="s">
        <v>38</v>
      </c>
      <c r="B201" s="34">
        <v>610340</v>
      </c>
      <c r="C201" s="35">
        <v>41122</v>
      </c>
      <c r="D201" s="41">
        <v>478</v>
      </c>
      <c r="E201" s="41">
        <v>13</v>
      </c>
      <c r="F201" s="41">
        <v>3312</v>
      </c>
      <c r="G201" s="41">
        <v>0</v>
      </c>
      <c r="H201" s="41">
        <v>20</v>
      </c>
    </row>
    <row r="202" spans="1:8" x14ac:dyDescent="0.25">
      <c r="A202" s="40" t="s">
        <v>38</v>
      </c>
      <c r="B202" s="34">
        <v>610340</v>
      </c>
      <c r="C202" s="35">
        <v>41122</v>
      </c>
      <c r="D202" s="41">
        <v>481</v>
      </c>
      <c r="E202" s="41">
        <v>0</v>
      </c>
      <c r="F202" s="41">
        <v>0</v>
      </c>
      <c r="G202" s="41">
        <v>0</v>
      </c>
      <c r="H202" s="41">
        <v>0</v>
      </c>
    </row>
    <row r="203" spans="1:8" x14ac:dyDescent="0.25">
      <c r="A203" s="40" t="s">
        <v>38</v>
      </c>
      <c r="B203" s="34">
        <v>610340</v>
      </c>
      <c r="C203" s="35">
        <v>41122</v>
      </c>
      <c r="D203" s="41">
        <v>790</v>
      </c>
      <c r="E203" s="41">
        <v>0</v>
      </c>
      <c r="F203" s="41">
        <v>0</v>
      </c>
      <c r="G203" s="41">
        <v>0</v>
      </c>
      <c r="H203" s="41">
        <v>0</v>
      </c>
    </row>
    <row r="204" spans="1:8" x14ac:dyDescent="0.25">
      <c r="A204" s="40" t="s">
        <v>38</v>
      </c>
      <c r="B204" s="34">
        <v>610340</v>
      </c>
      <c r="C204" s="35">
        <v>41123</v>
      </c>
      <c r="D204" s="41">
        <v>85</v>
      </c>
      <c r="E204" s="41">
        <v>0</v>
      </c>
      <c r="F204" s="41">
        <v>0</v>
      </c>
      <c r="G204" s="41">
        <v>0</v>
      </c>
      <c r="H204" s="41">
        <v>0</v>
      </c>
    </row>
    <row r="205" spans="1:8" x14ac:dyDescent="0.25">
      <c r="A205" s="40" t="s">
        <v>38</v>
      </c>
      <c r="B205" s="34">
        <v>610340</v>
      </c>
      <c r="C205" s="35">
        <v>41123</v>
      </c>
      <c r="D205" s="41">
        <v>477</v>
      </c>
      <c r="E205" s="41">
        <v>39</v>
      </c>
      <c r="F205" s="41">
        <v>14627</v>
      </c>
      <c r="G205" s="41">
        <v>245</v>
      </c>
      <c r="H205" s="41">
        <v>22</v>
      </c>
    </row>
    <row r="206" spans="1:8" x14ac:dyDescent="0.25">
      <c r="A206" s="40" t="s">
        <v>38</v>
      </c>
      <c r="B206" s="34">
        <v>610340</v>
      </c>
      <c r="C206" s="35">
        <v>41123</v>
      </c>
      <c r="D206" s="41">
        <v>478</v>
      </c>
      <c r="E206" s="41">
        <v>11</v>
      </c>
      <c r="F206" s="41">
        <v>3898</v>
      </c>
      <c r="G206" s="41">
        <v>0</v>
      </c>
      <c r="H206" s="41">
        <v>0</v>
      </c>
    </row>
    <row r="207" spans="1:8" x14ac:dyDescent="0.25">
      <c r="A207" s="40" t="s">
        <v>38</v>
      </c>
      <c r="B207" s="34">
        <v>610340</v>
      </c>
      <c r="C207" s="35">
        <v>41123</v>
      </c>
      <c r="D207" s="41">
        <v>481</v>
      </c>
      <c r="E207" s="41">
        <v>0</v>
      </c>
      <c r="F207" s="41">
        <v>0</v>
      </c>
      <c r="G207" s="41">
        <v>0</v>
      </c>
      <c r="H207" s="41">
        <v>0</v>
      </c>
    </row>
    <row r="208" spans="1:8" x14ac:dyDescent="0.25">
      <c r="A208" s="40" t="s">
        <v>38</v>
      </c>
      <c r="B208" s="34">
        <v>610340</v>
      </c>
      <c r="C208" s="35">
        <v>41123</v>
      </c>
      <c r="D208" s="41">
        <v>790</v>
      </c>
      <c r="E208" s="41">
        <v>0</v>
      </c>
      <c r="F208" s="41">
        <v>0</v>
      </c>
      <c r="G208" s="41">
        <v>0</v>
      </c>
      <c r="H208" s="41">
        <v>0</v>
      </c>
    </row>
    <row r="209" spans="1:8" x14ac:dyDescent="0.25">
      <c r="A209" s="40" t="s">
        <v>38</v>
      </c>
      <c r="B209" s="34">
        <v>610340</v>
      </c>
      <c r="C209" s="35">
        <v>41124</v>
      </c>
      <c r="D209" s="41">
        <v>85</v>
      </c>
      <c r="E209" s="41">
        <v>0</v>
      </c>
      <c r="F209" s="41">
        <v>0</v>
      </c>
      <c r="G209" s="41">
        <v>0</v>
      </c>
      <c r="H209" s="41">
        <v>0</v>
      </c>
    </row>
    <row r="210" spans="1:8" x14ac:dyDescent="0.25">
      <c r="A210" s="40" t="s">
        <v>38</v>
      </c>
      <c r="B210" s="34">
        <v>610340</v>
      </c>
      <c r="C210" s="35">
        <v>41124</v>
      </c>
      <c r="D210" s="41">
        <v>477</v>
      </c>
      <c r="E210" s="41">
        <v>23</v>
      </c>
      <c r="F210" s="41">
        <v>7110</v>
      </c>
      <c r="G210" s="41">
        <v>0</v>
      </c>
      <c r="H210" s="41">
        <v>4</v>
      </c>
    </row>
    <row r="211" spans="1:8" x14ac:dyDescent="0.25">
      <c r="A211" s="40" t="s">
        <v>38</v>
      </c>
      <c r="B211" s="34">
        <v>610340</v>
      </c>
      <c r="C211" s="35">
        <v>41124</v>
      </c>
      <c r="D211" s="41">
        <v>478</v>
      </c>
      <c r="E211" s="41">
        <v>12</v>
      </c>
      <c r="F211" s="41">
        <v>3341</v>
      </c>
      <c r="G211" s="41">
        <v>0</v>
      </c>
      <c r="H211" s="41">
        <v>0</v>
      </c>
    </row>
    <row r="212" spans="1:8" x14ac:dyDescent="0.25">
      <c r="A212" s="40" t="s">
        <v>38</v>
      </c>
      <c r="B212" s="34">
        <v>610340</v>
      </c>
      <c r="C212" s="35">
        <v>41124</v>
      </c>
      <c r="D212" s="41">
        <v>481</v>
      </c>
      <c r="E212" s="41">
        <v>21</v>
      </c>
      <c r="F212" s="41">
        <v>6863</v>
      </c>
      <c r="G212" s="41">
        <v>10</v>
      </c>
      <c r="H212" s="41">
        <v>0</v>
      </c>
    </row>
    <row r="213" spans="1:8" x14ac:dyDescent="0.25">
      <c r="A213" s="40" t="s">
        <v>38</v>
      </c>
      <c r="B213" s="34">
        <v>610340</v>
      </c>
      <c r="C213" s="35">
        <v>41124</v>
      </c>
      <c r="D213" s="41">
        <v>790</v>
      </c>
      <c r="E213" s="41">
        <v>0</v>
      </c>
      <c r="F213" s="41">
        <v>0</v>
      </c>
      <c r="G213" s="41">
        <v>0</v>
      </c>
      <c r="H213" s="41">
        <v>0</v>
      </c>
    </row>
    <row r="214" spans="1:8" x14ac:dyDescent="0.25">
      <c r="A214" s="40" t="s">
        <v>38</v>
      </c>
      <c r="B214" s="34">
        <v>610340</v>
      </c>
      <c r="C214" s="35">
        <v>41126</v>
      </c>
      <c r="D214" s="41">
        <v>85</v>
      </c>
      <c r="E214" s="41">
        <v>0</v>
      </c>
      <c r="F214" s="41">
        <v>0</v>
      </c>
      <c r="G214" s="41">
        <v>0</v>
      </c>
      <c r="H214" s="41">
        <v>0</v>
      </c>
    </row>
    <row r="215" spans="1:8" x14ac:dyDescent="0.25">
      <c r="A215" s="40" t="s">
        <v>38</v>
      </c>
      <c r="B215" s="34">
        <v>610340</v>
      </c>
      <c r="C215" s="35">
        <v>41126</v>
      </c>
      <c r="D215" s="41">
        <v>477</v>
      </c>
      <c r="E215" s="41">
        <v>5</v>
      </c>
      <c r="F215" s="41">
        <v>2704</v>
      </c>
      <c r="G215" s="41">
        <v>0</v>
      </c>
      <c r="H215" s="41">
        <v>3</v>
      </c>
    </row>
    <row r="216" spans="1:8" x14ac:dyDescent="0.25">
      <c r="A216" s="40" t="s">
        <v>38</v>
      </c>
      <c r="B216" s="34">
        <v>610340</v>
      </c>
      <c r="C216" s="35">
        <v>41126</v>
      </c>
      <c r="D216" s="41">
        <v>478</v>
      </c>
      <c r="E216" s="41">
        <v>0</v>
      </c>
      <c r="F216" s="41">
        <v>0</v>
      </c>
      <c r="G216" s="41">
        <v>0</v>
      </c>
      <c r="H216" s="41">
        <v>0</v>
      </c>
    </row>
    <row r="217" spans="1:8" x14ac:dyDescent="0.25">
      <c r="A217" s="40" t="s">
        <v>38</v>
      </c>
      <c r="B217" s="34">
        <v>610340</v>
      </c>
      <c r="C217" s="35">
        <v>41126</v>
      </c>
      <c r="D217" s="41">
        <v>480</v>
      </c>
      <c r="E217" s="41">
        <v>20</v>
      </c>
      <c r="F217" s="41">
        <v>8070</v>
      </c>
      <c r="G217" s="41">
        <v>0</v>
      </c>
      <c r="H217" s="41">
        <v>3</v>
      </c>
    </row>
    <row r="218" spans="1:8" x14ac:dyDescent="0.25">
      <c r="A218" s="40" t="s">
        <v>38</v>
      </c>
      <c r="B218" s="34">
        <v>610340</v>
      </c>
      <c r="C218" s="35">
        <v>41126</v>
      </c>
      <c r="D218" s="41">
        <v>481</v>
      </c>
      <c r="E218" s="41">
        <v>0</v>
      </c>
      <c r="F218" s="41">
        <v>0</v>
      </c>
      <c r="G218" s="41">
        <v>0</v>
      </c>
      <c r="H218" s="41">
        <v>0</v>
      </c>
    </row>
    <row r="219" spans="1:8" x14ac:dyDescent="0.25">
      <c r="A219" s="40" t="s">
        <v>38</v>
      </c>
      <c r="B219" s="34">
        <v>610340</v>
      </c>
      <c r="C219" s="35">
        <v>41126</v>
      </c>
      <c r="D219" s="41">
        <v>482</v>
      </c>
      <c r="E219" s="41">
        <v>0</v>
      </c>
      <c r="F219" s="41">
        <v>0</v>
      </c>
      <c r="G219" s="41">
        <v>0</v>
      </c>
      <c r="H219" s="41">
        <v>0</v>
      </c>
    </row>
    <row r="220" spans="1:8" x14ac:dyDescent="0.25">
      <c r="A220" s="40" t="s">
        <v>38</v>
      </c>
      <c r="B220" s="34">
        <v>610340</v>
      </c>
      <c r="C220" s="35">
        <v>41126</v>
      </c>
      <c r="D220" s="41">
        <v>790</v>
      </c>
      <c r="E220" s="41">
        <v>0</v>
      </c>
      <c r="F220" s="41">
        <v>0</v>
      </c>
      <c r="G220" s="41">
        <v>0</v>
      </c>
      <c r="H220" s="41">
        <v>0</v>
      </c>
    </row>
    <row r="221" spans="1:8" x14ac:dyDescent="0.25">
      <c r="A221" s="40" t="s">
        <v>38</v>
      </c>
      <c r="B221" s="34">
        <v>610340</v>
      </c>
      <c r="C221" s="35">
        <v>41127</v>
      </c>
      <c r="D221" s="41">
        <v>85</v>
      </c>
      <c r="E221" s="41">
        <v>0</v>
      </c>
      <c r="F221" s="41">
        <v>0</v>
      </c>
      <c r="G221" s="41">
        <v>0</v>
      </c>
      <c r="H221" s="41">
        <v>0</v>
      </c>
    </row>
    <row r="222" spans="1:8" x14ac:dyDescent="0.25">
      <c r="A222" s="40" t="s">
        <v>38</v>
      </c>
      <c r="B222" s="34">
        <v>610340</v>
      </c>
      <c r="C222" s="35">
        <v>41127</v>
      </c>
      <c r="D222" s="41">
        <v>477</v>
      </c>
      <c r="E222" s="41">
        <v>46</v>
      </c>
      <c r="F222" s="41">
        <v>12387</v>
      </c>
      <c r="G222" s="41">
        <v>0</v>
      </c>
      <c r="H222" s="41">
        <v>0</v>
      </c>
    </row>
    <row r="223" spans="1:8" x14ac:dyDescent="0.25">
      <c r="A223" s="40" t="s">
        <v>38</v>
      </c>
      <c r="B223" s="34">
        <v>610340</v>
      </c>
      <c r="C223" s="35">
        <v>41127</v>
      </c>
      <c r="D223" s="41">
        <v>478</v>
      </c>
      <c r="E223" s="41">
        <v>8</v>
      </c>
      <c r="F223" s="41">
        <v>1884</v>
      </c>
      <c r="G223" s="41">
        <v>0</v>
      </c>
      <c r="H223" s="41">
        <v>0</v>
      </c>
    </row>
    <row r="224" spans="1:8" x14ac:dyDescent="0.25">
      <c r="A224" s="40" t="s">
        <v>38</v>
      </c>
      <c r="B224" s="34">
        <v>610340</v>
      </c>
      <c r="C224" s="35">
        <v>41127</v>
      </c>
      <c r="D224" s="41">
        <v>481</v>
      </c>
      <c r="E224" s="41">
        <v>18</v>
      </c>
      <c r="F224" s="41">
        <v>5159</v>
      </c>
      <c r="G224" s="41">
        <v>13</v>
      </c>
      <c r="H224" s="41">
        <v>3</v>
      </c>
    </row>
    <row r="225" spans="1:8" x14ac:dyDescent="0.25">
      <c r="A225" s="40" t="s">
        <v>38</v>
      </c>
      <c r="B225" s="34">
        <v>610340</v>
      </c>
      <c r="C225" s="35">
        <v>41127</v>
      </c>
      <c r="D225" s="41">
        <v>790</v>
      </c>
      <c r="E225" s="41">
        <v>0</v>
      </c>
      <c r="F225" s="41">
        <v>0</v>
      </c>
      <c r="G225" s="41">
        <v>0</v>
      </c>
      <c r="H225" s="41">
        <v>0</v>
      </c>
    </row>
    <row r="226" spans="1:8" x14ac:dyDescent="0.25">
      <c r="A226" s="40" t="s">
        <v>38</v>
      </c>
      <c r="B226" s="34">
        <v>610340</v>
      </c>
      <c r="C226" s="35">
        <v>41128</v>
      </c>
      <c r="D226" s="41">
        <v>85</v>
      </c>
      <c r="E226" s="41">
        <v>0</v>
      </c>
      <c r="F226" s="41">
        <v>0</v>
      </c>
      <c r="G226" s="41">
        <v>0</v>
      </c>
      <c r="H226" s="41">
        <v>0</v>
      </c>
    </row>
    <row r="227" spans="1:8" x14ac:dyDescent="0.25">
      <c r="A227" s="40" t="s">
        <v>38</v>
      </c>
      <c r="B227" s="34">
        <v>610340</v>
      </c>
      <c r="C227" s="35">
        <v>41128</v>
      </c>
      <c r="D227" s="41">
        <v>477</v>
      </c>
      <c r="E227" s="41">
        <v>44</v>
      </c>
      <c r="F227" s="41">
        <v>13641</v>
      </c>
      <c r="G227" s="41">
        <v>31</v>
      </c>
      <c r="H227" s="41">
        <v>0</v>
      </c>
    </row>
    <row r="228" spans="1:8" x14ac:dyDescent="0.25">
      <c r="A228" s="40" t="s">
        <v>38</v>
      </c>
      <c r="B228" s="34">
        <v>610340</v>
      </c>
      <c r="C228" s="35">
        <v>41128</v>
      </c>
      <c r="D228" s="41">
        <v>478</v>
      </c>
      <c r="E228" s="41">
        <v>2</v>
      </c>
      <c r="F228" s="41">
        <v>837</v>
      </c>
      <c r="G228" s="41">
        <v>0</v>
      </c>
      <c r="H228" s="41">
        <v>0</v>
      </c>
    </row>
    <row r="229" spans="1:8" x14ac:dyDescent="0.25">
      <c r="A229" s="40" t="s">
        <v>38</v>
      </c>
      <c r="B229" s="34">
        <v>610340</v>
      </c>
      <c r="C229" s="35">
        <v>41128</v>
      </c>
      <c r="D229" s="41">
        <v>481</v>
      </c>
      <c r="E229" s="41">
        <v>18</v>
      </c>
      <c r="F229" s="41">
        <v>4670</v>
      </c>
      <c r="G229" s="41">
        <v>0</v>
      </c>
      <c r="H229" s="41">
        <v>0</v>
      </c>
    </row>
    <row r="230" spans="1:8" x14ac:dyDescent="0.25">
      <c r="A230" s="40" t="s">
        <v>38</v>
      </c>
      <c r="B230" s="34">
        <v>610340</v>
      </c>
      <c r="C230" s="35">
        <v>41128</v>
      </c>
      <c r="D230" s="41">
        <v>790</v>
      </c>
      <c r="E230" s="41">
        <v>0</v>
      </c>
      <c r="F230" s="41">
        <v>0</v>
      </c>
      <c r="G230" s="41">
        <v>0</v>
      </c>
      <c r="H230" s="41">
        <v>0</v>
      </c>
    </row>
    <row r="231" spans="1:8" x14ac:dyDescent="0.25">
      <c r="A231" s="40" t="s">
        <v>38</v>
      </c>
      <c r="B231" s="34">
        <v>610340</v>
      </c>
      <c r="C231" s="35">
        <v>41129</v>
      </c>
      <c r="D231" s="41">
        <v>85</v>
      </c>
      <c r="E231" s="41">
        <v>0</v>
      </c>
      <c r="F231" s="41">
        <v>0</v>
      </c>
      <c r="G231" s="41">
        <v>0</v>
      </c>
      <c r="H231" s="41">
        <v>0</v>
      </c>
    </row>
    <row r="232" spans="1:8" x14ac:dyDescent="0.25">
      <c r="A232" s="40" t="s">
        <v>38</v>
      </c>
      <c r="B232" s="34">
        <v>610340</v>
      </c>
      <c r="C232" s="35">
        <v>41129</v>
      </c>
      <c r="D232" s="41">
        <v>477</v>
      </c>
      <c r="E232" s="41">
        <v>38</v>
      </c>
      <c r="F232" s="41">
        <v>12260</v>
      </c>
      <c r="G232" s="41">
        <v>49</v>
      </c>
      <c r="H232" s="41">
        <v>12</v>
      </c>
    </row>
    <row r="233" spans="1:8" x14ac:dyDescent="0.25">
      <c r="A233" s="40" t="s">
        <v>38</v>
      </c>
      <c r="B233" s="34">
        <v>610340</v>
      </c>
      <c r="C233" s="35">
        <v>41129</v>
      </c>
      <c r="D233" s="41">
        <v>478</v>
      </c>
      <c r="E233" s="41">
        <v>8</v>
      </c>
      <c r="F233" s="41">
        <v>2531</v>
      </c>
      <c r="G233" s="41">
        <v>0</v>
      </c>
      <c r="H233" s="41">
        <v>0</v>
      </c>
    </row>
    <row r="234" spans="1:8" x14ac:dyDescent="0.25">
      <c r="A234" s="40" t="s">
        <v>38</v>
      </c>
      <c r="B234" s="34">
        <v>610340</v>
      </c>
      <c r="C234" s="35">
        <v>41129</v>
      </c>
      <c r="D234" s="41">
        <v>481</v>
      </c>
      <c r="E234" s="41">
        <v>6</v>
      </c>
      <c r="F234" s="41">
        <v>1768</v>
      </c>
      <c r="G234" s="41">
        <v>0</v>
      </c>
      <c r="H234" s="41">
        <v>0</v>
      </c>
    </row>
    <row r="235" spans="1:8" x14ac:dyDescent="0.25">
      <c r="A235" s="40" t="s">
        <v>38</v>
      </c>
      <c r="B235" s="34">
        <v>610340</v>
      </c>
      <c r="C235" s="35">
        <v>41129</v>
      </c>
      <c r="D235" s="41">
        <v>790</v>
      </c>
      <c r="E235" s="41">
        <v>0</v>
      </c>
      <c r="F235" s="41">
        <v>0</v>
      </c>
      <c r="G235" s="41">
        <v>0</v>
      </c>
      <c r="H235" s="41">
        <v>0</v>
      </c>
    </row>
    <row r="236" spans="1:8" x14ac:dyDescent="0.25">
      <c r="A236" s="40" t="s">
        <v>38</v>
      </c>
      <c r="B236" s="34">
        <v>610340</v>
      </c>
      <c r="C236" s="35">
        <v>41130</v>
      </c>
      <c r="D236" s="41">
        <v>85</v>
      </c>
      <c r="E236" s="41">
        <v>0</v>
      </c>
      <c r="F236" s="41">
        <v>0</v>
      </c>
      <c r="G236" s="41">
        <v>0</v>
      </c>
      <c r="H236" s="41">
        <v>0</v>
      </c>
    </row>
    <row r="237" spans="1:8" x14ac:dyDescent="0.25">
      <c r="A237" s="40" t="s">
        <v>38</v>
      </c>
      <c r="B237" s="34">
        <v>610340</v>
      </c>
      <c r="C237" s="35">
        <v>41130</v>
      </c>
      <c r="D237" s="41">
        <v>477</v>
      </c>
      <c r="E237" s="41">
        <v>40</v>
      </c>
      <c r="F237" s="41">
        <v>10333</v>
      </c>
      <c r="G237" s="41">
        <v>0</v>
      </c>
      <c r="H237" s="41">
        <v>0</v>
      </c>
    </row>
    <row r="238" spans="1:8" x14ac:dyDescent="0.25">
      <c r="A238" s="40" t="s">
        <v>38</v>
      </c>
      <c r="B238" s="34">
        <v>610340</v>
      </c>
      <c r="C238" s="35">
        <v>41130</v>
      </c>
      <c r="D238" s="41">
        <v>478</v>
      </c>
      <c r="E238" s="41">
        <v>12</v>
      </c>
      <c r="F238" s="41">
        <v>3280</v>
      </c>
      <c r="G238" s="41">
        <v>0</v>
      </c>
      <c r="H238" s="41">
        <v>0</v>
      </c>
    </row>
    <row r="239" spans="1:8" x14ac:dyDescent="0.25">
      <c r="A239" s="40" t="s">
        <v>38</v>
      </c>
      <c r="B239" s="34">
        <v>610340</v>
      </c>
      <c r="C239" s="35">
        <v>41130</v>
      </c>
      <c r="D239" s="41">
        <v>481</v>
      </c>
      <c r="E239" s="41">
        <v>1</v>
      </c>
      <c r="F239" s="41">
        <v>621</v>
      </c>
      <c r="G239" s="41">
        <v>0</v>
      </c>
      <c r="H239" s="41">
        <v>0</v>
      </c>
    </row>
    <row r="240" spans="1:8" x14ac:dyDescent="0.25">
      <c r="A240" s="40" t="s">
        <v>38</v>
      </c>
      <c r="B240" s="34">
        <v>610340</v>
      </c>
      <c r="C240" s="35">
        <v>41130</v>
      </c>
      <c r="D240" s="41">
        <v>790</v>
      </c>
      <c r="E240" s="41">
        <v>0</v>
      </c>
      <c r="F240" s="41">
        <v>0</v>
      </c>
      <c r="G240" s="41">
        <v>0</v>
      </c>
      <c r="H240" s="41">
        <v>0</v>
      </c>
    </row>
    <row r="241" spans="1:8" x14ac:dyDescent="0.25">
      <c r="A241" s="40" t="s">
        <v>38</v>
      </c>
      <c r="B241" s="34">
        <v>610340</v>
      </c>
      <c r="C241" s="35">
        <v>41131</v>
      </c>
      <c r="D241" s="41">
        <v>85</v>
      </c>
      <c r="E241" s="41">
        <v>0</v>
      </c>
      <c r="F241" s="41">
        <v>0</v>
      </c>
      <c r="G241" s="41">
        <v>0</v>
      </c>
      <c r="H241" s="41">
        <v>0</v>
      </c>
    </row>
    <row r="242" spans="1:8" x14ac:dyDescent="0.25">
      <c r="A242" s="40" t="s">
        <v>38</v>
      </c>
      <c r="B242" s="34">
        <v>610340</v>
      </c>
      <c r="C242" s="35">
        <v>41131</v>
      </c>
      <c r="D242" s="41">
        <v>477</v>
      </c>
      <c r="E242" s="41">
        <v>44</v>
      </c>
      <c r="F242" s="41">
        <v>12188</v>
      </c>
      <c r="G242" s="41">
        <v>0</v>
      </c>
      <c r="H242" s="41">
        <v>26</v>
      </c>
    </row>
    <row r="243" spans="1:8" x14ac:dyDescent="0.25">
      <c r="A243" s="40" t="s">
        <v>38</v>
      </c>
      <c r="B243" s="34">
        <v>610340</v>
      </c>
      <c r="C243" s="35">
        <v>41131</v>
      </c>
      <c r="D243" s="41">
        <v>478</v>
      </c>
      <c r="E243" s="41">
        <v>14</v>
      </c>
      <c r="F243" s="41">
        <v>4910</v>
      </c>
      <c r="G243" s="41">
        <v>0</v>
      </c>
      <c r="H243" s="41">
        <v>0</v>
      </c>
    </row>
    <row r="244" spans="1:8" x14ac:dyDescent="0.25">
      <c r="A244" s="40" t="s">
        <v>38</v>
      </c>
      <c r="B244" s="34">
        <v>610340</v>
      </c>
      <c r="C244" s="35">
        <v>41131</v>
      </c>
      <c r="D244" s="41">
        <v>481</v>
      </c>
      <c r="E244" s="41">
        <v>0</v>
      </c>
      <c r="F244" s="41">
        <v>0</v>
      </c>
      <c r="G244" s="41">
        <v>0</v>
      </c>
      <c r="H244" s="41">
        <v>0</v>
      </c>
    </row>
    <row r="245" spans="1:8" x14ac:dyDescent="0.25">
      <c r="A245" s="40" t="s">
        <v>38</v>
      </c>
      <c r="B245" s="34">
        <v>610340</v>
      </c>
      <c r="C245" s="35">
        <v>41131</v>
      </c>
      <c r="D245" s="41">
        <v>790</v>
      </c>
      <c r="E245" s="41">
        <v>0</v>
      </c>
      <c r="F245" s="41">
        <v>0</v>
      </c>
      <c r="G245" s="41">
        <v>0</v>
      </c>
      <c r="H245" s="41">
        <v>0</v>
      </c>
    </row>
    <row r="246" spans="1:8" x14ac:dyDescent="0.25">
      <c r="A246" s="40" t="s">
        <v>38</v>
      </c>
      <c r="B246" s="34">
        <v>610340</v>
      </c>
      <c r="C246" s="35">
        <v>41132</v>
      </c>
      <c r="D246" s="41">
        <v>85</v>
      </c>
      <c r="E246" s="41">
        <v>0</v>
      </c>
      <c r="F246" s="41">
        <v>0</v>
      </c>
      <c r="G246" s="41">
        <v>0</v>
      </c>
      <c r="H246" s="41">
        <v>0</v>
      </c>
    </row>
    <row r="247" spans="1:8" x14ac:dyDescent="0.25">
      <c r="A247" s="40" t="s">
        <v>38</v>
      </c>
      <c r="B247" s="34">
        <v>610340</v>
      </c>
      <c r="C247" s="35">
        <v>41132</v>
      </c>
      <c r="D247" s="41">
        <v>477</v>
      </c>
      <c r="E247" s="41">
        <v>32</v>
      </c>
      <c r="F247" s="41">
        <v>6711</v>
      </c>
      <c r="G247" s="41">
        <v>0</v>
      </c>
      <c r="H247" s="41">
        <v>0</v>
      </c>
    </row>
    <row r="248" spans="1:8" x14ac:dyDescent="0.25">
      <c r="A248" s="40" t="s">
        <v>38</v>
      </c>
      <c r="B248" s="34">
        <v>610340</v>
      </c>
      <c r="C248" s="35">
        <v>41132</v>
      </c>
      <c r="D248" s="41">
        <v>478</v>
      </c>
      <c r="E248" s="41">
        <v>13</v>
      </c>
      <c r="F248" s="41">
        <v>3513</v>
      </c>
      <c r="G248" s="41">
        <v>0</v>
      </c>
      <c r="H248" s="41">
        <v>0</v>
      </c>
    </row>
    <row r="249" spans="1:8" x14ac:dyDescent="0.25">
      <c r="A249" s="40" t="s">
        <v>38</v>
      </c>
      <c r="B249" s="34">
        <v>610340</v>
      </c>
      <c r="C249" s="35">
        <v>41132</v>
      </c>
      <c r="D249" s="41">
        <v>481</v>
      </c>
      <c r="E249" s="41">
        <v>0</v>
      </c>
      <c r="F249" s="41">
        <v>0</v>
      </c>
      <c r="G249" s="41">
        <v>0</v>
      </c>
      <c r="H249" s="41">
        <v>0</v>
      </c>
    </row>
    <row r="250" spans="1:8" x14ac:dyDescent="0.25">
      <c r="A250" s="40" t="s">
        <v>38</v>
      </c>
      <c r="B250" s="34">
        <v>610340</v>
      </c>
      <c r="C250" s="35">
        <v>41132</v>
      </c>
      <c r="D250" s="41">
        <v>790</v>
      </c>
      <c r="E250" s="41">
        <v>0</v>
      </c>
      <c r="F250" s="41">
        <v>0</v>
      </c>
      <c r="G250" s="41">
        <v>0</v>
      </c>
      <c r="H250" s="41">
        <v>0</v>
      </c>
    </row>
    <row r="251" spans="1:8" x14ac:dyDescent="0.25">
      <c r="A251" s="40" t="s">
        <v>38</v>
      </c>
      <c r="B251" s="34">
        <v>610340</v>
      </c>
      <c r="C251" s="35">
        <v>41134</v>
      </c>
      <c r="D251" s="41">
        <v>85</v>
      </c>
      <c r="E251" s="41">
        <v>0</v>
      </c>
      <c r="F251" s="41">
        <v>0</v>
      </c>
      <c r="G251" s="41">
        <v>0</v>
      </c>
      <c r="H251" s="41">
        <v>0</v>
      </c>
    </row>
    <row r="252" spans="1:8" x14ac:dyDescent="0.25">
      <c r="A252" s="40" t="s">
        <v>38</v>
      </c>
      <c r="B252" s="34">
        <v>610340</v>
      </c>
      <c r="C252" s="35">
        <v>41134</v>
      </c>
      <c r="D252" s="41">
        <v>477</v>
      </c>
      <c r="E252" s="41">
        <v>44</v>
      </c>
      <c r="F252" s="41">
        <v>12052</v>
      </c>
      <c r="G252" s="41">
        <v>26</v>
      </c>
      <c r="H252" s="41">
        <v>0</v>
      </c>
    </row>
    <row r="253" spans="1:8" x14ac:dyDescent="0.25">
      <c r="A253" s="40" t="s">
        <v>38</v>
      </c>
      <c r="B253" s="34">
        <v>610340</v>
      </c>
      <c r="C253" s="35">
        <v>41134</v>
      </c>
      <c r="D253" s="41">
        <v>478</v>
      </c>
      <c r="E253" s="41">
        <v>21</v>
      </c>
      <c r="F253" s="41">
        <v>6625</v>
      </c>
      <c r="G253" s="41">
        <v>0</v>
      </c>
      <c r="H253" s="41">
        <v>3</v>
      </c>
    </row>
    <row r="254" spans="1:8" x14ac:dyDescent="0.25">
      <c r="A254" s="40" t="s">
        <v>38</v>
      </c>
      <c r="B254" s="34">
        <v>610340</v>
      </c>
      <c r="C254" s="35">
        <v>41134</v>
      </c>
      <c r="D254" s="41">
        <v>481</v>
      </c>
      <c r="E254" s="41">
        <v>0</v>
      </c>
      <c r="F254" s="41">
        <v>0</v>
      </c>
      <c r="G254" s="41">
        <v>0</v>
      </c>
      <c r="H254" s="41">
        <v>0</v>
      </c>
    </row>
    <row r="255" spans="1:8" x14ac:dyDescent="0.25">
      <c r="A255" s="40" t="s">
        <v>38</v>
      </c>
      <c r="B255" s="34">
        <v>610340</v>
      </c>
      <c r="C255" s="35">
        <v>41134</v>
      </c>
      <c r="D255" s="41">
        <v>790</v>
      </c>
      <c r="E255" s="41">
        <v>0</v>
      </c>
      <c r="F255" s="41">
        <v>0</v>
      </c>
      <c r="G255" s="41">
        <v>0</v>
      </c>
      <c r="H255" s="41">
        <v>0</v>
      </c>
    </row>
    <row r="256" spans="1:8" x14ac:dyDescent="0.25">
      <c r="A256" s="40" t="s">
        <v>38</v>
      </c>
      <c r="B256" s="34">
        <v>610340</v>
      </c>
      <c r="C256" s="35">
        <v>41135</v>
      </c>
      <c r="D256" s="41">
        <v>85</v>
      </c>
      <c r="E256" s="41">
        <v>0</v>
      </c>
      <c r="F256" s="41">
        <v>0</v>
      </c>
      <c r="G256" s="41">
        <v>0</v>
      </c>
      <c r="H256" s="41">
        <v>0</v>
      </c>
    </row>
    <row r="257" spans="1:8" x14ac:dyDescent="0.25">
      <c r="A257" s="40" t="s">
        <v>38</v>
      </c>
      <c r="B257" s="34">
        <v>610340</v>
      </c>
      <c r="C257" s="35">
        <v>41135</v>
      </c>
      <c r="D257" s="41">
        <v>466</v>
      </c>
      <c r="E257" s="41">
        <v>1</v>
      </c>
      <c r="F257" s="41">
        <v>74</v>
      </c>
      <c r="G257" s="41">
        <v>0</v>
      </c>
      <c r="H257" s="41">
        <v>0</v>
      </c>
    </row>
    <row r="258" spans="1:8" x14ac:dyDescent="0.25">
      <c r="A258" s="40" t="s">
        <v>38</v>
      </c>
      <c r="B258" s="34">
        <v>610340</v>
      </c>
      <c r="C258" s="35">
        <v>41135</v>
      </c>
      <c r="D258" s="41">
        <v>467</v>
      </c>
      <c r="E258" s="41">
        <v>0</v>
      </c>
      <c r="F258" s="41">
        <v>0</v>
      </c>
      <c r="G258" s="41">
        <v>0</v>
      </c>
      <c r="H258" s="41">
        <v>0</v>
      </c>
    </row>
    <row r="259" spans="1:8" x14ac:dyDescent="0.25">
      <c r="A259" s="40" t="s">
        <v>38</v>
      </c>
      <c r="B259" s="34">
        <v>610340</v>
      </c>
      <c r="C259" s="35">
        <v>41135</v>
      </c>
      <c r="D259" s="41">
        <v>477</v>
      </c>
      <c r="E259" s="41">
        <v>25</v>
      </c>
      <c r="F259" s="41">
        <v>7853</v>
      </c>
      <c r="G259" s="41">
        <v>8</v>
      </c>
      <c r="H259" s="41">
        <v>0</v>
      </c>
    </row>
    <row r="260" spans="1:8" x14ac:dyDescent="0.25">
      <c r="A260" s="40" t="s">
        <v>38</v>
      </c>
      <c r="B260" s="34">
        <v>610340</v>
      </c>
      <c r="C260" s="35">
        <v>41135</v>
      </c>
      <c r="D260" s="41">
        <v>478</v>
      </c>
      <c r="E260" s="41">
        <v>34</v>
      </c>
      <c r="F260" s="41">
        <v>9567</v>
      </c>
      <c r="G260" s="41">
        <v>8</v>
      </c>
      <c r="H260" s="41">
        <v>0</v>
      </c>
    </row>
    <row r="261" spans="1:8" x14ac:dyDescent="0.25">
      <c r="A261" s="40" t="s">
        <v>38</v>
      </c>
      <c r="B261" s="34">
        <v>610340</v>
      </c>
      <c r="C261" s="35">
        <v>41135</v>
      </c>
      <c r="D261" s="41">
        <v>481</v>
      </c>
      <c r="E261" s="41">
        <v>0</v>
      </c>
      <c r="F261" s="41">
        <v>0</v>
      </c>
      <c r="G261" s="41">
        <v>0</v>
      </c>
      <c r="H261" s="41">
        <v>0</v>
      </c>
    </row>
    <row r="262" spans="1:8" x14ac:dyDescent="0.25">
      <c r="A262" s="40" t="s">
        <v>38</v>
      </c>
      <c r="B262" s="34">
        <v>610340</v>
      </c>
      <c r="C262" s="35">
        <v>41135</v>
      </c>
      <c r="D262" s="41">
        <v>790</v>
      </c>
      <c r="E262" s="41">
        <v>0</v>
      </c>
      <c r="F262" s="41">
        <v>0</v>
      </c>
      <c r="G262" s="41">
        <v>0</v>
      </c>
      <c r="H262" s="41">
        <v>0</v>
      </c>
    </row>
    <row r="263" spans="1:8" x14ac:dyDescent="0.25">
      <c r="A263" s="40" t="s">
        <v>38</v>
      </c>
      <c r="B263" s="34">
        <v>610340</v>
      </c>
      <c r="C263" s="35">
        <v>41136</v>
      </c>
      <c r="D263" s="41">
        <v>85</v>
      </c>
      <c r="E263" s="41">
        <v>0</v>
      </c>
      <c r="F263" s="41">
        <v>0</v>
      </c>
      <c r="G263" s="41">
        <v>0</v>
      </c>
      <c r="H263" s="41">
        <v>0</v>
      </c>
    </row>
    <row r="264" spans="1:8" x14ac:dyDescent="0.25">
      <c r="A264" s="40" t="s">
        <v>38</v>
      </c>
      <c r="B264" s="34">
        <v>610340</v>
      </c>
      <c r="C264" s="35">
        <v>41136</v>
      </c>
      <c r="D264" s="41">
        <v>465</v>
      </c>
      <c r="E264" s="41">
        <v>0</v>
      </c>
      <c r="F264" s="41">
        <v>0</v>
      </c>
      <c r="G264" s="41">
        <v>0</v>
      </c>
      <c r="H264" s="41">
        <v>0</v>
      </c>
    </row>
    <row r="265" spans="1:8" x14ac:dyDescent="0.25">
      <c r="A265" s="40" t="s">
        <v>38</v>
      </c>
      <c r="B265" s="34">
        <v>610340</v>
      </c>
      <c r="C265" s="35">
        <v>41136</v>
      </c>
      <c r="D265" s="41">
        <v>466</v>
      </c>
      <c r="E265" s="41">
        <v>0</v>
      </c>
      <c r="F265" s="41">
        <v>0</v>
      </c>
      <c r="G265" s="41">
        <v>0</v>
      </c>
      <c r="H265" s="41">
        <v>0</v>
      </c>
    </row>
    <row r="266" spans="1:8" x14ac:dyDescent="0.25">
      <c r="A266" s="40" t="s">
        <v>38</v>
      </c>
      <c r="B266" s="34">
        <v>610340</v>
      </c>
      <c r="C266" s="35">
        <v>41136</v>
      </c>
      <c r="D266" s="41">
        <v>467</v>
      </c>
      <c r="E266" s="41">
        <v>0</v>
      </c>
      <c r="F266" s="41">
        <v>0</v>
      </c>
      <c r="G266" s="41">
        <v>0</v>
      </c>
      <c r="H266" s="41">
        <v>0</v>
      </c>
    </row>
    <row r="267" spans="1:8" x14ac:dyDescent="0.25">
      <c r="A267" s="40" t="s">
        <v>38</v>
      </c>
      <c r="B267" s="34">
        <v>610340</v>
      </c>
      <c r="C267" s="35">
        <v>41136</v>
      </c>
      <c r="D267" s="41">
        <v>477</v>
      </c>
      <c r="E267" s="41">
        <v>1</v>
      </c>
      <c r="F267" s="41">
        <v>128</v>
      </c>
      <c r="G267" s="41">
        <v>0</v>
      </c>
      <c r="H267" s="41">
        <v>0</v>
      </c>
    </row>
    <row r="268" spans="1:8" x14ac:dyDescent="0.25">
      <c r="A268" s="40" t="s">
        <v>38</v>
      </c>
      <c r="B268" s="34">
        <v>610340</v>
      </c>
      <c r="C268" s="35">
        <v>41136</v>
      </c>
      <c r="D268" s="41">
        <v>478</v>
      </c>
      <c r="E268" s="41">
        <v>9</v>
      </c>
      <c r="F268" s="41">
        <v>2405</v>
      </c>
      <c r="G268" s="41">
        <v>0</v>
      </c>
      <c r="H268" s="41">
        <v>0</v>
      </c>
    </row>
    <row r="269" spans="1:8" x14ac:dyDescent="0.25">
      <c r="A269" s="40" t="s">
        <v>38</v>
      </c>
      <c r="B269" s="34">
        <v>610340</v>
      </c>
      <c r="C269" s="35">
        <v>41136</v>
      </c>
      <c r="D269" s="41">
        <v>480</v>
      </c>
      <c r="E269" s="41">
        <v>17</v>
      </c>
      <c r="F269" s="41">
        <v>5602</v>
      </c>
      <c r="G269" s="41">
        <v>0</v>
      </c>
      <c r="H269" s="41">
        <v>0</v>
      </c>
    </row>
    <row r="270" spans="1:8" x14ac:dyDescent="0.25">
      <c r="A270" s="40" t="s">
        <v>38</v>
      </c>
      <c r="B270" s="34">
        <v>610340</v>
      </c>
      <c r="C270" s="35">
        <v>41136</v>
      </c>
      <c r="D270" s="41">
        <v>481</v>
      </c>
      <c r="E270" s="41">
        <v>5</v>
      </c>
      <c r="F270" s="41">
        <v>1748</v>
      </c>
      <c r="G270" s="41">
        <v>0</v>
      </c>
      <c r="H270" s="41">
        <v>0</v>
      </c>
    </row>
    <row r="271" spans="1:8" x14ac:dyDescent="0.25">
      <c r="A271" s="40" t="s">
        <v>38</v>
      </c>
      <c r="B271" s="34">
        <v>610340</v>
      </c>
      <c r="C271" s="35">
        <v>41136</v>
      </c>
      <c r="D271" s="41">
        <v>482</v>
      </c>
      <c r="E271" s="41">
        <v>32</v>
      </c>
      <c r="F271" s="41">
        <v>9071</v>
      </c>
      <c r="G271" s="41">
        <v>0</v>
      </c>
      <c r="H271" s="41">
        <v>0</v>
      </c>
    </row>
    <row r="272" spans="1:8" x14ac:dyDescent="0.25">
      <c r="A272" s="40" t="s">
        <v>38</v>
      </c>
      <c r="B272" s="34">
        <v>610340</v>
      </c>
      <c r="C272" s="35">
        <v>41136</v>
      </c>
      <c r="D272" s="41">
        <v>790</v>
      </c>
      <c r="E272" s="41">
        <v>0</v>
      </c>
      <c r="F272" s="41">
        <v>0</v>
      </c>
      <c r="G272" s="41">
        <v>0</v>
      </c>
      <c r="H272" s="41">
        <v>0</v>
      </c>
    </row>
    <row r="273" spans="1:8" x14ac:dyDescent="0.25">
      <c r="A273" s="40" t="s">
        <v>38</v>
      </c>
      <c r="B273" s="34">
        <v>610340</v>
      </c>
      <c r="C273" s="35">
        <v>41137</v>
      </c>
      <c r="D273" s="41">
        <v>85</v>
      </c>
      <c r="E273" s="41">
        <v>0</v>
      </c>
      <c r="F273" s="41">
        <v>0</v>
      </c>
      <c r="G273" s="41">
        <v>0</v>
      </c>
      <c r="H273" s="41">
        <v>0</v>
      </c>
    </row>
    <row r="274" spans="1:8" x14ac:dyDescent="0.25">
      <c r="A274" s="40" t="s">
        <v>38</v>
      </c>
      <c r="B274" s="34">
        <v>610340</v>
      </c>
      <c r="C274" s="35">
        <v>41137</v>
      </c>
      <c r="D274" s="41">
        <v>465</v>
      </c>
      <c r="E274" s="41">
        <v>0</v>
      </c>
      <c r="F274" s="41">
        <v>0</v>
      </c>
      <c r="G274" s="41">
        <v>0</v>
      </c>
      <c r="H274" s="41">
        <v>0</v>
      </c>
    </row>
    <row r="275" spans="1:8" x14ac:dyDescent="0.25">
      <c r="A275" s="40" t="s">
        <v>38</v>
      </c>
      <c r="B275" s="34">
        <v>610340</v>
      </c>
      <c r="C275" s="35">
        <v>41137</v>
      </c>
      <c r="D275" s="41">
        <v>466</v>
      </c>
      <c r="E275" s="41">
        <v>47</v>
      </c>
      <c r="F275" s="41">
        <v>13418</v>
      </c>
      <c r="G275" s="41">
        <v>18</v>
      </c>
      <c r="H275" s="41">
        <v>0</v>
      </c>
    </row>
    <row r="276" spans="1:8" x14ac:dyDescent="0.25">
      <c r="A276" s="40" t="s">
        <v>38</v>
      </c>
      <c r="B276" s="34">
        <v>610340</v>
      </c>
      <c r="C276" s="35">
        <v>41137</v>
      </c>
      <c r="D276" s="41">
        <v>467</v>
      </c>
      <c r="E276" s="41">
        <v>0</v>
      </c>
      <c r="F276" s="41">
        <v>0</v>
      </c>
      <c r="G276" s="41">
        <v>0</v>
      </c>
      <c r="H276" s="41">
        <v>0</v>
      </c>
    </row>
    <row r="277" spans="1:8" x14ac:dyDescent="0.25">
      <c r="A277" s="40" t="s">
        <v>38</v>
      </c>
      <c r="B277" s="34">
        <v>610340</v>
      </c>
      <c r="C277" s="35">
        <v>41137</v>
      </c>
      <c r="D277" s="41">
        <v>477</v>
      </c>
      <c r="E277" s="41">
        <v>17</v>
      </c>
      <c r="F277" s="41">
        <v>4369</v>
      </c>
      <c r="G277" s="41">
        <v>4</v>
      </c>
      <c r="H277" s="41">
        <v>0</v>
      </c>
    </row>
    <row r="278" spans="1:8" x14ac:dyDescent="0.25">
      <c r="A278" s="40" t="s">
        <v>38</v>
      </c>
      <c r="B278" s="34">
        <v>610340</v>
      </c>
      <c r="C278" s="35">
        <v>41137</v>
      </c>
      <c r="D278" s="41">
        <v>478</v>
      </c>
      <c r="E278" s="41">
        <v>2</v>
      </c>
      <c r="F278" s="41">
        <v>412</v>
      </c>
      <c r="G278" s="41">
        <v>3</v>
      </c>
      <c r="H278" s="41">
        <v>0</v>
      </c>
    </row>
    <row r="279" spans="1:8" x14ac:dyDescent="0.25">
      <c r="A279" s="40" t="s">
        <v>38</v>
      </c>
      <c r="B279" s="34">
        <v>610340</v>
      </c>
      <c r="C279" s="35">
        <v>41137</v>
      </c>
      <c r="D279" s="41">
        <v>480</v>
      </c>
      <c r="E279" s="41">
        <v>3</v>
      </c>
      <c r="F279" s="41">
        <v>849</v>
      </c>
      <c r="G279" s="41">
        <v>0</v>
      </c>
      <c r="H279" s="41">
        <v>0</v>
      </c>
    </row>
    <row r="280" spans="1:8" x14ac:dyDescent="0.25">
      <c r="A280" s="40" t="s">
        <v>38</v>
      </c>
      <c r="B280" s="34">
        <v>610340</v>
      </c>
      <c r="C280" s="35">
        <v>41137</v>
      </c>
      <c r="D280" s="41">
        <v>481</v>
      </c>
      <c r="E280" s="41">
        <v>0</v>
      </c>
      <c r="F280" s="41">
        <v>0</v>
      </c>
      <c r="G280" s="41">
        <v>0</v>
      </c>
      <c r="H280" s="41">
        <v>0</v>
      </c>
    </row>
    <row r="281" spans="1:8" x14ac:dyDescent="0.25">
      <c r="A281" s="40" t="s">
        <v>38</v>
      </c>
      <c r="B281" s="34">
        <v>610340</v>
      </c>
      <c r="C281" s="35">
        <v>41137</v>
      </c>
      <c r="D281" s="41">
        <v>482</v>
      </c>
      <c r="E281" s="41">
        <v>4</v>
      </c>
      <c r="F281" s="41">
        <v>618</v>
      </c>
      <c r="G281" s="41">
        <v>0</v>
      </c>
      <c r="H281" s="41">
        <v>0</v>
      </c>
    </row>
    <row r="282" spans="1:8" x14ac:dyDescent="0.25">
      <c r="A282" s="40" t="s">
        <v>38</v>
      </c>
      <c r="B282" s="34">
        <v>610340</v>
      </c>
      <c r="C282" s="35">
        <v>41137</v>
      </c>
      <c r="D282" s="41">
        <v>790</v>
      </c>
      <c r="E282" s="41">
        <v>0</v>
      </c>
      <c r="F282" s="41">
        <v>0</v>
      </c>
      <c r="G282" s="41">
        <v>0</v>
      </c>
      <c r="H282" s="41">
        <v>0</v>
      </c>
    </row>
    <row r="283" spans="1:8" x14ac:dyDescent="0.25">
      <c r="A283" s="40" t="s">
        <v>38</v>
      </c>
      <c r="B283" s="34">
        <v>610340</v>
      </c>
      <c r="C283" s="35">
        <v>41138</v>
      </c>
      <c r="D283" s="41">
        <v>85</v>
      </c>
      <c r="E283" s="41">
        <v>0</v>
      </c>
      <c r="F283" s="41">
        <v>0</v>
      </c>
      <c r="G283" s="41">
        <v>0</v>
      </c>
      <c r="H283" s="41">
        <v>0</v>
      </c>
    </row>
    <row r="284" spans="1:8" x14ac:dyDescent="0.25">
      <c r="A284" s="40" t="s">
        <v>38</v>
      </c>
      <c r="B284" s="34">
        <v>610340</v>
      </c>
      <c r="C284" s="35">
        <v>41138</v>
      </c>
      <c r="D284" s="41">
        <v>465</v>
      </c>
      <c r="E284" s="41">
        <v>0</v>
      </c>
      <c r="F284" s="41">
        <v>0</v>
      </c>
      <c r="G284" s="41">
        <v>0</v>
      </c>
      <c r="H284" s="41">
        <v>0</v>
      </c>
    </row>
    <row r="285" spans="1:8" x14ac:dyDescent="0.25">
      <c r="A285" s="40" t="s">
        <v>38</v>
      </c>
      <c r="B285" s="34">
        <v>610340</v>
      </c>
      <c r="C285" s="35">
        <v>41138</v>
      </c>
      <c r="D285" s="41">
        <v>466</v>
      </c>
      <c r="E285" s="41">
        <v>30</v>
      </c>
      <c r="F285" s="41">
        <v>8022</v>
      </c>
      <c r="G285" s="41">
        <v>16</v>
      </c>
      <c r="H285" s="41">
        <v>0</v>
      </c>
    </row>
    <row r="286" spans="1:8" x14ac:dyDescent="0.25">
      <c r="A286" s="40" t="s">
        <v>38</v>
      </c>
      <c r="B286" s="34">
        <v>610340</v>
      </c>
      <c r="C286" s="35">
        <v>41138</v>
      </c>
      <c r="D286" s="41">
        <v>467</v>
      </c>
      <c r="E286" s="41">
        <v>0</v>
      </c>
      <c r="F286" s="41">
        <v>0</v>
      </c>
      <c r="G286" s="41">
        <v>0</v>
      </c>
      <c r="H286" s="41">
        <v>0</v>
      </c>
    </row>
    <row r="287" spans="1:8" x14ac:dyDescent="0.25">
      <c r="A287" s="40" t="s">
        <v>38</v>
      </c>
      <c r="B287" s="34">
        <v>610340</v>
      </c>
      <c r="C287" s="35">
        <v>41138</v>
      </c>
      <c r="D287" s="41">
        <v>477</v>
      </c>
      <c r="E287" s="41">
        <v>19</v>
      </c>
      <c r="F287" s="41">
        <v>4495</v>
      </c>
      <c r="G287" s="41">
        <v>7</v>
      </c>
      <c r="H287" s="41">
        <v>11</v>
      </c>
    </row>
    <row r="288" spans="1:8" x14ac:dyDescent="0.25">
      <c r="A288" s="40" t="s">
        <v>38</v>
      </c>
      <c r="B288" s="34">
        <v>610340</v>
      </c>
      <c r="C288" s="35">
        <v>41138</v>
      </c>
      <c r="D288" s="41">
        <v>478</v>
      </c>
      <c r="E288" s="41">
        <v>3</v>
      </c>
      <c r="F288" s="41">
        <v>443</v>
      </c>
      <c r="G288" s="41">
        <v>11</v>
      </c>
      <c r="H288" s="41">
        <v>0</v>
      </c>
    </row>
    <row r="289" spans="1:8" x14ac:dyDescent="0.25">
      <c r="A289" s="40" t="s">
        <v>38</v>
      </c>
      <c r="B289" s="34">
        <v>610340</v>
      </c>
      <c r="C289" s="35">
        <v>41138</v>
      </c>
      <c r="D289" s="41">
        <v>480</v>
      </c>
      <c r="E289" s="41">
        <v>8</v>
      </c>
      <c r="F289" s="41">
        <v>1790</v>
      </c>
      <c r="G289" s="41">
        <v>0</v>
      </c>
      <c r="H289" s="41">
        <v>0</v>
      </c>
    </row>
    <row r="290" spans="1:8" x14ac:dyDescent="0.25">
      <c r="A290" s="40" t="s">
        <v>38</v>
      </c>
      <c r="B290" s="34">
        <v>610340</v>
      </c>
      <c r="C290" s="35">
        <v>41138</v>
      </c>
      <c r="D290" s="41">
        <v>481</v>
      </c>
      <c r="E290" s="41">
        <v>0</v>
      </c>
      <c r="F290" s="41">
        <v>0</v>
      </c>
      <c r="G290" s="41">
        <v>0</v>
      </c>
      <c r="H290" s="41">
        <v>0</v>
      </c>
    </row>
    <row r="291" spans="1:8" x14ac:dyDescent="0.25">
      <c r="A291" s="40" t="s">
        <v>38</v>
      </c>
      <c r="B291" s="34">
        <v>610340</v>
      </c>
      <c r="C291" s="35">
        <v>41138</v>
      </c>
      <c r="D291" s="41">
        <v>482</v>
      </c>
      <c r="E291" s="41">
        <v>11</v>
      </c>
      <c r="F291" s="41">
        <v>1918</v>
      </c>
      <c r="G291" s="41">
        <v>1</v>
      </c>
      <c r="H291" s="41">
        <v>0</v>
      </c>
    </row>
    <row r="292" spans="1:8" x14ac:dyDescent="0.25">
      <c r="A292" s="40" t="s">
        <v>38</v>
      </c>
      <c r="B292" s="34">
        <v>610340</v>
      </c>
      <c r="C292" s="35">
        <v>41138</v>
      </c>
      <c r="D292" s="41">
        <v>790</v>
      </c>
      <c r="E292" s="41">
        <v>0</v>
      </c>
      <c r="F292" s="41">
        <v>0</v>
      </c>
      <c r="G292" s="41">
        <v>0</v>
      </c>
      <c r="H292" s="41">
        <v>0</v>
      </c>
    </row>
    <row r="293" spans="1:8" x14ac:dyDescent="0.25">
      <c r="A293" s="40" t="s">
        <v>38</v>
      </c>
      <c r="B293" s="34">
        <v>610340</v>
      </c>
      <c r="C293" s="35">
        <v>41139</v>
      </c>
      <c r="D293" s="41">
        <v>465</v>
      </c>
      <c r="E293" s="41">
        <v>0</v>
      </c>
      <c r="F293" s="41">
        <v>0</v>
      </c>
      <c r="G293" s="41">
        <v>0</v>
      </c>
      <c r="H293" s="41">
        <v>0</v>
      </c>
    </row>
    <row r="294" spans="1:8" x14ac:dyDescent="0.25">
      <c r="A294" s="40" t="s">
        <v>38</v>
      </c>
      <c r="B294" s="34">
        <v>610340</v>
      </c>
      <c r="C294" s="35">
        <v>41139</v>
      </c>
      <c r="D294" s="41">
        <v>467</v>
      </c>
      <c r="E294" s="41">
        <v>0</v>
      </c>
      <c r="F294" s="41">
        <v>0</v>
      </c>
      <c r="G294" s="41">
        <v>0</v>
      </c>
      <c r="H294" s="41">
        <v>0</v>
      </c>
    </row>
    <row r="295" spans="1:8" x14ac:dyDescent="0.25">
      <c r="A295" s="40" t="s">
        <v>38</v>
      </c>
      <c r="B295" s="34">
        <v>610340</v>
      </c>
      <c r="C295" s="35">
        <v>41139</v>
      </c>
      <c r="D295" s="41">
        <v>478</v>
      </c>
      <c r="E295" s="41">
        <v>8</v>
      </c>
      <c r="F295" s="41">
        <v>1907</v>
      </c>
      <c r="G295" s="41">
        <v>2</v>
      </c>
      <c r="H295" s="41">
        <v>0</v>
      </c>
    </row>
    <row r="296" spans="1:8" x14ac:dyDescent="0.25">
      <c r="A296" s="40" t="s">
        <v>38</v>
      </c>
      <c r="B296" s="34">
        <v>610340</v>
      </c>
      <c r="C296" s="35">
        <v>41139</v>
      </c>
      <c r="D296" s="41">
        <v>480</v>
      </c>
      <c r="E296" s="41">
        <v>6</v>
      </c>
      <c r="F296" s="41">
        <v>1379</v>
      </c>
      <c r="G296" s="41">
        <v>0</v>
      </c>
      <c r="H296" s="41">
        <v>5</v>
      </c>
    </row>
    <row r="297" spans="1:8" x14ac:dyDescent="0.25">
      <c r="A297" s="40" t="s">
        <v>38</v>
      </c>
      <c r="B297" s="34">
        <v>610340</v>
      </c>
      <c r="C297" s="35">
        <v>41139</v>
      </c>
      <c r="D297" s="41">
        <v>481</v>
      </c>
      <c r="E297" s="41">
        <v>0</v>
      </c>
      <c r="F297" s="41">
        <v>0</v>
      </c>
      <c r="G297" s="41">
        <v>0</v>
      </c>
      <c r="H297" s="41">
        <v>0</v>
      </c>
    </row>
    <row r="298" spans="1:8" x14ac:dyDescent="0.25">
      <c r="A298" s="40" t="s">
        <v>38</v>
      </c>
      <c r="B298" s="34">
        <v>610340</v>
      </c>
      <c r="C298" s="35">
        <v>41139</v>
      </c>
      <c r="D298" s="41">
        <v>482</v>
      </c>
      <c r="E298" s="41">
        <v>37</v>
      </c>
      <c r="F298" s="41">
        <v>9352</v>
      </c>
      <c r="G298" s="41">
        <v>6</v>
      </c>
      <c r="H298" s="41">
        <v>0</v>
      </c>
    </row>
    <row r="299" spans="1:8" x14ac:dyDescent="0.25">
      <c r="A299" s="40" t="s">
        <v>38</v>
      </c>
      <c r="B299" s="34">
        <v>610340</v>
      </c>
      <c r="C299" s="35">
        <v>41139</v>
      </c>
      <c r="D299" s="41">
        <v>790</v>
      </c>
      <c r="E299" s="41">
        <v>0</v>
      </c>
      <c r="F299" s="41">
        <v>0</v>
      </c>
      <c r="G299" s="41">
        <v>0</v>
      </c>
      <c r="H299" s="41">
        <v>0</v>
      </c>
    </row>
    <row r="300" spans="1:8" x14ac:dyDescent="0.25">
      <c r="A300" s="40" t="s">
        <v>38</v>
      </c>
      <c r="B300" s="34">
        <v>610340</v>
      </c>
      <c r="C300" s="35">
        <v>41141</v>
      </c>
      <c r="D300" s="41">
        <v>85</v>
      </c>
      <c r="E300" s="41">
        <v>0</v>
      </c>
      <c r="F300" s="41">
        <v>0</v>
      </c>
      <c r="G300" s="41">
        <v>0</v>
      </c>
      <c r="H300" s="41">
        <v>0</v>
      </c>
    </row>
    <row r="301" spans="1:8" x14ac:dyDescent="0.25">
      <c r="A301" s="40" t="s">
        <v>38</v>
      </c>
      <c r="B301" s="34">
        <v>610340</v>
      </c>
      <c r="C301" s="35">
        <v>41141</v>
      </c>
      <c r="D301" s="41">
        <v>465</v>
      </c>
      <c r="E301" s="41">
        <v>0</v>
      </c>
      <c r="F301" s="41">
        <v>0</v>
      </c>
      <c r="G301" s="41">
        <v>0</v>
      </c>
      <c r="H301" s="41">
        <v>0</v>
      </c>
    </row>
    <row r="302" spans="1:8" x14ac:dyDescent="0.25">
      <c r="A302" s="40" t="s">
        <v>38</v>
      </c>
      <c r="B302" s="34">
        <v>610340</v>
      </c>
      <c r="C302" s="35">
        <v>41141</v>
      </c>
      <c r="D302" s="41">
        <v>466</v>
      </c>
      <c r="E302" s="41">
        <v>40</v>
      </c>
      <c r="F302" s="41">
        <v>7844</v>
      </c>
      <c r="G302" s="41">
        <v>9</v>
      </c>
      <c r="H302" s="41">
        <v>0</v>
      </c>
    </row>
    <row r="303" spans="1:8" x14ac:dyDescent="0.25">
      <c r="A303" s="40" t="s">
        <v>38</v>
      </c>
      <c r="B303" s="34">
        <v>610340</v>
      </c>
      <c r="C303" s="35">
        <v>41141</v>
      </c>
      <c r="D303" s="41">
        <v>467</v>
      </c>
      <c r="E303" s="41">
        <v>0</v>
      </c>
      <c r="F303" s="41">
        <v>0</v>
      </c>
      <c r="G303" s="41">
        <v>0</v>
      </c>
      <c r="H303" s="41">
        <v>0</v>
      </c>
    </row>
    <row r="304" spans="1:8" x14ac:dyDescent="0.25">
      <c r="A304" s="40" t="s">
        <v>38</v>
      </c>
      <c r="B304" s="34">
        <v>610340</v>
      </c>
      <c r="C304" s="35">
        <v>41141</v>
      </c>
      <c r="D304" s="41">
        <v>477</v>
      </c>
      <c r="E304" s="41">
        <v>26</v>
      </c>
      <c r="F304" s="41">
        <v>5618</v>
      </c>
      <c r="G304" s="41">
        <v>12</v>
      </c>
      <c r="H304" s="41">
        <v>0</v>
      </c>
    </row>
    <row r="305" spans="1:8" x14ac:dyDescent="0.25">
      <c r="A305" s="40" t="s">
        <v>38</v>
      </c>
      <c r="B305" s="34">
        <v>610340</v>
      </c>
      <c r="C305" s="35">
        <v>41141</v>
      </c>
      <c r="D305" s="41">
        <v>478</v>
      </c>
      <c r="E305" s="41">
        <v>2</v>
      </c>
      <c r="F305" s="41">
        <v>348</v>
      </c>
      <c r="G305" s="41">
        <v>5</v>
      </c>
      <c r="H305" s="41">
        <v>0</v>
      </c>
    </row>
    <row r="306" spans="1:8" x14ac:dyDescent="0.25">
      <c r="A306" s="40" t="s">
        <v>38</v>
      </c>
      <c r="B306" s="34">
        <v>610340</v>
      </c>
      <c r="C306" s="35">
        <v>41141</v>
      </c>
      <c r="D306" s="41">
        <v>480</v>
      </c>
      <c r="E306" s="41">
        <v>7</v>
      </c>
      <c r="F306" s="41">
        <v>1529</v>
      </c>
      <c r="G306" s="41">
        <v>0</v>
      </c>
      <c r="H306" s="41">
        <v>0</v>
      </c>
    </row>
    <row r="307" spans="1:8" x14ac:dyDescent="0.25">
      <c r="A307" s="40" t="s">
        <v>38</v>
      </c>
      <c r="B307" s="34">
        <v>610340</v>
      </c>
      <c r="C307" s="35">
        <v>41141</v>
      </c>
      <c r="D307" s="41">
        <v>481</v>
      </c>
      <c r="E307" s="41">
        <v>0</v>
      </c>
      <c r="F307" s="41">
        <v>0</v>
      </c>
      <c r="G307" s="41">
        <v>0</v>
      </c>
      <c r="H307" s="41">
        <v>0</v>
      </c>
    </row>
    <row r="308" spans="1:8" x14ac:dyDescent="0.25">
      <c r="A308" s="40" t="s">
        <v>38</v>
      </c>
      <c r="B308" s="34">
        <v>610340</v>
      </c>
      <c r="C308" s="35">
        <v>41141</v>
      </c>
      <c r="D308" s="41">
        <v>482</v>
      </c>
      <c r="E308" s="41">
        <v>12</v>
      </c>
      <c r="F308" s="41">
        <v>3139</v>
      </c>
      <c r="G308" s="41">
        <v>2</v>
      </c>
      <c r="H308" s="41">
        <v>0</v>
      </c>
    </row>
    <row r="309" spans="1:8" x14ac:dyDescent="0.25">
      <c r="A309" s="40" t="s">
        <v>38</v>
      </c>
      <c r="B309" s="34">
        <v>610340</v>
      </c>
      <c r="C309" s="35">
        <v>41141</v>
      </c>
      <c r="D309" s="41">
        <v>790</v>
      </c>
      <c r="E309" s="41">
        <v>0</v>
      </c>
      <c r="F309" s="41">
        <v>0</v>
      </c>
      <c r="G309" s="41">
        <v>0</v>
      </c>
      <c r="H309" s="41">
        <v>0</v>
      </c>
    </row>
    <row r="310" spans="1:8" x14ac:dyDescent="0.25">
      <c r="A310" s="40" t="s">
        <v>38</v>
      </c>
      <c r="B310" s="34">
        <v>610340</v>
      </c>
      <c r="C310" s="35">
        <v>41142</v>
      </c>
      <c r="D310" s="41">
        <v>85</v>
      </c>
      <c r="E310" s="41">
        <v>0</v>
      </c>
      <c r="F310" s="41">
        <v>0</v>
      </c>
      <c r="G310" s="41">
        <v>0</v>
      </c>
      <c r="H310" s="41">
        <v>0</v>
      </c>
    </row>
    <row r="311" spans="1:8" x14ac:dyDescent="0.25">
      <c r="A311" s="40" t="s">
        <v>38</v>
      </c>
      <c r="B311" s="34">
        <v>610340</v>
      </c>
      <c r="C311" s="35">
        <v>41142</v>
      </c>
      <c r="D311" s="41">
        <v>465</v>
      </c>
      <c r="E311" s="41">
        <v>0</v>
      </c>
      <c r="F311" s="41">
        <v>0</v>
      </c>
      <c r="G311" s="41">
        <v>0</v>
      </c>
      <c r="H311" s="41">
        <v>0</v>
      </c>
    </row>
    <row r="312" spans="1:8" x14ac:dyDescent="0.25">
      <c r="A312" s="40" t="s">
        <v>38</v>
      </c>
      <c r="B312" s="34">
        <v>610340</v>
      </c>
      <c r="C312" s="35">
        <v>41142</v>
      </c>
      <c r="D312" s="41">
        <v>466</v>
      </c>
      <c r="E312" s="41">
        <v>47</v>
      </c>
      <c r="F312" s="41">
        <v>8879</v>
      </c>
      <c r="G312" s="41">
        <v>7</v>
      </c>
      <c r="H312" s="41">
        <v>11</v>
      </c>
    </row>
    <row r="313" spans="1:8" x14ac:dyDescent="0.25">
      <c r="A313" s="40" t="s">
        <v>38</v>
      </c>
      <c r="B313" s="34">
        <v>610340</v>
      </c>
      <c r="C313" s="35">
        <v>41142</v>
      </c>
      <c r="D313" s="41">
        <v>467</v>
      </c>
      <c r="E313" s="41">
        <v>0</v>
      </c>
      <c r="F313" s="41">
        <v>0</v>
      </c>
      <c r="G313" s="41">
        <v>0</v>
      </c>
      <c r="H313" s="41">
        <v>0</v>
      </c>
    </row>
    <row r="314" spans="1:8" x14ac:dyDescent="0.25">
      <c r="A314" s="40" t="s">
        <v>38</v>
      </c>
      <c r="B314" s="34">
        <v>610340</v>
      </c>
      <c r="C314" s="35">
        <v>41142</v>
      </c>
      <c r="D314" s="41">
        <v>477</v>
      </c>
      <c r="E314" s="41">
        <v>23</v>
      </c>
      <c r="F314" s="41">
        <v>4632</v>
      </c>
      <c r="G314" s="41">
        <v>6</v>
      </c>
      <c r="H314" s="41">
        <v>5</v>
      </c>
    </row>
    <row r="315" spans="1:8" x14ac:dyDescent="0.25">
      <c r="A315" s="40" t="s">
        <v>38</v>
      </c>
      <c r="B315" s="34">
        <v>610340</v>
      </c>
      <c r="C315" s="35">
        <v>41142</v>
      </c>
      <c r="D315" s="41">
        <v>478</v>
      </c>
      <c r="E315" s="41">
        <v>1</v>
      </c>
      <c r="F315" s="41">
        <v>276</v>
      </c>
      <c r="G315" s="41">
        <v>0</v>
      </c>
      <c r="H315" s="41">
        <v>0</v>
      </c>
    </row>
    <row r="316" spans="1:8" x14ac:dyDescent="0.25">
      <c r="A316" s="40" t="s">
        <v>38</v>
      </c>
      <c r="B316" s="34">
        <v>610340</v>
      </c>
      <c r="C316" s="35">
        <v>41142</v>
      </c>
      <c r="D316" s="41">
        <v>480</v>
      </c>
      <c r="E316" s="41">
        <v>2</v>
      </c>
      <c r="F316" s="41">
        <v>378</v>
      </c>
      <c r="G316" s="41">
        <v>0</v>
      </c>
      <c r="H316" s="41">
        <v>0</v>
      </c>
    </row>
    <row r="317" spans="1:8" x14ac:dyDescent="0.25">
      <c r="A317" s="40" t="s">
        <v>38</v>
      </c>
      <c r="B317" s="34">
        <v>610340</v>
      </c>
      <c r="C317" s="35">
        <v>41142</v>
      </c>
      <c r="D317" s="41">
        <v>481</v>
      </c>
      <c r="E317" s="41">
        <v>0</v>
      </c>
      <c r="F317" s="41">
        <v>0</v>
      </c>
      <c r="G317" s="41">
        <v>0</v>
      </c>
      <c r="H317" s="41">
        <v>0</v>
      </c>
    </row>
    <row r="318" spans="1:8" x14ac:dyDescent="0.25">
      <c r="A318" s="40" t="s">
        <v>38</v>
      </c>
      <c r="B318" s="34">
        <v>610340</v>
      </c>
      <c r="C318" s="35">
        <v>41142</v>
      </c>
      <c r="D318" s="41">
        <v>482</v>
      </c>
      <c r="E318" s="41">
        <v>12</v>
      </c>
      <c r="F318" s="41">
        <v>2530</v>
      </c>
      <c r="G318" s="41">
        <v>0</v>
      </c>
      <c r="H318" s="41">
        <v>4</v>
      </c>
    </row>
    <row r="319" spans="1:8" x14ac:dyDescent="0.25">
      <c r="A319" s="40" t="s">
        <v>38</v>
      </c>
      <c r="B319" s="34">
        <v>610340</v>
      </c>
      <c r="C319" s="35">
        <v>41142</v>
      </c>
      <c r="D319" s="41">
        <v>790</v>
      </c>
      <c r="E319" s="41">
        <v>0</v>
      </c>
      <c r="F319" s="41">
        <v>0</v>
      </c>
      <c r="G319" s="41">
        <v>0</v>
      </c>
      <c r="H319" s="41">
        <v>0</v>
      </c>
    </row>
    <row r="320" spans="1:8" x14ac:dyDescent="0.25">
      <c r="A320" s="40" t="s">
        <v>38</v>
      </c>
      <c r="B320" s="34">
        <v>610340</v>
      </c>
      <c r="C320" s="35">
        <v>41143</v>
      </c>
      <c r="D320" s="41">
        <v>85</v>
      </c>
      <c r="E320" s="41">
        <v>0</v>
      </c>
      <c r="F320" s="41">
        <v>0</v>
      </c>
      <c r="G320" s="41">
        <v>0</v>
      </c>
      <c r="H320" s="41">
        <v>0</v>
      </c>
    </row>
    <row r="321" spans="1:8" x14ac:dyDescent="0.25">
      <c r="A321" s="40" t="s">
        <v>38</v>
      </c>
      <c r="B321" s="34">
        <v>610340</v>
      </c>
      <c r="C321" s="35">
        <v>41143</v>
      </c>
      <c r="D321" s="41">
        <v>465</v>
      </c>
      <c r="E321" s="41">
        <v>1</v>
      </c>
      <c r="F321" s="41">
        <v>718</v>
      </c>
      <c r="G321" s="41">
        <v>0</v>
      </c>
      <c r="H321" s="41">
        <v>0</v>
      </c>
    </row>
    <row r="322" spans="1:8" x14ac:dyDescent="0.25">
      <c r="A322" s="40" t="s">
        <v>38</v>
      </c>
      <c r="B322" s="34">
        <v>610340</v>
      </c>
      <c r="C322" s="35">
        <v>41143</v>
      </c>
      <c r="D322" s="41">
        <v>466</v>
      </c>
      <c r="E322" s="41">
        <v>31</v>
      </c>
      <c r="F322" s="41">
        <v>6101</v>
      </c>
      <c r="G322" s="41">
        <v>6</v>
      </c>
      <c r="H322" s="41">
        <v>0</v>
      </c>
    </row>
    <row r="323" spans="1:8" x14ac:dyDescent="0.25">
      <c r="A323" s="40" t="s">
        <v>38</v>
      </c>
      <c r="B323" s="34">
        <v>610340</v>
      </c>
      <c r="C323" s="35">
        <v>41143</v>
      </c>
      <c r="D323" s="41">
        <v>477</v>
      </c>
      <c r="E323" s="41">
        <v>25</v>
      </c>
      <c r="F323" s="41">
        <v>4783</v>
      </c>
      <c r="G323" s="41">
        <v>11</v>
      </c>
      <c r="H323" s="41">
        <v>0</v>
      </c>
    </row>
    <row r="324" spans="1:8" x14ac:dyDescent="0.25">
      <c r="A324" s="40" t="s">
        <v>38</v>
      </c>
      <c r="B324" s="34">
        <v>610340</v>
      </c>
      <c r="C324" s="35">
        <v>41143</v>
      </c>
      <c r="D324" s="41">
        <v>478</v>
      </c>
      <c r="E324" s="41">
        <v>2</v>
      </c>
      <c r="F324" s="41">
        <v>472</v>
      </c>
      <c r="G324" s="41">
        <v>0</v>
      </c>
      <c r="H324" s="41">
        <v>0</v>
      </c>
    </row>
    <row r="325" spans="1:8" x14ac:dyDescent="0.25">
      <c r="A325" s="40" t="s">
        <v>38</v>
      </c>
      <c r="B325" s="34">
        <v>610340</v>
      </c>
      <c r="C325" s="35">
        <v>41143</v>
      </c>
      <c r="D325" s="41">
        <v>480</v>
      </c>
      <c r="E325" s="41">
        <v>8</v>
      </c>
      <c r="F325" s="41">
        <v>1696</v>
      </c>
      <c r="G325" s="41">
        <v>0</v>
      </c>
      <c r="H325" s="41">
        <v>0</v>
      </c>
    </row>
    <row r="326" spans="1:8" x14ac:dyDescent="0.25">
      <c r="A326" s="40" t="s">
        <v>38</v>
      </c>
      <c r="B326" s="34">
        <v>610340</v>
      </c>
      <c r="C326" s="35">
        <v>41143</v>
      </c>
      <c r="D326" s="41">
        <v>481</v>
      </c>
      <c r="E326" s="41">
        <v>2</v>
      </c>
      <c r="F326" s="41">
        <v>423</v>
      </c>
      <c r="G326" s="41">
        <v>2</v>
      </c>
      <c r="H326" s="41">
        <v>0</v>
      </c>
    </row>
    <row r="327" spans="1:8" x14ac:dyDescent="0.25">
      <c r="A327" s="40" t="s">
        <v>38</v>
      </c>
      <c r="B327" s="34">
        <v>610340</v>
      </c>
      <c r="C327" s="35">
        <v>41143</v>
      </c>
      <c r="D327" s="41">
        <v>482</v>
      </c>
      <c r="E327" s="41">
        <v>12</v>
      </c>
      <c r="F327" s="41">
        <v>4333</v>
      </c>
      <c r="G327" s="41">
        <v>5</v>
      </c>
      <c r="H327" s="41">
        <v>0</v>
      </c>
    </row>
    <row r="328" spans="1:8" x14ac:dyDescent="0.25">
      <c r="A328" s="40" t="s">
        <v>38</v>
      </c>
      <c r="B328" s="34">
        <v>610340</v>
      </c>
      <c r="C328" s="35">
        <v>41143</v>
      </c>
      <c r="D328" s="41">
        <v>790</v>
      </c>
      <c r="E328" s="41">
        <v>0</v>
      </c>
      <c r="F328" s="41">
        <v>0</v>
      </c>
      <c r="G328" s="41">
        <v>0</v>
      </c>
      <c r="H328" s="41">
        <v>0</v>
      </c>
    </row>
    <row r="329" spans="1:8" x14ac:dyDescent="0.25">
      <c r="A329" s="40" t="s">
        <v>38</v>
      </c>
      <c r="B329" s="34">
        <v>610340</v>
      </c>
      <c r="C329" s="35">
        <v>41144</v>
      </c>
      <c r="D329" s="41">
        <v>85</v>
      </c>
      <c r="E329" s="41">
        <v>0</v>
      </c>
      <c r="F329" s="41">
        <v>0</v>
      </c>
      <c r="G329" s="41">
        <v>0</v>
      </c>
      <c r="H329" s="41">
        <v>0</v>
      </c>
    </row>
    <row r="330" spans="1:8" x14ac:dyDescent="0.25">
      <c r="A330" s="40" t="s">
        <v>38</v>
      </c>
      <c r="B330" s="34">
        <v>610340</v>
      </c>
      <c r="C330" s="35">
        <v>41144</v>
      </c>
      <c r="D330" s="41">
        <v>465</v>
      </c>
      <c r="E330" s="41">
        <v>0</v>
      </c>
      <c r="F330" s="41">
        <v>0</v>
      </c>
      <c r="G330" s="41">
        <v>0</v>
      </c>
      <c r="H330" s="41">
        <v>0</v>
      </c>
    </row>
    <row r="331" spans="1:8" x14ac:dyDescent="0.25">
      <c r="A331" s="40" t="s">
        <v>38</v>
      </c>
      <c r="B331" s="34">
        <v>610340</v>
      </c>
      <c r="C331" s="35">
        <v>41144</v>
      </c>
      <c r="D331" s="41">
        <v>466</v>
      </c>
      <c r="E331" s="41">
        <v>33</v>
      </c>
      <c r="F331" s="41">
        <v>8762</v>
      </c>
      <c r="G331" s="41">
        <v>0</v>
      </c>
      <c r="H331" s="41">
        <v>0</v>
      </c>
    </row>
    <row r="332" spans="1:8" x14ac:dyDescent="0.25">
      <c r="A332" s="40" t="s">
        <v>38</v>
      </c>
      <c r="B332" s="34">
        <v>610340</v>
      </c>
      <c r="C332" s="35">
        <v>41144</v>
      </c>
      <c r="D332" s="41">
        <v>467</v>
      </c>
      <c r="E332" s="41">
        <v>0</v>
      </c>
      <c r="F332" s="41">
        <v>0</v>
      </c>
      <c r="G332" s="41">
        <v>0</v>
      </c>
      <c r="H332" s="41">
        <v>0</v>
      </c>
    </row>
    <row r="333" spans="1:8" x14ac:dyDescent="0.25">
      <c r="A333" s="40" t="s">
        <v>38</v>
      </c>
      <c r="B333" s="34">
        <v>610340</v>
      </c>
      <c r="C333" s="35">
        <v>41144</v>
      </c>
      <c r="D333" s="41">
        <v>477</v>
      </c>
      <c r="E333" s="41">
        <v>29</v>
      </c>
      <c r="F333" s="41">
        <v>7731</v>
      </c>
      <c r="G333" s="41">
        <v>5</v>
      </c>
      <c r="H333" s="41">
        <v>27</v>
      </c>
    </row>
    <row r="334" spans="1:8" x14ac:dyDescent="0.25">
      <c r="A334" s="40" t="s">
        <v>38</v>
      </c>
      <c r="B334" s="34">
        <v>610340</v>
      </c>
      <c r="C334" s="35">
        <v>41144</v>
      </c>
      <c r="D334" s="41">
        <v>478</v>
      </c>
      <c r="E334" s="41">
        <v>5</v>
      </c>
      <c r="F334" s="41">
        <v>1142</v>
      </c>
      <c r="G334" s="41">
        <v>0</v>
      </c>
      <c r="H334" s="41">
        <v>0</v>
      </c>
    </row>
    <row r="335" spans="1:8" x14ac:dyDescent="0.25">
      <c r="A335" s="40" t="s">
        <v>38</v>
      </c>
      <c r="B335" s="34">
        <v>610340</v>
      </c>
      <c r="C335" s="35">
        <v>41144</v>
      </c>
      <c r="D335" s="41">
        <v>480</v>
      </c>
      <c r="E335" s="41">
        <v>2</v>
      </c>
      <c r="F335" s="41">
        <v>183</v>
      </c>
      <c r="G335" s="41">
        <v>0</v>
      </c>
      <c r="H335" s="41">
        <v>0</v>
      </c>
    </row>
    <row r="336" spans="1:8" x14ac:dyDescent="0.25">
      <c r="A336" s="40" t="s">
        <v>38</v>
      </c>
      <c r="B336" s="34">
        <v>610340</v>
      </c>
      <c r="C336" s="35">
        <v>41144</v>
      </c>
      <c r="D336" s="41">
        <v>481</v>
      </c>
      <c r="E336" s="41">
        <v>0</v>
      </c>
      <c r="F336" s="41">
        <v>0</v>
      </c>
      <c r="G336" s="41">
        <v>0</v>
      </c>
      <c r="H336" s="41">
        <v>0</v>
      </c>
    </row>
    <row r="337" spans="1:8" x14ac:dyDescent="0.25">
      <c r="A337" s="40" t="s">
        <v>38</v>
      </c>
      <c r="B337" s="34">
        <v>610340</v>
      </c>
      <c r="C337" s="35">
        <v>41144</v>
      </c>
      <c r="D337" s="41">
        <v>482</v>
      </c>
      <c r="E337" s="41">
        <v>7</v>
      </c>
      <c r="F337" s="41">
        <v>1538</v>
      </c>
      <c r="G337" s="41">
        <v>0</v>
      </c>
      <c r="H337" s="41">
        <v>0</v>
      </c>
    </row>
    <row r="338" spans="1:8" x14ac:dyDescent="0.25">
      <c r="A338" s="40" t="s">
        <v>38</v>
      </c>
      <c r="B338" s="34">
        <v>610340</v>
      </c>
      <c r="C338" s="35">
        <v>41144</v>
      </c>
      <c r="D338" s="41">
        <v>790</v>
      </c>
      <c r="E338" s="41">
        <v>0</v>
      </c>
      <c r="F338" s="41">
        <v>0</v>
      </c>
      <c r="G338" s="41">
        <v>0</v>
      </c>
      <c r="H338" s="41">
        <v>0</v>
      </c>
    </row>
    <row r="339" spans="1:8" x14ac:dyDescent="0.25">
      <c r="A339" s="40" t="s">
        <v>38</v>
      </c>
      <c r="B339" s="34">
        <v>610340</v>
      </c>
      <c r="C339" s="35">
        <v>41145</v>
      </c>
      <c r="D339" s="41">
        <v>85</v>
      </c>
      <c r="E339" s="41">
        <v>0</v>
      </c>
      <c r="F339" s="41">
        <v>0</v>
      </c>
      <c r="G339" s="41">
        <v>0</v>
      </c>
      <c r="H339" s="41">
        <v>0</v>
      </c>
    </row>
    <row r="340" spans="1:8" x14ac:dyDescent="0.25">
      <c r="A340" s="40" t="s">
        <v>38</v>
      </c>
      <c r="B340" s="34">
        <v>610340</v>
      </c>
      <c r="C340" s="35">
        <v>41145</v>
      </c>
      <c r="D340" s="41">
        <v>465</v>
      </c>
      <c r="E340" s="41">
        <v>0</v>
      </c>
      <c r="F340" s="41">
        <v>0</v>
      </c>
      <c r="G340" s="41">
        <v>0</v>
      </c>
      <c r="H340" s="41">
        <v>0</v>
      </c>
    </row>
    <row r="341" spans="1:8" x14ac:dyDescent="0.25">
      <c r="A341" s="40" t="s">
        <v>38</v>
      </c>
      <c r="B341" s="34">
        <v>610340</v>
      </c>
      <c r="C341" s="35">
        <v>41145</v>
      </c>
      <c r="D341" s="41">
        <v>466</v>
      </c>
      <c r="E341" s="41">
        <v>22</v>
      </c>
      <c r="F341" s="41">
        <v>6355</v>
      </c>
      <c r="G341" s="41">
        <v>2</v>
      </c>
      <c r="H341" s="41">
        <v>0</v>
      </c>
    </row>
    <row r="342" spans="1:8" x14ac:dyDescent="0.25">
      <c r="A342" s="40" t="s">
        <v>38</v>
      </c>
      <c r="B342" s="34">
        <v>610340</v>
      </c>
      <c r="C342" s="35">
        <v>41145</v>
      </c>
      <c r="D342" s="41">
        <v>467</v>
      </c>
      <c r="E342" s="41">
        <v>0</v>
      </c>
      <c r="F342" s="41">
        <v>0</v>
      </c>
      <c r="G342" s="41">
        <v>0</v>
      </c>
      <c r="H342" s="41">
        <v>0</v>
      </c>
    </row>
    <row r="343" spans="1:8" x14ac:dyDescent="0.25">
      <c r="A343" s="40" t="s">
        <v>38</v>
      </c>
      <c r="B343" s="34">
        <v>610340</v>
      </c>
      <c r="C343" s="35">
        <v>41145</v>
      </c>
      <c r="D343" s="41">
        <v>477</v>
      </c>
      <c r="E343" s="41">
        <v>9</v>
      </c>
      <c r="F343" s="41">
        <v>1861</v>
      </c>
      <c r="G343" s="41">
        <v>0</v>
      </c>
      <c r="H343" s="41">
        <v>0</v>
      </c>
    </row>
    <row r="344" spans="1:8" x14ac:dyDescent="0.25">
      <c r="A344" s="40" t="s">
        <v>38</v>
      </c>
      <c r="B344" s="34">
        <v>610340</v>
      </c>
      <c r="C344" s="35">
        <v>41145</v>
      </c>
      <c r="D344" s="41">
        <v>478</v>
      </c>
      <c r="E344" s="41">
        <v>2</v>
      </c>
      <c r="F344" s="41">
        <v>433</v>
      </c>
      <c r="G344" s="41">
        <v>0</v>
      </c>
      <c r="H344" s="41">
        <v>0</v>
      </c>
    </row>
    <row r="345" spans="1:8" x14ac:dyDescent="0.25">
      <c r="A345" s="40" t="s">
        <v>38</v>
      </c>
      <c r="B345" s="34">
        <v>610340</v>
      </c>
      <c r="C345" s="35">
        <v>41145</v>
      </c>
      <c r="D345" s="41">
        <v>480</v>
      </c>
      <c r="E345" s="41">
        <v>6</v>
      </c>
      <c r="F345" s="41">
        <v>2078</v>
      </c>
      <c r="G345" s="41">
        <v>0</v>
      </c>
      <c r="H345" s="41">
        <v>0</v>
      </c>
    </row>
    <row r="346" spans="1:8" x14ac:dyDescent="0.25">
      <c r="A346" s="40" t="s">
        <v>38</v>
      </c>
      <c r="B346" s="34">
        <v>610340</v>
      </c>
      <c r="C346" s="35">
        <v>41145</v>
      </c>
      <c r="D346" s="41">
        <v>481</v>
      </c>
      <c r="E346" s="41">
        <v>0</v>
      </c>
      <c r="F346" s="41">
        <v>0</v>
      </c>
      <c r="G346" s="41">
        <v>0</v>
      </c>
      <c r="H346" s="41">
        <v>0</v>
      </c>
    </row>
    <row r="347" spans="1:8" x14ac:dyDescent="0.25">
      <c r="A347" s="40" t="s">
        <v>38</v>
      </c>
      <c r="B347" s="34">
        <v>610340</v>
      </c>
      <c r="C347" s="35">
        <v>41145</v>
      </c>
      <c r="D347" s="41">
        <v>482</v>
      </c>
      <c r="E347" s="41">
        <v>13</v>
      </c>
      <c r="F347" s="41">
        <v>4927</v>
      </c>
      <c r="G347" s="41">
        <v>0</v>
      </c>
      <c r="H347" s="41">
        <v>11</v>
      </c>
    </row>
    <row r="348" spans="1:8" x14ac:dyDescent="0.25">
      <c r="A348" s="40" t="s">
        <v>38</v>
      </c>
      <c r="B348" s="34">
        <v>610340</v>
      </c>
      <c r="C348" s="35">
        <v>41145</v>
      </c>
      <c r="D348" s="41">
        <v>790</v>
      </c>
      <c r="E348" s="41">
        <v>0</v>
      </c>
      <c r="F348" s="41">
        <v>0</v>
      </c>
      <c r="G348" s="41">
        <v>0</v>
      </c>
      <c r="H348" s="41">
        <v>0</v>
      </c>
    </row>
    <row r="349" spans="1:8" x14ac:dyDescent="0.25">
      <c r="A349" s="40" t="s">
        <v>38</v>
      </c>
      <c r="B349" s="34">
        <v>610340</v>
      </c>
      <c r="C349" s="35">
        <v>41147</v>
      </c>
      <c r="D349" s="41">
        <v>85</v>
      </c>
      <c r="E349" s="41">
        <v>0</v>
      </c>
      <c r="F349" s="41">
        <v>0</v>
      </c>
      <c r="G349" s="41">
        <v>0</v>
      </c>
      <c r="H349" s="41">
        <v>0</v>
      </c>
    </row>
    <row r="350" spans="1:8" x14ac:dyDescent="0.25">
      <c r="A350" s="40" t="s">
        <v>38</v>
      </c>
      <c r="B350" s="34">
        <v>610340</v>
      </c>
      <c r="C350" s="35">
        <v>41147</v>
      </c>
      <c r="D350" s="41">
        <v>465</v>
      </c>
      <c r="E350" s="41">
        <v>0</v>
      </c>
      <c r="F350" s="41">
        <v>0</v>
      </c>
      <c r="G350" s="41">
        <v>0</v>
      </c>
      <c r="H350" s="41">
        <v>0</v>
      </c>
    </row>
    <row r="351" spans="1:8" x14ac:dyDescent="0.25">
      <c r="A351" s="40" t="s">
        <v>38</v>
      </c>
      <c r="B351" s="34">
        <v>610340</v>
      </c>
      <c r="C351" s="35">
        <v>41147</v>
      </c>
      <c r="D351" s="41">
        <v>466</v>
      </c>
      <c r="E351" s="41">
        <v>24</v>
      </c>
      <c r="F351" s="41">
        <v>4060</v>
      </c>
      <c r="G351" s="41">
        <v>5</v>
      </c>
      <c r="H351" s="41">
        <v>0</v>
      </c>
    </row>
    <row r="352" spans="1:8" x14ac:dyDescent="0.25">
      <c r="A352" s="40" t="s">
        <v>38</v>
      </c>
      <c r="B352" s="34">
        <v>610340</v>
      </c>
      <c r="C352" s="35">
        <v>41147</v>
      </c>
      <c r="D352" s="41">
        <v>467</v>
      </c>
      <c r="E352" s="41">
        <v>0</v>
      </c>
      <c r="F352" s="41">
        <v>0</v>
      </c>
      <c r="G352" s="41">
        <v>0</v>
      </c>
      <c r="H352" s="41">
        <v>0</v>
      </c>
    </row>
    <row r="353" spans="1:8" x14ac:dyDescent="0.25">
      <c r="A353" s="40" t="s">
        <v>38</v>
      </c>
      <c r="B353" s="34">
        <v>610340</v>
      </c>
      <c r="C353" s="35">
        <v>41147</v>
      </c>
      <c r="D353" s="41">
        <v>477</v>
      </c>
      <c r="E353" s="41">
        <v>15</v>
      </c>
      <c r="F353" s="41">
        <v>3019</v>
      </c>
      <c r="G353" s="41">
        <v>4</v>
      </c>
      <c r="H353" s="41">
        <v>0</v>
      </c>
    </row>
    <row r="354" spans="1:8" x14ac:dyDescent="0.25">
      <c r="A354" s="40" t="s">
        <v>38</v>
      </c>
      <c r="B354" s="34">
        <v>610340</v>
      </c>
      <c r="C354" s="35">
        <v>41147</v>
      </c>
      <c r="D354" s="41">
        <v>478</v>
      </c>
      <c r="E354" s="41">
        <v>8</v>
      </c>
      <c r="F354" s="41">
        <v>2509</v>
      </c>
      <c r="G354" s="41">
        <v>0</v>
      </c>
      <c r="H354" s="41">
        <v>4</v>
      </c>
    </row>
    <row r="355" spans="1:8" x14ac:dyDescent="0.25">
      <c r="A355" s="40" t="s">
        <v>38</v>
      </c>
      <c r="B355" s="34">
        <v>610340</v>
      </c>
      <c r="C355" s="35">
        <v>41147</v>
      </c>
      <c r="D355" s="41">
        <v>480</v>
      </c>
      <c r="E355" s="41">
        <v>5</v>
      </c>
      <c r="F355" s="41">
        <v>643</v>
      </c>
      <c r="G355" s="41">
        <v>2</v>
      </c>
      <c r="H355" s="41">
        <v>0</v>
      </c>
    </row>
    <row r="356" spans="1:8" x14ac:dyDescent="0.25">
      <c r="A356" s="40" t="s">
        <v>38</v>
      </c>
      <c r="B356" s="34">
        <v>610340</v>
      </c>
      <c r="C356" s="35">
        <v>41147</v>
      </c>
      <c r="D356" s="41">
        <v>481</v>
      </c>
      <c r="E356" s="41">
        <v>0</v>
      </c>
      <c r="F356" s="41">
        <v>0</v>
      </c>
      <c r="G356" s="41">
        <v>0</v>
      </c>
      <c r="H356" s="41">
        <v>0</v>
      </c>
    </row>
    <row r="357" spans="1:8" x14ac:dyDescent="0.25">
      <c r="A357" s="40" t="s">
        <v>38</v>
      </c>
      <c r="B357" s="34">
        <v>610340</v>
      </c>
      <c r="C357" s="35">
        <v>41147</v>
      </c>
      <c r="D357" s="41">
        <v>482</v>
      </c>
      <c r="E357" s="41">
        <v>12</v>
      </c>
      <c r="F357" s="41">
        <v>1476</v>
      </c>
      <c r="G357" s="41">
        <v>0</v>
      </c>
      <c r="H357" s="41">
        <v>0</v>
      </c>
    </row>
    <row r="358" spans="1:8" x14ac:dyDescent="0.25">
      <c r="A358" s="40" t="s">
        <v>38</v>
      </c>
      <c r="B358" s="34">
        <v>610340</v>
      </c>
      <c r="C358" s="35">
        <v>41147</v>
      </c>
      <c r="D358" s="41">
        <v>790</v>
      </c>
      <c r="E358" s="41">
        <v>0</v>
      </c>
      <c r="F358" s="41">
        <v>0</v>
      </c>
      <c r="G358" s="41">
        <v>0</v>
      </c>
      <c r="H358" s="41">
        <v>0</v>
      </c>
    </row>
    <row r="359" spans="1:8" x14ac:dyDescent="0.25">
      <c r="A359" s="40" t="s">
        <v>38</v>
      </c>
      <c r="B359" s="34">
        <v>610340</v>
      </c>
      <c r="C359" s="35">
        <v>41148</v>
      </c>
      <c r="D359" s="41">
        <v>85</v>
      </c>
      <c r="E359" s="41">
        <v>0</v>
      </c>
      <c r="F359" s="41">
        <v>0</v>
      </c>
      <c r="G359" s="41">
        <v>0</v>
      </c>
      <c r="H359" s="41">
        <v>0</v>
      </c>
    </row>
    <row r="360" spans="1:8" x14ac:dyDescent="0.25">
      <c r="A360" s="40" t="s">
        <v>38</v>
      </c>
      <c r="B360" s="34">
        <v>610340</v>
      </c>
      <c r="C360" s="35">
        <v>41148</v>
      </c>
      <c r="D360" s="41">
        <v>465</v>
      </c>
      <c r="E360" s="41">
        <v>0</v>
      </c>
      <c r="F360" s="41">
        <v>0</v>
      </c>
      <c r="G360" s="41">
        <v>0</v>
      </c>
      <c r="H360" s="41">
        <v>0</v>
      </c>
    </row>
    <row r="361" spans="1:8" x14ac:dyDescent="0.25">
      <c r="A361" s="40" t="s">
        <v>38</v>
      </c>
      <c r="B361" s="34">
        <v>610340</v>
      </c>
      <c r="C361" s="35">
        <v>41148</v>
      </c>
      <c r="D361" s="41">
        <v>466</v>
      </c>
      <c r="E361" s="41">
        <v>0</v>
      </c>
      <c r="F361" s="41">
        <v>0</v>
      </c>
      <c r="G361" s="41">
        <v>0</v>
      </c>
      <c r="H361" s="41">
        <v>0</v>
      </c>
    </row>
    <row r="362" spans="1:8" x14ac:dyDescent="0.25">
      <c r="A362" s="40" t="s">
        <v>38</v>
      </c>
      <c r="B362" s="34">
        <v>610340</v>
      </c>
      <c r="C362" s="35">
        <v>41148</v>
      </c>
      <c r="D362" s="41">
        <v>467</v>
      </c>
      <c r="E362" s="41">
        <v>0</v>
      </c>
      <c r="F362" s="41">
        <v>0</v>
      </c>
      <c r="G362" s="41">
        <v>0</v>
      </c>
      <c r="H362" s="41">
        <v>0</v>
      </c>
    </row>
    <row r="363" spans="1:8" x14ac:dyDescent="0.25">
      <c r="A363" s="40" t="s">
        <v>38</v>
      </c>
      <c r="B363" s="34">
        <v>610340</v>
      </c>
      <c r="C363" s="35">
        <v>41148</v>
      </c>
      <c r="D363" s="41">
        <v>477</v>
      </c>
      <c r="E363" s="41">
        <v>1</v>
      </c>
      <c r="F363" s="41">
        <v>166</v>
      </c>
      <c r="G363" s="41">
        <v>0</v>
      </c>
      <c r="H363" s="41">
        <v>0</v>
      </c>
    </row>
    <row r="364" spans="1:8" x14ac:dyDescent="0.25">
      <c r="A364" s="40" t="s">
        <v>38</v>
      </c>
      <c r="B364" s="34">
        <v>610340</v>
      </c>
      <c r="C364" s="35">
        <v>41148</v>
      </c>
      <c r="D364" s="41">
        <v>478</v>
      </c>
      <c r="E364" s="41">
        <v>46</v>
      </c>
      <c r="F364" s="41">
        <v>12581</v>
      </c>
      <c r="G364" s="41">
        <v>3</v>
      </c>
      <c r="H364" s="41">
        <v>10</v>
      </c>
    </row>
    <row r="365" spans="1:8" x14ac:dyDescent="0.25">
      <c r="A365" s="40" t="s">
        <v>38</v>
      </c>
      <c r="B365" s="34">
        <v>610340</v>
      </c>
      <c r="C365" s="35">
        <v>41148</v>
      </c>
      <c r="D365" s="41">
        <v>480</v>
      </c>
      <c r="E365" s="41">
        <v>0</v>
      </c>
      <c r="F365" s="41">
        <v>0</v>
      </c>
      <c r="G365" s="41">
        <v>0</v>
      </c>
      <c r="H365" s="41">
        <v>0</v>
      </c>
    </row>
    <row r="366" spans="1:8" x14ac:dyDescent="0.25">
      <c r="A366" s="40" t="s">
        <v>38</v>
      </c>
      <c r="B366" s="34">
        <v>610340</v>
      </c>
      <c r="C366" s="35">
        <v>41148</v>
      </c>
      <c r="D366" s="41">
        <v>481</v>
      </c>
      <c r="E366" s="41">
        <v>0</v>
      </c>
      <c r="F366" s="41">
        <v>0</v>
      </c>
      <c r="G366" s="41">
        <v>0</v>
      </c>
      <c r="H366" s="41">
        <v>0</v>
      </c>
    </row>
    <row r="367" spans="1:8" x14ac:dyDescent="0.25">
      <c r="A367" s="40" t="s">
        <v>38</v>
      </c>
      <c r="B367" s="34">
        <v>610340</v>
      </c>
      <c r="C367" s="35">
        <v>41148</v>
      </c>
      <c r="D367" s="41">
        <v>482</v>
      </c>
      <c r="E367" s="41">
        <v>16</v>
      </c>
      <c r="F367" s="41">
        <v>4705</v>
      </c>
      <c r="G367" s="41">
        <v>2</v>
      </c>
      <c r="H367" s="41">
        <v>0</v>
      </c>
    </row>
    <row r="368" spans="1:8" x14ac:dyDescent="0.25">
      <c r="A368" s="40" t="s">
        <v>38</v>
      </c>
      <c r="B368" s="34">
        <v>610340</v>
      </c>
      <c r="C368" s="35">
        <v>41148</v>
      </c>
      <c r="D368" s="41">
        <v>790</v>
      </c>
      <c r="E368" s="41">
        <v>0</v>
      </c>
      <c r="F368" s="41">
        <v>0</v>
      </c>
      <c r="G368" s="41">
        <v>0</v>
      </c>
      <c r="H368" s="41">
        <v>0</v>
      </c>
    </row>
    <row r="369" spans="1:8" x14ac:dyDescent="0.25">
      <c r="A369" s="40" t="s">
        <v>38</v>
      </c>
      <c r="B369" s="34">
        <v>610340</v>
      </c>
      <c r="C369" s="35">
        <v>41149</v>
      </c>
      <c r="D369" s="41">
        <v>85</v>
      </c>
      <c r="E369" s="41">
        <v>0</v>
      </c>
      <c r="F369" s="41">
        <v>0</v>
      </c>
      <c r="G369" s="41">
        <v>0</v>
      </c>
      <c r="H369" s="41">
        <v>0</v>
      </c>
    </row>
    <row r="370" spans="1:8" x14ac:dyDescent="0.25">
      <c r="A370" s="40" t="s">
        <v>38</v>
      </c>
      <c r="B370" s="34">
        <v>610340</v>
      </c>
      <c r="C370" s="35">
        <v>41149</v>
      </c>
      <c r="D370" s="41">
        <v>465</v>
      </c>
      <c r="E370" s="41">
        <v>0</v>
      </c>
      <c r="F370" s="41">
        <v>0</v>
      </c>
      <c r="G370" s="41">
        <v>0</v>
      </c>
      <c r="H370" s="41">
        <v>0</v>
      </c>
    </row>
    <row r="371" spans="1:8" x14ac:dyDescent="0.25">
      <c r="A371" s="40" t="s">
        <v>38</v>
      </c>
      <c r="B371" s="34">
        <v>610340</v>
      </c>
      <c r="C371" s="35">
        <v>41149</v>
      </c>
      <c r="D371" s="41">
        <v>466</v>
      </c>
      <c r="E371" s="41">
        <v>2</v>
      </c>
      <c r="F371" s="41">
        <v>337</v>
      </c>
      <c r="G371" s="41">
        <v>0</v>
      </c>
      <c r="H371" s="41">
        <v>0</v>
      </c>
    </row>
    <row r="372" spans="1:8" x14ac:dyDescent="0.25">
      <c r="A372" s="40" t="s">
        <v>38</v>
      </c>
      <c r="B372" s="34">
        <v>610340</v>
      </c>
      <c r="C372" s="35">
        <v>41149</v>
      </c>
      <c r="D372" s="41">
        <v>467</v>
      </c>
      <c r="E372" s="41">
        <v>0</v>
      </c>
      <c r="F372" s="41">
        <v>0</v>
      </c>
      <c r="G372" s="41">
        <v>0</v>
      </c>
      <c r="H372" s="41">
        <v>0</v>
      </c>
    </row>
    <row r="373" spans="1:8" x14ac:dyDescent="0.25">
      <c r="A373" s="40" t="s">
        <v>38</v>
      </c>
      <c r="B373" s="34">
        <v>610340</v>
      </c>
      <c r="C373" s="35">
        <v>41149</v>
      </c>
      <c r="D373" s="41">
        <v>477</v>
      </c>
      <c r="E373" s="41">
        <v>4</v>
      </c>
      <c r="F373" s="41">
        <v>687</v>
      </c>
      <c r="G373" s="41">
        <v>0</v>
      </c>
      <c r="H373" s="41">
        <v>0</v>
      </c>
    </row>
    <row r="374" spans="1:8" x14ac:dyDescent="0.25">
      <c r="A374" s="40" t="s">
        <v>38</v>
      </c>
      <c r="B374" s="34">
        <v>610340</v>
      </c>
      <c r="C374" s="35">
        <v>41149</v>
      </c>
      <c r="D374" s="41">
        <v>478</v>
      </c>
      <c r="E374" s="41">
        <v>25</v>
      </c>
      <c r="F374" s="41">
        <v>5680</v>
      </c>
      <c r="G374" s="41">
        <v>0</v>
      </c>
      <c r="H374" s="41">
        <v>0</v>
      </c>
    </row>
    <row r="375" spans="1:8" x14ac:dyDescent="0.25">
      <c r="A375" s="40" t="s">
        <v>38</v>
      </c>
      <c r="B375" s="34">
        <v>610340</v>
      </c>
      <c r="C375" s="35">
        <v>41149</v>
      </c>
      <c r="D375" s="41">
        <v>480</v>
      </c>
      <c r="E375" s="41">
        <v>1</v>
      </c>
      <c r="F375" s="41">
        <v>362</v>
      </c>
      <c r="G375" s="41">
        <v>0</v>
      </c>
      <c r="H375" s="41">
        <v>0</v>
      </c>
    </row>
    <row r="376" spans="1:8" x14ac:dyDescent="0.25">
      <c r="A376" s="40" t="s">
        <v>38</v>
      </c>
      <c r="B376" s="34">
        <v>610340</v>
      </c>
      <c r="C376" s="35">
        <v>41149</v>
      </c>
      <c r="D376" s="41">
        <v>481</v>
      </c>
      <c r="E376" s="41">
        <v>0</v>
      </c>
      <c r="F376" s="41">
        <v>0</v>
      </c>
      <c r="G376" s="41">
        <v>0</v>
      </c>
      <c r="H376" s="41">
        <v>0</v>
      </c>
    </row>
    <row r="377" spans="1:8" x14ac:dyDescent="0.25">
      <c r="A377" s="40" t="s">
        <v>38</v>
      </c>
      <c r="B377" s="34">
        <v>610340</v>
      </c>
      <c r="C377" s="35">
        <v>41149</v>
      </c>
      <c r="D377" s="41">
        <v>482</v>
      </c>
      <c r="E377" s="41">
        <v>16</v>
      </c>
      <c r="F377" s="41">
        <v>2821</v>
      </c>
      <c r="G377" s="41">
        <v>2</v>
      </c>
      <c r="H377" s="41">
        <v>0</v>
      </c>
    </row>
    <row r="378" spans="1:8" x14ac:dyDescent="0.25">
      <c r="A378" s="40" t="s">
        <v>38</v>
      </c>
      <c r="B378" s="34">
        <v>610340</v>
      </c>
      <c r="C378" s="35">
        <v>41149</v>
      </c>
      <c r="D378" s="41">
        <v>790</v>
      </c>
      <c r="E378" s="41">
        <v>0</v>
      </c>
      <c r="F378" s="41">
        <v>0</v>
      </c>
      <c r="G378" s="41">
        <v>0</v>
      </c>
      <c r="H378" s="41">
        <v>0</v>
      </c>
    </row>
    <row r="379" spans="1:8" x14ac:dyDescent="0.25">
      <c r="A379" s="40" t="s">
        <v>38</v>
      </c>
      <c r="B379" s="34">
        <v>610340</v>
      </c>
      <c r="C379" s="35">
        <v>41150</v>
      </c>
      <c r="D379" s="41">
        <v>85</v>
      </c>
      <c r="E379" s="41">
        <v>0</v>
      </c>
      <c r="F379" s="41">
        <v>0</v>
      </c>
      <c r="G379" s="41">
        <v>0</v>
      </c>
      <c r="H379" s="41">
        <v>0</v>
      </c>
    </row>
    <row r="380" spans="1:8" x14ac:dyDescent="0.25">
      <c r="A380" s="40" t="s">
        <v>38</v>
      </c>
      <c r="B380" s="34">
        <v>610340</v>
      </c>
      <c r="C380" s="35">
        <v>41150</v>
      </c>
      <c r="D380" s="41">
        <v>465</v>
      </c>
      <c r="E380" s="41">
        <v>0</v>
      </c>
      <c r="F380" s="41">
        <v>0</v>
      </c>
      <c r="G380" s="41">
        <v>0</v>
      </c>
      <c r="H380" s="41">
        <v>0</v>
      </c>
    </row>
    <row r="381" spans="1:8" x14ac:dyDescent="0.25">
      <c r="A381" s="40" t="s">
        <v>38</v>
      </c>
      <c r="B381" s="34">
        <v>610340</v>
      </c>
      <c r="C381" s="35">
        <v>41150</v>
      </c>
      <c r="D381" s="41">
        <v>466</v>
      </c>
      <c r="E381" s="41">
        <v>0</v>
      </c>
      <c r="F381" s="41">
        <v>0</v>
      </c>
      <c r="G381" s="41">
        <v>0</v>
      </c>
      <c r="H381" s="41">
        <v>0</v>
      </c>
    </row>
    <row r="382" spans="1:8" x14ac:dyDescent="0.25">
      <c r="A382" s="40" t="s">
        <v>38</v>
      </c>
      <c r="B382" s="34">
        <v>610340</v>
      </c>
      <c r="C382" s="35">
        <v>41150</v>
      </c>
      <c r="D382" s="41">
        <v>467</v>
      </c>
      <c r="E382" s="41">
        <v>0</v>
      </c>
      <c r="F382" s="41">
        <v>0</v>
      </c>
      <c r="G382" s="41">
        <v>0</v>
      </c>
      <c r="H382" s="41">
        <v>0</v>
      </c>
    </row>
    <row r="383" spans="1:8" x14ac:dyDescent="0.25">
      <c r="A383" s="40" t="s">
        <v>38</v>
      </c>
      <c r="B383" s="34">
        <v>610340</v>
      </c>
      <c r="C383" s="35">
        <v>41150</v>
      </c>
      <c r="D383" s="41">
        <v>477</v>
      </c>
      <c r="E383" s="41">
        <v>1</v>
      </c>
      <c r="F383" s="41">
        <v>270</v>
      </c>
      <c r="G383" s="41">
        <v>0</v>
      </c>
      <c r="H383" s="41">
        <v>0</v>
      </c>
    </row>
    <row r="384" spans="1:8" x14ac:dyDescent="0.25">
      <c r="A384" s="40" t="s">
        <v>38</v>
      </c>
      <c r="B384" s="34">
        <v>610340</v>
      </c>
      <c r="C384" s="35">
        <v>41150</v>
      </c>
      <c r="D384" s="41">
        <v>478</v>
      </c>
      <c r="E384" s="41">
        <v>35</v>
      </c>
      <c r="F384" s="41">
        <v>11368</v>
      </c>
      <c r="G384" s="41">
        <v>1</v>
      </c>
      <c r="H384" s="41">
        <v>0</v>
      </c>
    </row>
    <row r="385" spans="1:8" x14ac:dyDescent="0.25">
      <c r="A385" s="40" t="s">
        <v>38</v>
      </c>
      <c r="B385" s="34">
        <v>610340</v>
      </c>
      <c r="C385" s="35">
        <v>41150</v>
      </c>
      <c r="D385" s="41">
        <v>480</v>
      </c>
      <c r="E385" s="41">
        <v>0</v>
      </c>
      <c r="F385" s="41">
        <v>0</v>
      </c>
      <c r="G385" s="41">
        <v>0</v>
      </c>
      <c r="H385" s="41">
        <v>0</v>
      </c>
    </row>
    <row r="386" spans="1:8" x14ac:dyDescent="0.25">
      <c r="A386" s="40" t="s">
        <v>38</v>
      </c>
      <c r="B386" s="34">
        <v>610340</v>
      </c>
      <c r="C386" s="35">
        <v>41150</v>
      </c>
      <c r="D386" s="41">
        <v>481</v>
      </c>
      <c r="E386" s="41">
        <v>0</v>
      </c>
      <c r="F386" s="41">
        <v>0</v>
      </c>
      <c r="G386" s="41">
        <v>0</v>
      </c>
      <c r="H386" s="41">
        <v>0</v>
      </c>
    </row>
    <row r="387" spans="1:8" x14ac:dyDescent="0.25">
      <c r="A387" s="40" t="s">
        <v>38</v>
      </c>
      <c r="B387" s="34">
        <v>610340</v>
      </c>
      <c r="C387" s="35">
        <v>41150</v>
      </c>
      <c r="D387" s="41">
        <v>482</v>
      </c>
      <c r="E387" s="41">
        <v>5</v>
      </c>
      <c r="F387" s="41">
        <v>1119</v>
      </c>
      <c r="G387" s="41">
        <v>0</v>
      </c>
      <c r="H387" s="41">
        <v>0</v>
      </c>
    </row>
    <row r="388" spans="1:8" x14ac:dyDescent="0.25">
      <c r="A388" s="40" t="s">
        <v>38</v>
      </c>
      <c r="B388" s="34">
        <v>610340</v>
      </c>
      <c r="C388" s="35">
        <v>41150</v>
      </c>
      <c r="D388" s="41">
        <v>790</v>
      </c>
      <c r="E388" s="41">
        <v>0</v>
      </c>
      <c r="F388" s="41">
        <v>0</v>
      </c>
      <c r="G388" s="41">
        <v>0</v>
      </c>
      <c r="H388" s="41">
        <v>0</v>
      </c>
    </row>
    <row r="389" spans="1:8" x14ac:dyDescent="0.25">
      <c r="A389" s="40" t="s">
        <v>38</v>
      </c>
      <c r="B389" s="34">
        <v>610340</v>
      </c>
      <c r="C389" s="35">
        <v>41151</v>
      </c>
      <c r="D389" s="41">
        <v>85</v>
      </c>
      <c r="E389" s="41">
        <v>0</v>
      </c>
      <c r="F389" s="41">
        <v>0</v>
      </c>
      <c r="G389" s="41">
        <v>0</v>
      </c>
      <c r="H389" s="41">
        <v>0</v>
      </c>
    </row>
    <row r="390" spans="1:8" x14ac:dyDescent="0.25">
      <c r="A390" s="40" t="s">
        <v>38</v>
      </c>
      <c r="B390" s="34">
        <v>610340</v>
      </c>
      <c r="C390" s="35">
        <v>41151</v>
      </c>
      <c r="D390" s="41">
        <v>465</v>
      </c>
      <c r="E390" s="41">
        <v>0</v>
      </c>
      <c r="F390" s="41">
        <v>0</v>
      </c>
      <c r="G390" s="41">
        <v>0</v>
      </c>
      <c r="H390" s="41">
        <v>0</v>
      </c>
    </row>
    <row r="391" spans="1:8" x14ac:dyDescent="0.25">
      <c r="A391" s="40" t="s">
        <v>38</v>
      </c>
      <c r="B391" s="34">
        <v>610340</v>
      </c>
      <c r="C391" s="35">
        <v>41151</v>
      </c>
      <c r="D391" s="41">
        <v>466</v>
      </c>
      <c r="E391" s="41">
        <v>0</v>
      </c>
      <c r="F391" s="41">
        <v>0</v>
      </c>
      <c r="G391" s="41">
        <v>0</v>
      </c>
      <c r="H391" s="41">
        <v>0</v>
      </c>
    </row>
    <row r="392" spans="1:8" x14ac:dyDescent="0.25">
      <c r="A392" s="40" t="s">
        <v>38</v>
      </c>
      <c r="B392" s="34">
        <v>610340</v>
      </c>
      <c r="C392" s="35">
        <v>41151</v>
      </c>
      <c r="D392" s="41">
        <v>467</v>
      </c>
      <c r="E392" s="41">
        <v>0</v>
      </c>
      <c r="F392" s="41">
        <v>0</v>
      </c>
      <c r="G392" s="41">
        <v>0</v>
      </c>
      <c r="H392" s="41">
        <v>0</v>
      </c>
    </row>
    <row r="393" spans="1:8" x14ac:dyDescent="0.25">
      <c r="A393" s="40" t="s">
        <v>38</v>
      </c>
      <c r="B393" s="34">
        <v>610340</v>
      </c>
      <c r="C393" s="35">
        <v>41151</v>
      </c>
      <c r="D393" s="41">
        <v>477</v>
      </c>
      <c r="E393" s="41">
        <v>11</v>
      </c>
      <c r="F393" s="41">
        <v>2398</v>
      </c>
      <c r="G393" s="41">
        <v>2</v>
      </c>
      <c r="H393" s="41">
        <v>4</v>
      </c>
    </row>
    <row r="394" spans="1:8" x14ac:dyDescent="0.25">
      <c r="A394" s="40" t="s">
        <v>38</v>
      </c>
      <c r="B394" s="34">
        <v>610340</v>
      </c>
      <c r="C394" s="35">
        <v>41151</v>
      </c>
      <c r="D394" s="41">
        <v>478</v>
      </c>
      <c r="E394" s="41">
        <v>60</v>
      </c>
      <c r="F394" s="41">
        <v>13295</v>
      </c>
      <c r="G394" s="41">
        <v>1</v>
      </c>
      <c r="H394" s="41">
        <v>0</v>
      </c>
    </row>
    <row r="395" spans="1:8" x14ac:dyDescent="0.25">
      <c r="A395" s="40" t="s">
        <v>38</v>
      </c>
      <c r="B395" s="34">
        <v>610340</v>
      </c>
      <c r="C395" s="35">
        <v>41151</v>
      </c>
      <c r="D395" s="41">
        <v>480</v>
      </c>
      <c r="E395" s="41">
        <v>1</v>
      </c>
      <c r="F395" s="41">
        <v>211</v>
      </c>
      <c r="G395" s="41">
        <v>0</v>
      </c>
      <c r="H395" s="41">
        <v>0</v>
      </c>
    </row>
    <row r="396" spans="1:8" x14ac:dyDescent="0.25">
      <c r="A396" s="40" t="s">
        <v>38</v>
      </c>
      <c r="B396" s="34">
        <v>610340</v>
      </c>
      <c r="C396" s="35">
        <v>41151</v>
      </c>
      <c r="D396" s="41">
        <v>481</v>
      </c>
      <c r="E396" s="41">
        <v>0</v>
      </c>
      <c r="F396" s="41">
        <v>0</v>
      </c>
      <c r="G396" s="41">
        <v>0</v>
      </c>
      <c r="H396" s="41">
        <v>0</v>
      </c>
    </row>
    <row r="397" spans="1:8" x14ac:dyDescent="0.25">
      <c r="A397" s="40" t="s">
        <v>38</v>
      </c>
      <c r="B397" s="34">
        <v>610340</v>
      </c>
      <c r="C397" s="35">
        <v>41151</v>
      </c>
      <c r="D397" s="41">
        <v>482</v>
      </c>
      <c r="E397" s="41">
        <v>11</v>
      </c>
      <c r="F397" s="41">
        <v>3129</v>
      </c>
      <c r="G397" s="41">
        <v>0</v>
      </c>
      <c r="H397" s="41">
        <v>0</v>
      </c>
    </row>
    <row r="398" spans="1:8" x14ac:dyDescent="0.25">
      <c r="A398" s="40" t="s">
        <v>38</v>
      </c>
      <c r="B398" s="34">
        <v>610340</v>
      </c>
      <c r="C398" s="35">
        <v>41151</v>
      </c>
      <c r="D398" s="41">
        <v>790</v>
      </c>
      <c r="E398" s="41">
        <v>0</v>
      </c>
      <c r="F398" s="41">
        <v>0</v>
      </c>
      <c r="G398" s="41">
        <v>0</v>
      </c>
      <c r="H398" s="41">
        <v>0</v>
      </c>
    </row>
    <row r="399" spans="1:8" x14ac:dyDescent="0.25">
      <c r="A399" s="40" t="s">
        <v>38</v>
      </c>
      <c r="B399" s="34">
        <v>610340</v>
      </c>
      <c r="C399" s="35">
        <v>41152</v>
      </c>
      <c r="D399" s="41">
        <v>85</v>
      </c>
      <c r="E399" s="41">
        <v>0</v>
      </c>
      <c r="F399" s="41">
        <v>0</v>
      </c>
      <c r="G399" s="41">
        <v>0</v>
      </c>
      <c r="H399" s="41">
        <v>0</v>
      </c>
    </row>
    <row r="400" spans="1:8" x14ac:dyDescent="0.25">
      <c r="A400" s="40" t="s">
        <v>38</v>
      </c>
      <c r="B400" s="34">
        <v>610340</v>
      </c>
      <c r="C400" s="35">
        <v>41152</v>
      </c>
      <c r="D400" s="41">
        <v>465</v>
      </c>
      <c r="E400" s="41">
        <v>0</v>
      </c>
      <c r="F400" s="41">
        <v>0</v>
      </c>
      <c r="G400" s="41">
        <v>0</v>
      </c>
      <c r="H400" s="41">
        <v>0</v>
      </c>
    </row>
    <row r="401" spans="1:8" x14ac:dyDescent="0.25">
      <c r="A401" s="40" t="s">
        <v>38</v>
      </c>
      <c r="B401" s="34">
        <v>610340</v>
      </c>
      <c r="C401" s="35">
        <v>41152</v>
      </c>
      <c r="D401" s="41">
        <v>466</v>
      </c>
      <c r="E401" s="41">
        <v>1</v>
      </c>
      <c r="F401" s="41">
        <v>1045</v>
      </c>
      <c r="G401" s="41">
        <v>1</v>
      </c>
      <c r="H401" s="41">
        <v>0</v>
      </c>
    </row>
    <row r="402" spans="1:8" x14ac:dyDescent="0.25">
      <c r="A402" s="40" t="s">
        <v>38</v>
      </c>
      <c r="B402" s="34">
        <v>610340</v>
      </c>
      <c r="C402" s="35">
        <v>41152</v>
      </c>
      <c r="D402" s="41">
        <v>467</v>
      </c>
      <c r="E402" s="41">
        <v>0</v>
      </c>
      <c r="F402" s="41">
        <v>0</v>
      </c>
      <c r="G402" s="41">
        <v>0</v>
      </c>
      <c r="H402" s="41">
        <v>0</v>
      </c>
    </row>
    <row r="403" spans="1:8" x14ac:dyDescent="0.25">
      <c r="A403" s="40" t="s">
        <v>38</v>
      </c>
      <c r="B403" s="34">
        <v>610340</v>
      </c>
      <c r="C403" s="35">
        <v>41152</v>
      </c>
      <c r="D403" s="41">
        <v>477</v>
      </c>
      <c r="E403" s="41">
        <v>6</v>
      </c>
      <c r="F403" s="41">
        <v>1232</v>
      </c>
      <c r="G403" s="41">
        <v>0</v>
      </c>
      <c r="H403" s="41">
        <v>0</v>
      </c>
    </row>
    <row r="404" spans="1:8" x14ac:dyDescent="0.25">
      <c r="A404" s="40" t="s">
        <v>38</v>
      </c>
      <c r="B404" s="34">
        <v>610340</v>
      </c>
      <c r="C404" s="35">
        <v>41152</v>
      </c>
      <c r="D404" s="41">
        <v>478</v>
      </c>
      <c r="E404" s="41">
        <v>31</v>
      </c>
      <c r="F404" s="41">
        <v>6958</v>
      </c>
      <c r="G404" s="41">
        <v>84</v>
      </c>
      <c r="H404" s="41">
        <v>0</v>
      </c>
    </row>
    <row r="405" spans="1:8" x14ac:dyDescent="0.25">
      <c r="A405" s="40" t="s">
        <v>38</v>
      </c>
      <c r="B405" s="34">
        <v>610340</v>
      </c>
      <c r="C405" s="35">
        <v>41152</v>
      </c>
      <c r="D405" s="41">
        <v>480</v>
      </c>
      <c r="E405" s="41">
        <v>8</v>
      </c>
      <c r="F405" s="41">
        <v>2702</v>
      </c>
      <c r="G405" s="41">
        <v>0</v>
      </c>
      <c r="H405" s="41">
        <v>0</v>
      </c>
    </row>
    <row r="406" spans="1:8" x14ac:dyDescent="0.25">
      <c r="A406" s="40" t="s">
        <v>38</v>
      </c>
      <c r="B406" s="34">
        <v>610340</v>
      </c>
      <c r="C406" s="35">
        <v>41152</v>
      </c>
      <c r="D406" s="41">
        <v>481</v>
      </c>
      <c r="E406" s="41">
        <v>0</v>
      </c>
      <c r="F406" s="41">
        <v>0</v>
      </c>
      <c r="G406" s="41">
        <v>0</v>
      </c>
      <c r="H406" s="41">
        <v>0</v>
      </c>
    </row>
    <row r="407" spans="1:8" x14ac:dyDescent="0.25">
      <c r="A407" s="40" t="s">
        <v>38</v>
      </c>
      <c r="B407" s="34">
        <v>610340</v>
      </c>
      <c r="C407" s="35">
        <v>41152</v>
      </c>
      <c r="D407" s="41">
        <v>482</v>
      </c>
      <c r="E407" s="41">
        <v>14</v>
      </c>
      <c r="F407" s="41">
        <v>2719</v>
      </c>
      <c r="G407" s="41">
        <v>3</v>
      </c>
      <c r="H407" s="41">
        <v>0</v>
      </c>
    </row>
    <row r="408" spans="1:8" x14ac:dyDescent="0.25">
      <c r="A408" s="40" t="s">
        <v>38</v>
      </c>
      <c r="B408" s="34">
        <v>610340</v>
      </c>
      <c r="C408" s="35">
        <v>41152</v>
      </c>
      <c r="D408" s="41">
        <v>790</v>
      </c>
      <c r="E408" s="41">
        <v>0</v>
      </c>
      <c r="F408" s="41">
        <v>0</v>
      </c>
      <c r="G408" s="41">
        <v>0</v>
      </c>
      <c r="H408" s="41">
        <v>0</v>
      </c>
    </row>
    <row r="409" spans="1:8" x14ac:dyDescent="0.25">
      <c r="A409" s="40" t="s">
        <v>36</v>
      </c>
      <c r="B409" s="34">
        <v>610832</v>
      </c>
      <c r="C409" s="35">
        <v>41122</v>
      </c>
      <c r="D409" s="41">
        <v>85</v>
      </c>
      <c r="E409" s="41">
        <v>0</v>
      </c>
      <c r="F409" s="41">
        <v>0</v>
      </c>
      <c r="G409" s="41">
        <v>0</v>
      </c>
      <c r="H409" s="41">
        <v>0</v>
      </c>
    </row>
    <row r="410" spans="1:8" x14ac:dyDescent="0.25">
      <c r="A410" s="40" t="s">
        <v>36</v>
      </c>
      <c r="B410" s="34">
        <v>610832</v>
      </c>
      <c r="C410" s="35">
        <v>41122</v>
      </c>
      <c r="D410" s="41">
        <v>477</v>
      </c>
      <c r="E410" s="41">
        <v>48</v>
      </c>
      <c r="F410" s="41">
        <v>17232</v>
      </c>
      <c r="G410" s="41">
        <v>8</v>
      </c>
      <c r="H410" s="41">
        <v>0</v>
      </c>
    </row>
    <row r="411" spans="1:8" x14ac:dyDescent="0.25">
      <c r="A411" s="40" t="s">
        <v>36</v>
      </c>
      <c r="B411" s="34">
        <v>610832</v>
      </c>
      <c r="C411" s="35">
        <v>41122</v>
      </c>
      <c r="D411" s="41">
        <v>478</v>
      </c>
      <c r="E411" s="41">
        <v>9</v>
      </c>
      <c r="F411" s="41">
        <v>2834</v>
      </c>
      <c r="G411" s="41">
        <v>0</v>
      </c>
      <c r="H411" s="41">
        <v>0</v>
      </c>
    </row>
    <row r="412" spans="1:8" x14ac:dyDescent="0.25">
      <c r="A412" s="40" t="s">
        <v>36</v>
      </c>
      <c r="B412" s="34">
        <v>610832</v>
      </c>
      <c r="C412" s="35">
        <v>41122</v>
      </c>
      <c r="D412" s="41">
        <v>481</v>
      </c>
      <c r="E412" s="41">
        <v>0</v>
      </c>
      <c r="F412" s="41">
        <v>0</v>
      </c>
      <c r="G412" s="41">
        <v>0</v>
      </c>
      <c r="H412" s="41">
        <v>0</v>
      </c>
    </row>
    <row r="413" spans="1:8" x14ac:dyDescent="0.25">
      <c r="A413" s="40" t="s">
        <v>36</v>
      </c>
      <c r="B413" s="34">
        <v>610832</v>
      </c>
      <c r="C413" s="35">
        <v>41122</v>
      </c>
      <c r="D413" s="41">
        <v>790</v>
      </c>
      <c r="E413" s="41">
        <v>0</v>
      </c>
      <c r="F413" s="41">
        <v>0</v>
      </c>
      <c r="G413" s="41">
        <v>0</v>
      </c>
      <c r="H413" s="41">
        <v>0</v>
      </c>
    </row>
    <row r="414" spans="1:8" x14ac:dyDescent="0.25">
      <c r="A414" s="40" t="s">
        <v>36</v>
      </c>
      <c r="B414" s="34">
        <v>610832</v>
      </c>
      <c r="C414" s="35">
        <v>41123</v>
      </c>
      <c r="D414" s="41">
        <v>85</v>
      </c>
      <c r="E414" s="41">
        <v>0</v>
      </c>
      <c r="F414" s="41">
        <v>0</v>
      </c>
      <c r="G414" s="41">
        <v>0</v>
      </c>
      <c r="H414" s="41">
        <v>0</v>
      </c>
    </row>
    <row r="415" spans="1:8" x14ac:dyDescent="0.25">
      <c r="A415" s="40" t="s">
        <v>36</v>
      </c>
      <c r="B415" s="34">
        <v>610832</v>
      </c>
      <c r="C415" s="35">
        <v>41123</v>
      </c>
      <c r="D415" s="41">
        <v>477</v>
      </c>
      <c r="E415" s="41">
        <v>52</v>
      </c>
      <c r="F415" s="41">
        <v>16426</v>
      </c>
      <c r="G415" s="41">
        <v>14</v>
      </c>
      <c r="H415" s="41">
        <v>5</v>
      </c>
    </row>
    <row r="416" spans="1:8" x14ac:dyDescent="0.25">
      <c r="A416" s="40" t="s">
        <v>36</v>
      </c>
      <c r="B416" s="34">
        <v>610832</v>
      </c>
      <c r="C416" s="35">
        <v>41123</v>
      </c>
      <c r="D416" s="41">
        <v>478</v>
      </c>
      <c r="E416" s="41">
        <v>12</v>
      </c>
      <c r="F416" s="41">
        <v>3418</v>
      </c>
      <c r="G416" s="41">
        <v>0</v>
      </c>
      <c r="H416" s="41">
        <v>0</v>
      </c>
    </row>
    <row r="417" spans="1:8" x14ac:dyDescent="0.25">
      <c r="A417" s="40" t="s">
        <v>36</v>
      </c>
      <c r="B417" s="34">
        <v>610832</v>
      </c>
      <c r="C417" s="35">
        <v>41123</v>
      </c>
      <c r="D417" s="41">
        <v>481</v>
      </c>
      <c r="E417" s="41">
        <v>0</v>
      </c>
      <c r="F417" s="41">
        <v>0</v>
      </c>
      <c r="G417" s="41">
        <v>0</v>
      </c>
      <c r="H417" s="41">
        <v>0</v>
      </c>
    </row>
    <row r="418" spans="1:8" x14ac:dyDescent="0.25">
      <c r="A418" s="40" t="s">
        <v>36</v>
      </c>
      <c r="B418" s="34">
        <v>610832</v>
      </c>
      <c r="C418" s="35">
        <v>41123</v>
      </c>
      <c r="D418" s="41">
        <v>790</v>
      </c>
      <c r="E418" s="41">
        <v>0</v>
      </c>
      <c r="F418" s="41">
        <v>0</v>
      </c>
      <c r="G418" s="41">
        <v>0</v>
      </c>
      <c r="H418" s="41">
        <v>0</v>
      </c>
    </row>
    <row r="419" spans="1:8" x14ac:dyDescent="0.25">
      <c r="A419" s="40" t="s">
        <v>36</v>
      </c>
      <c r="B419" s="34">
        <v>610832</v>
      </c>
      <c r="C419" s="35">
        <v>41124</v>
      </c>
      <c r="D419" s="41">
        <v>85</v>
      </c>
      <c r="E419" s="41">
        <v>0</v>
      </c>
      <c r="F419" s="41">
        <v>0</v>
      </c>
      <c r="G419" s="41">
        <v>0</v>
      </c>
      <c r="H419" s="41">
        <v>0</v>
      </c>
    </row>
    <row r="420" spans="1:8" x14ac:dyDescent="0.25">
      <c r="A420" s="40" t="s">
        <v>36</v>
      </c>
      <c r="B420" s="34">
        <v>610832</v>
      </c>
      <c r="C420" s="35">
        <v>41124</v>
      </c>
      <c r="D420" s="41">
        <v>477</v>
      </c>
      <c r="E420" s="41">
        <v>29</v>
      </c>
      <c r="F420" s="41">
        <v>10897</v>
      </c>
      <c r="G420" s="41">
        <v>2</v>
      </c>
      <c r="H420" s="41">
        <v>22</v>
      </c>
    </row>
    <row r="421" spans="1:8" x14ac:dyDescent="0.25">
      <c r="A421" s="40" t="s">
        <v>36</v>
      </c>
      <c r="B421" s="34">
        <v>610832</v>
      </c>
      <c r="C421" s="35">
        <v>41124</v>
      </c>
      <c r="D421" s="41">
        <v>478</v>
      </c>
      <c r="E421" s="41">
        <v>11</v>
      </c>
      <c r="F421" s="41">
        <v>2944</v>
      </c>
      <c r="G421" s="41">
        <v>4</v>
      </c>
      <c r="H421" s="41">
        <v>0</v>
      </c>
    </row>
    <row r="422" spans="1:8" x14ac:dyDescent="0.25">
      <c r="A422" s="40" t="s">
        <v>36</v>
      </c>
      <c r="B422" s="34">
        <v>610832</v>
      </c>
      <c r="C422" s="35">
        <v>41124</v>
      </c>
      <c r="D422" s="41">
        <v>481</v>
      </c>
      <c r="E422" s="41">
        <v>23</v>
      </c>
      <c r="F422" s="41">
        <v>5456</v>
      </c>
      <c r="G422" s="41">
        <v>5</v>
      </c>
      <c r="H422" s="41">
        <v>0</v>
      </c>
    </row>
    <row r="423" spans="1:8" x14ac:dyDescent="0.25">
      <c r="A423" s="40" t="s">
        <v>36</v>
      </c>
      <c r="B423" s="34">
        <v>610832</v>
      </c>
      <c r="C423" s="35">
        <v>41124</v>
      </c>
      <c r="D423" s="41">
        <v>790</v>
      </c>
      <c r="E423" s="41">
        <v>0</v>
      </c>
      <c r="F423" s="41">
        <v>0</v>
      </c>
      <c r="G423" s="41">
        <v>0</v>
      </c>
      <c r="H423" s="41">
        <v>0</v>
      </c>
    </row>
    <row r="424" spans="1:8" x14ac:dyDescent="0.25">
      <c r="A424" s="40" t="s">
        <v>36</v>
      </c>
      <c r="B424" s="34">
        <v>610832</v>
      </c>
      <c r="C424" s="35">
        <v>41125</v>
      </c>
      <c r="D424" s="41">
        <v>85</v>
      </c>
      <c r="E424" s="41">
        <v>0</v>
      </c>
      <c r="F424" s="41">
        <v>0</v>
      </c>
      <c r="G424" s="41">
        <v>0</v>
      </c>
      <c r="H424" s="41">
        <v>0</v>
      </c>
    </row>
    <row r="425" spans="1:8" x14ac:dyDescent="0.25">
      <c r="A425" s="40" t="s">
        <v>36</v>
      </c>
      <c r="B425" s="34">
        <v>610832</v>
      </c>
      <c r="C425" s="35">
        <v>41125</v>
      </c>
      <c r="D425" s="41">
        <v>477</v>
      </c>
      <c r="E425" s="41">
        <v>37</v>
      </c>
      <c r="F425" s="41">
        <v>12621</v>
      </c>
      <c r="G425" s="41">
        <v>9</v>
      </c>
      <c r="H425" s="41">
        <v>0</v>
      </c>
    </row>
    <row r="426" spans="1:8" x14ac:dyDescent="0.25">
      <c r="A426" s="40" t="s">
        <v>36</v>
      </c>
      <c r="B426" s="34">
        <v>610832</v>
      </c>
      <c r="C426" s="35">
        <v>41125</v>
      </c>
      <c r="D426" s="41">
        <v>478</v>
      </c>
      <c r="E426" s="41">
        <v>10</v>
      </c>
      <c r="F426" s="41">
        <v>3020</v>
      </c>
      <c r="G426" s="41">
        <v>0</v>
      </c>
      <c r="H426" s="41">
        <v>0</v>
      </c>
    </row>
    <row r="427" spans="1:8" x14ac:dyDescent="0.25">
      <c r="A427" s="40" t="s">
        <v>36</v>
      </c>
      <c r="B427" s="34">
        <v>610832</v>
      </c>
      <c r="C427" s="35">
        <v>41125</v>
      </c>
      <c r="D427" s="41">
        <v>481</v>
      </c>
      <c r="E427" s="41">
        <v>0</v>
      </c>
      <c r="F427" s="41">
        <v>0</v>
      </c>
      <c r="G427" s="41">
        <v>0</v>
      </c>
      <c r="H427" s="41">
        <v>0</v>
      </c>
    </row>
    <row r="428" spans="1:8" x14ac:dyDescent="0.25">
      <c r="A428" s="40" t="s">
        <v>36</v>
      </c>
      <c r="B428" s="34">
        <v>610832</v>
      </c>
      <c r="C428" s="35">
        <v>41125</v>
      </c>
      <c r="D428" s="41">
        <v>790</v>
      </c>
      <c r="E428" s="41">
        <v>0</v>
      </c>
      <c r="F428" s="41">
        <v>0</v>
      </c>
      <c r="G428" s="41">
        <v>0</v>
      </c>
      <c r="H428" s="41">
        <v>0</v>
      </c>
    </row>
    <row r="429" spans="1:8" x14ac:dyDescent="0.25">
      <c r="A429" s="40" t="s">
        <v>36</v>
      </c>
      <c r="B429" s="34">
        <v>610832</v>
      </c>
      <c r="C429" s="35">
        <v>41127</v>
      </c>
      <c r="D429" s="41">
        <v>85</v>
      </c>
      <c r="E429" s="41">
        <v>0</v>
      </c>
      <c r="F429" s="41">
        <v>0</v>
      </c>
      <c r="G429" s="41">
        <v>0</v>
      </c>
      <c r="H429" s="41">
        <v>0</v>
      </c>
    </row>
    <row r="430" spans="1:8" x14ac:dyDescent="0.25">
      <c r="A430" s="40" t="s">
        <v>36</v>
      </c>
      <c r="B430" s="34">
        <v>610832</v>
      </c>
      <c r="C430" s="35">
        <v>41127</v>
      </c>
      <c r="D430" s="41">
        <v>477</v>
      </c>
      <c r="E430" s="41">
        <v>33</v>
      </c>
      <c r="F430" s="41">
        <v>13562</v>
      </c>
      <c r="G430" s="41">
        <v>9</v>
      </c>
      <c r="H430" s="41">
        <v>0</v>
      </c>
    </row>
    <row r="431" spans="1:8" x14ac:dyDescent="0.25">
      <c r="A431" s="40" t="s">
        <v>36</v>
      </c>
      <c r="B431" s="34">
        <v>610832</v>
      </c>
      <c r="C431" s="35">
        <v>41127</v>
      </c>
      <c r="D431" s="41">
        <v>478</v>
      </c>
      <c r="E431" s="41">
        <v>7</v>
      </c>
      <c r="F431" s="41">
        <v>2509</v>
      </c>
      <c r="G431" s="41">
        <v>0</v>
      </c>
      <c r="H431" s="41">
        <v>0</v>
      </c>
    </row>
    <row r="432" spans="1:8" x14ac:dyDescent="0.25">
      <c r="A432" s="40" t="s">
        <v>36</v>
      </c>
      <c r="B432" s="34">
        <v>610832</v>
      </c>
      <c r="C432" s="35">
        <v>41127</v>
      </c>
      <c r="D432" s="41">
        <v>481</v>
      </c>
      <c r="E432" s="41">
        <v>14</v>
      </c>
      <c r="F432" s="41">
        <v>4274</v>
      </c>
      <c r="G432" s="41">
        <v>1</v>
      </c>
      <c r="H432" s="41">
        <v>6</v>
      </c>
    </row>
    <row r="433" spans="1:8" x14ac:dyDescent="0.25">
      <c r="A433" s="40" t="s">
        <v>36</v>
      </c>
      <c r="B433" s="34">
        <v>610832</v>
      </c>
      <c r="C433" s="35">
        <v>41127</v>
      </c>
      <c r="D433" s="41">
        <v>790</v>
      </c>
      <c r="E433" s="41">
        <v>0</v>
      </c>
      <c r="F433" s="41">
        <v>0</v>
      </c>
      <c r="G433" s="41">
        <v>0</v>
      </c>
      <c r="H433" s="41">
        <v>0</v>
      </c>
    </row>
    <row r="434" spans="1:8" x14ac:dyDescent="0.25">
      <c r="A434" s="40" t="s">
        <v>36</v>
      </c>
      <c r="B434" s="34">
        <v>610832</v>
      </c>
      <c r="C434" s="35">
        <v>41128</v>
      </c>
      <c r="D434" s="41">
        <v>85</v>
      </c>
      <c r="E434" s="41">
        <v>0</v>
      </c>
      <c r="F434" s="41">
        <v>0</v>
      </c>
      <c r="G434" s="41">
        <v>0</v>
      </c>
      <c r="H434" s="41">
        <v>0</v>
      </c>
    </row>
    <row r="435" spans="1:8" x14ac:dyDescent="0.25">
      <c r="A435" s="40" t="s">
        <v>36</v>
      </c>
      <c r="B435" s="34">
        <v>610832</v>
      </c>
      <c r="C435" s="35">
        <v>41128</v>
      </c>
      <c r="D435" s="41">
        <v>477</v>
      </c>
      <c r="E435" s="41">
        <v>45</v>
      </c>
      <c r="F435" s="41">
        <v>12201</v>
      </c>
      <c r="G435" s="41">
        <v>2</v>
      </c>
      <c r="H435" s="41">
        <v>13</v>
      </c>
    </row>
    <row r="436" spans="1:8" x14ac:dyDescent="0.25">
      <c r="A436" s="40" t="s">
        <v>36</v>
      </c>
      <c r="B436" s="34">
        <v>610832</v>
      </c>
      <c r="C436" s="35">
        <v>41128</v>
      </c>
      <c r="D436" s="41">
        <v>478</v>
      </c>
      <c r="E436" s="41">
        <v>7</v>
      </c>
      <c r="F436" s="41">
        <v>2027</v>
      </c>
      <c r="G436" s="41">
        <v>0</v>
      </c>
      <c r="H436" s="41">
        <v>0</v>
      </c>
    </row>
    <row r="437" spans="1:8" x14ac:dyDescent="0.25">
      <c r="A437" s="40" t="s">
        <v>36</v>
      </c>
      <c r="B437" s="34">
        <v>610832</v>
      </c>
      <c r="C437" s="35">
        <v>41128</v>
      </c>
      <c r="D437" s="41">
        <v>481</v>
      </c>
      <c r="E437" s="41">
        <v>15</v>
      </c>
      <c r="F437" s="41">
        <v>5862</v>
      </c>
      <c r="G437" s="41">
        <v>2</v>
      </c>
      <c r="H437" s="41">
        <v>0</v>
      </c>
    </row>
    <row r="438" spans="1:8" x14ac:dyDescent="0.25">
      <c r="A438" s="40" t="s">
        <v>36</v>
      </c>
      <c r="B438" s="34">
        <v>610832</v>
      </c>
      <c r="C438" s="35">
        <v>41128</v>
      </c>
      <c r="D438" s="41">
        <v>790</v>
      </c>
      <c r="E438" s="41">
        <v>0</v>
      </c>
      <c r="F438" s="41">
        <v>0</v>
      </c>
      <c r="G438" s="41">
        <v>0</v>
      </c>
      <c r="H438" s="41">
        <v>0</v>
      </c>
    </row>
    <row r="439" spans="1:8" x14ac:dyDescent="0.25">
      <c r="A439" s="40" t="s">
        <v>36</v>
      </c>
      <c r="B439" s="34">
        <v>610832</v>
      </c>
      <c r="C439" s="35">
        <v>41129</v>
      </c>
      <c r="D439" s="41">
        <v>85</v>
      </c>
      <c r="E439" s="41">
        <v>0</v>
      </c>
      <c r="F439" s="41">
        <v>0</v>
      </c>
      <c r="G439" s="41">
        <v>0</v>
      </c>
      <c r="H439" s="41">
        <v>0</v>
      </c>
    </row>
    <row r="440" spans="1:8" x14ac:dyDescent="0.25">
      <c r="A440" s="40" t="s">
        <v>36</v>
      </c>
      <c r="B440" s="34">
        <v>610832</v>
      </c>
      <c r="C440" s="35">
        <v>41129</v>
      </c>
      <c r="D440" s="41">
        <v>477</v>
      </c>
      <c r="E440" s="41">
        <v>38</v>
      </c>
      <c r="F440" s="41">
        <v>14130</v>
      </c>
      <c r="G440" s="41">
        <v>0</v>
      </c>
      <c r="H440" s="41">
        <v>88</v>
      </c>
    </row>
    <row r="441" spans="1:8" x14ac:dyDescent="0.25">
      <c r="A441" s="40" t="s">
        <v>36</v>
      </c>
      <c r="B441" s="34">
        <v>610832</v>
      </c>
      <c r="C441" s="35">
        <v>41129</v>
      </c>
      <c r="D441" s="41">
        <v>478</v>
      </c>
      <c r="E441" s="41">
        <v>6</v>
      </c>
      <c r="F441" s="41">
        <v>2065</v>
      </c>
      <c r="G441" s="41">
        <v>0</v>
      </c>
      <c r="H441" s="41">
        <v>0</v>
      </c>
    </row>
    <row r="442" spans="1:8" x14ac:dyDescent="0.25">
      <c r="A442" s="40" t="s">
        <v>36</v>
      </c>
      <c r="B442" s="34">
        <v>610832</v>
      </c>
      <c r="C442" s="35">
        <v>41129</v>
      </c>
      <c r="D442" s="41">
        <v>481</v>
      </c>
      <c r="E442" s="41">
        <v>8</v>
      </c>
      <c r="F442" s="41">
        <v>2989</v>
      </c>
      <c r="G442" s="41">
        <v>4</v>
      </c>
      <c r="H442" s="41">
        <v>3</v>
      </c>
    </row>
    <row r="443" spans="1:8" x14ac:dyDescent="0.25">
      <c r="A443" s="40" t="s">
        <v>36</v>
      </c>
      <c r="B443" s="34">
        <v>610832</v>
      </c>
      <c r="C443" s="35">
        <v>41129</v>
      </c>
      <c r="D443" s="41">
        <v>790</v>
      </c>
      <c r="E443" s="41">
        <v>0</v>
      </c>
      <c r="F443" s="41">
        <v>0</v>
      </c>
      <c r="G443" s="41">
        <v>0</v>
      </c>
      <c r="H443" s="41">
        <v>0</v>
      </c>
    </row>
    <row r="444" spans="1:8" x14ac:dyDescent="0.25">
      <c r="A444" s="40" t="s">
        <v>36</v>
      </c>
      <c r="B444" s="34">
        <v>610832</v>
      </c>
      <c r="C444" s="35">
        <v>41130</v>
      </c>
      <c r="D444" s="41">
        <v>85</v>
      </c>
      <c r="E444" s="41">
        <v>0</v>
      </c>
      <c r="F444" s="41">
        <v>0</v>
      </c>
      <c r="G444" s="41">
        <v>0</v>
      </c>
      <c r="H444" s="41">
        <v>0</v>
      </c>
    </row>
    <row r="445" spans="1:8" x14ac:dyDescent="0.25">
      <c r="A445" s="40" t="s">
        <v>36</v>
      </c>
      <c r="B445" s="34">
        <v>610832</v>
      </c>
      <c r="C445" s="35">
        <v>41130</v>
      </c>
      <c r="D445" s="41">
        <v>477</v>
      </c>
      <c r="E445" s="41">
        <v>48</v>
      </c>
      <c r="F445" s="41">
        <v>14388</v>
      </c>
      <c r="G445" s="41">
        <v>5</v>
      </c>
      <c r="H445" s="41">
        <v>90</v>
      </c>
    </row>
    <row r="446" spans="1:8" x14ac:dyDescent="0.25">
      <c r="A446" s="40" t="s">
        <v>36</v>
      </c>
      <c r="B446" s="34">
        <v>610832</v>
      </c>
      <c r="C446" s="35">
        <v>41130</v>
      </c>
      <c r="D446" s="41">
        <v>478</v>
      </c>
      <c r="E446" s="41">
        <v>16</v>
      </c>
      <c r="F446" s="41">
        <v>5100</v>
      </c>
      <c r="G446" s="41">
        <v>7</v>
      </c>
      <c r="H446" s="41">
        <v>10</v>
      </c>
    </row>
    <row r="447" spans="1:8" x14ac:dyDescent="0.25">
      <c r="A447" s="40" t="s">
        <v>36</v>
      </c>
      <c r="B447" s="34">
        <v>610832</v>
      </c>
      <c r="C447" s="35">
        <v>41130</v>
      </c>
      <c r="D447" s="41">
        <v>481</v>
      </c>
      <c r="E447" s="41">
        <v>0</v>
      </c>
      <c r="F447" s="41">
        <v>0</v>
      </c>
      <c r="G447" s="41">
        <v>0</v>
      </c>
      <c r="H447" s="41">
        <v>0</v>
      </c>
    </row>
    <row r="448" spans="1:8" x14ac:dyDescent="0.25">
      <c r="A448" s="40" t="s">
        <v>36</v>
      </c>
      <c r="B448" s="34">
        <v>610832</v>
      </c>
      <c r="C448" s="35">
        <v>41130</v>
      </c>
      <c r="D448" s="41">
        <v>790</v>
      </c>
      <c r="E448" s="41">
        <v>0</v>
      </c>
      <c r="F448" s="41">
        <v>0</v>
      </c>
      <c r="G448" s="41">
        <v>0</v>
      </c>
      <c r="H448" s="41">
        <v>0</v>
      </c>
    </row>
    <row r="449" spans="1:8" x14ac:dyDescent="0.25">
      <c r="A449" s="40" t="s">
        <v>36</v>
      </c>
      <c r="B449" s="34">
        <v>610832</v>
      </c>
      <c r="C449" s="35">
        <v>41131</v>
      </c>
      <c r="D449" s="41">
        <v>85</v>
      </c>
      <c r="E449" s="41">
        <v>0</v>
      </c>
      <c r="F449" s="41">
        <v>0</v>
      </c>
      <c r="G449" s="41">
        <v>0</v>
      </c>
      <c r="H449" s="41">
        <v>0</v>
      </c>
    </row>
    <row r="450" spans="1:8" x14ac:dyDescent="0.25">
      <c r="A450" s="40" t="s">
        <v>36</v>
      </c>
      <c r="B450" s="34">
        <v>610832</v>
      </c>
      <c r="C450" s="35">
        <v>41131</v>
      </c>
      <c r="D450" s="41">
        <v>477</v>
      </c>
      <c r="E450" s="41">
        <v>52</v>
      </c>
      <c r="F450" s="41">
        <v>16808</v>
      </c>
      <c r="G450" s="41">
        <v>10</v>
      </c>
      <c r="H450" s="41">
        <v>116</v>
      </c>
    </row>
    <row r="451" spans="1:8" x14ac:dyDescent="0.25">
      <c r="A451" s="40" t="s">
        <v>36</v>
      </c>
      <c r="B451" s="34">
        <v>610832</v>
      </c>
      <c r="C451" s="35">
        <v>41131</v>
      </c>
      <c r="D451" s="41">
        <v>478</v>
      </c>
      <c r="E451" s="41">
        <v>7</v>
      </c>
      <c r="F451" s="41">
        <v>1607</v>
      </c>
      <c r="G451" s="41">
        <v>1</v>
      </c>
      <c r="H451" s="41">
        <v>0</v>
      </c>
    </row>
    <row r="452" spans="1:8" x14ac:dyDescent="0.25">
      <c r="A452" s="40" t="s">
        <v>36</v>
      </c>
      <c r="B452" s="34">
        <v>610832</v>
      </c>
      <c r="C452" s="35">
        <v>41131</v>
      </c>
      <c r="D452" s="41">
        <v>481</v>
      </c>
      <c r="E452" s="41">
        <v>0</v>
      </c>
      <c r="F452" s="41">
        <v>0</v>
      </c>
      <c r="G452" s="41">
        <v>0</v>
      </c>
      <c r="H452" s="41">
        <v>0</v>
      </c>
    </row>
    <row r="453" spans="1:8" x14ac:dyDescent="0.25">
      <c r="A453" s="40" t="s">
        <v>36</v>
      </c>
      <c r="B453" s="34">
        <v>610832</v>
      </c>
      <c r="C453" s="35">
        <v>41131</v>
      </c>
      <c r="D453" s="41">
        <v>790</v>
      </c>
      <c r="E453" s="41">
        <v>0</v>
      </c>
      <c r="F453" s="41">
        <v>0</v>
      </c>
      <c r="G453" s="41">
        <v>0</v>
      </c>
      <c r="H453" s="41">
        <v>0</v>
      </c>
    </row>
    <row r="454" spans="1:8" x14ac:dyDescent="0.25">
      <c r="A454" s="40" t="s">
        <v>36</v>
      </c>
      <c r="B454" s="34">
        <v>610832</v>
      </c>
      <c r="C454" s="35">
        <v>41133</v>
      </c>
      <c r="D454" s="41">
        <v>85</v>
      </c>
      <c r="E454" s="41">
        <v>0</v>
      </c>
      <c r="F454" s="41">
        <v>0</v>
      </c>
      <c r="G454" s="41">
        <v>0</v>
      </c>
      <c r="H454" s="41">
        <v>0</v>
      </c>
    </row>
    <row r="455" spans="1:8" x14ac:dyDescent="0.25">
      <c r="A455" s="40" t="s">
        <v>36</v>
      </c>
      <c r="B455" s="34">
        <v>610832</v>
      </c>
      <c r="C455" s="35">
        <v>41133</v>
      </c>
      <c r="D455" s="41">
        <v>466</v>
      </c>
      <c r="E455" s="41">
        <v>21</v>
      </c>
      <c r="F455" s="41">
        <v>5937</v>
      </c>
      <c r="G455" s="41">
        <v>2</v>
      </c>
      <c r="H455" s="41">
        <v>4</v>
      </c>
    </row>
    <row r="456" spans="1:8" x14ac:dyDescent="0.25">
      <c r="A456" s="40" t="s">
        <v>36</v>
      </c>
      <c r="B456" s="34">
        <v>610832</v>
      </c>
      <c r="C456" s="35">
        <v>41133</v>
      </c>
      <c r="D456" s="41">
        <v>477</v>
      </c>
      <c r="E456" s="41">
        <v>28</v>
      </c>
      <c r="F456" s="41">
        <v>7693</v>
      </c>
      <c r="G456" s="41">
        <v>0</v>
      </c>
      <c r="H456" s="41">
        <v>0</v>
      </c>
    </row>
    <row r="457" spans="1:8" x14ac:dyDescent="0.25">
      <c r="A457" s="40" t="s">
        <v>36</v>
      </c>
      <c r="B457" s="34">
        <v>610832</v>
      </c>
      <c r="C457" s="35">
        <v>41133</v>
      </c>
      <c r="D457" s="41">
        <v>478</v>
      </c>
      <c r="E457" s="41">
        <v>17</v>
      </c>
      <c r="F457" s="41">
        <v>4502</v>
      </c>
      <c r="G457" s="41">
        <v>3</v>
      </c>
      <c r="H457" s="41">
        <v>0</v>
      </c>
    </row>
    <row r="458" spans="1:8" x14ac:dyDescent="0.25">
      <c r="A458" s="40" t="s">
        <v>36</v>
      </c>
      <c r="B458" s="34">
        <v>610832</v>
      </c>
      <c r="C458" s="35">
        <v>41133</v>
      </c>
      <c r="D458" s="41">
        <v>481</v>
      </c>
      <c r="E458" s="41">
        <v>0</v>
      </c>
      <c r="F458" s="41">
        <v>0</v>
      </c>
      <c r="G458" s="41">
        <v>0</v>
      </c>
      <c r="H458" s="41">
        <v>0</v>
      </c>
    </row>
    <row r="459" spans="1:8" x14ac:dyDescent="0.25">
      <c r="A459" s="40" t="s">
        <v>36</v>
      </c>
      <c r="B459" s="34">
        <v>610832</v>
      </c>
      <c r="C459" s="35">
        <v>41133</v>
      </c>
      <c r="D459" s="41">
        <v>790</v>
      </c>
      <c r="E459" s="41">
        <v>0</v>
      </c>
      <c r="F459" s="41">
        <v>0</v>
      </c>
      <c r="G459" s="41">
        <v>0</v>
      </c>
      <c r="H459" s="41">
        <v>0</v>
      </c>
    </row>
    <row r="460" spans="1:8" x14ac:dyDescent="0.25">
      <c r="A460" s="40" t="s">
        <v>36</v>
      </c>
      <c r="B460" s="34">
        <v>610832</v>
      </c>
      <c r="C460" s="35">
        <v>41134</v>
      </c>
      <c r="D460" s="41">
        <v>85</v>
      </c>
      <c r="E460" s="41">
        <v>0</v>
      </c>
      <c r="F460" s="41">
        <v>0</v>
      </c>
      <c r="G460" s="41">
        <v>0</v>
      </c>
      <c r="H460" s="41">
        <v>0</v>
      </c>
    </row>
    <row r="461" spans="1:8" x14ac:dyDescent="0.25">
      <c r="A461" s="40" t="s">
        <v>36</v>
      </c>
      <c r="B461" s="34">
        <v>610832</v>
      </c>
      <c r="C461" s="35">
        <v>41134</v>
      </c>
      <c r="D461" s="41">
        <v>477</v>
      </c>
      <c r="E461" s="41">
        <v>48</v>
      </c>
      <c r="F461" s="41">
        <v>16700</v>
      </c>
      <c r="G461" s="41">
        <v>6</v>
      </c>
      <c r="H461" s="41">
        <v>19</v>
      </c>
    </row>
    <row r="462" spans="1:8" x14ac:dyDescent="0.25">
      <c r="A462" s="40" t="s">
        <v>36</v>
      </c>
      <c r="B462" s="34">
        <v>610832</v>
      </c>
      <c r="C462" s="35">
        <v>41134</v>
      </c>
      <c r="D462" s="41">
        <v>478</v>
      </c>
      <c r="E462" s="41">
        <v>7</v>
      </c>
      <c r="F462" s="41">
        <v>2479</v>
      </c>
      <c r="G462" s="41">
        <v>1</v>
      </c>
      <c r="H462" s="41">
        <v>10</v>
      </c>
    </row>
    <row r="463" spans="1:8" x14ac:dyDescent="0.25">
      <c r="A463" s="40" t="s">
        <v>36</v>
      </c>
      <c r="B463" s="34">
        <v>610832</v>
      </c>
      <c r="C463" s="35">
        <v>41134</v>
      </c>
      <c r="D463" s="41">
        <v>481</v>
      </c>
      <c r="E463" s="41">
        <v>0</v>
      </c>
      <c r="F463" s="41">
        <v>0</v>
      </c>
      <c r="G463" s="41">
        <v>0</v>
      </c>
      <c r="H463" s="41">
        <v>0</v>
      </c>
    </row>
    <row r="464" spans="1:8" x14ac:dyDescent="0.25">
      <c r="A464" s="40" t="s">
        <v>36</v>
      </c>
      <c r="B464" s="34">
        <v>610832</v>
      </c>
      <c r="C464" s="35">
        <v>41134</v>
      </c>
      <c r="D464" s="41">
        <v>790</v>
      </c>
      <c r="E464" s="41">
        <v>0</v>
      </c>
      <c r="F464" s="41">
        <v>0</v>
      </c>
      <c r="G464" s="41">
        <v>0</v>
      </c>
      <c r="H464" s="41">
        <v>0</v>
      </c>
    </row>
    <row r="465" spans="1:8" x14ac:dyDescent="0.25">
      <c r="A465" s="40" t="s">
        <v>36</v>
      </c>
      <c r="B465" s="34">
        <v>610832</v>
      </c>
      <c r="C465" s="35">
        <v>41135</v>
      </c>
      <c r="D465" s="41">
        <v>85</v>
      </c>
      <c r="E465" s="41">
        <v>0</v>
      </c>
      <c r="F465" s="41">
        <v>0</v>
      </c>
      <c r="G465" s="41">
        <v>0</v>
      </c>
      <c r="H465" s="41">
        <v>0</v>
      </c>
    </row>
    <row r="466" spans="1:8" x14ac:dyDescent="0.25">
      <c r="A466" s="40" t="s">
        <v>36</v>
      </c>
      <c r="B466" s="34">
        <v>610832</v>
      </c>
      <c r="C466" s="35">
        <v>41135</v>
      </c>
      <c r="D466" s="41">
        <v>466</v>
      </c>
      <c r="E466" s="41">
        <v>2</v>
      </c>
      <c r="F466" s="41">
        <v>242</v>
      </c>
      <c r="G466" s="41">
        <v>0</v>
      </c>
      <c r="H466" s="41">
        <v>0</v>
      </c>
    </row>
    <row r="467" spans="1:8" x14ac:dyDescent="0.25">
      <c r="A467" s="40" t="s">
        <v>36</v>
      </c>
      <c r="B467" s="34">
        <v>610832</v>
      </c>
      <c r="C467" s="35">
        <v>41135</v>
      </c>
      <c r="D467" s="41">
        <v>467</v>
      </c>
      <c r="E467" s="41">
        <v>0</v>
      </c>
      <c r="F467" s="41">
        <v>0</v>
      </c>
      <c r="G467" s="41">
        <v>0</v>
      </c>
      <c r="H467" s="41">
        <v>0</v>
      </c>
    </row>
    <row r="468" spans="1:8" x14ac:dyDescent="0.25">
      <c r="A468" s="40" t="s">
        <v>36</v>
      </c>
      <c r="B468" s="34">
        <v>610832</v>
      </c>
      <c r="C468" s="35">
        <v>41135</v>
      </c>
      <c r="D468" s="41">
        <v>477</v>
      </c>
      <c r="E468" s="41">
        <v>20</v>
      </c>
      <c r="F468" s="41">
        <v>7850</v>
      </c>
      <c r="G468" s="41">
        <v>2</v>
      </c>
      <c r="H468" s="41">
        <v>7</v>
      </c>
    </row>
    <row r="469" spans="1:8" x14ac:dyDescent="0.25">
      <c r="A469" s="40" t="s">
        <v>36</v>
      </c>
      <c r="B469" s="34">
        <v>610832</v>
      </c>
      <c r="C469" s="35">
        <v>41135</v>
      </c>
      <c r="D469" s="41">
        <v>478</v>
      </c>
      <c r="E469" s="41">
        <v>29</v>
      </c>
      <c r="F469" s="41">
        <v>10923</v>
      </c>
      <c r="G469" s="41">
        <v>2</v>
      </c>
      <c r="H469" s="41">
        <v>8</v>
      </c>
    </row>
    <row r="470" spans="1:8" x14ac:dyDescent="0.25">
      <c r="A470" s="40" t="s">
        <v>36</v>
      </c>
      <c r="B470" s="34">
        <v>610832</v>
      </c>
      <c r="C470" s="35">
        <v>41135</v>
      </c>
      <c r="D470" s="41">
        <v>481</v>
      </c>
      <c r="E470" s="41">
        <v>0</v>
      </c>
      <c r="F470" s="41">
        <v>0</v>
      </c>
      <c r="G470" s="41">
        <v>0</v>
      </c>
      <c r="H470" s="41">
        <v>0</v>
      </c>
    </row>
    <row r="471" spans="1:8" x14ac:dyDescent="0.25">
      <c r="A471" s="40" t="s">
        <v>36</v>
      </c>
      <c r="B471" s="34">
        <v>610832</v>
      </c>
      <c r="C471" s="35">
        <v>41135</v>
      </c>
      <c r="D471" s="41">
        <v>790</v>
      </c>
      <c r="E471" s="41">
        <v>0</v>
      </c>
      <c r="F471" s="41">
        <v>0</v>
      </c>
      <c r="G471" s="41">
        <v>0</v>
      </c>
      <c r="H471" s="41">
        <v>0</v>
      </c>
    </row>
    <row r="472" spans="1:8" x14ac:dyDescent="0.25">
      <c r="A472" s="40" t="s">
        <v>36</v>
      </c>
      <c r="B472" s="34">
        <v>610832</v>
      </c>
      <c r="C472" s="35">
        <v>41136</v>
      </c>
      <c r="D472" s="41">
        <v>85</v>
      </c>
      <c r="E472" s="41">
        <v>0</v>
      </c>
      <c r="F472" s="41">
        <v>0</v>
      </c>
      <c r="G472" s="41">
        <v>0</v>
      </c>
      <c r="H472" s="41">
        <v>0</v>
      </c>
    </row>
    <row r="473" spans="1:8" x14ac:dyDescent="0.25">
      <c r="A473" s="40" t="s">
        <v>36</v>
      </c>
      <c r="B473" s="34">
        <v>610832</v>
      </c>
      <c r="C473" s="35">
        <v>41136</v>
      </c>
      <c r="D473" s="41">
        <v>465</v>
      </c>
      <c r="E473" s="41">
        <v>0</v>
      </c>
      <c r="F473" s="41">
        <v>0</v>
      </c>
      <c r="G473" s="41">
        <v>0</v>
      </c>
      <c r="H473" s="41">
        <v>0</v>
      </c>
    </row>
    <row r="474" spans="1:8" x14ac:dyDescent="0.25">
      <c r="A474" s="40" t="s">
        <v>36</v>
      </c>
      <c r="B474" s="34">
        <v>610832</v>
      </c>
      <c r="C474" s="35">
        <v>41136</v>
      </c>
      <c r="D474" s="41">
        <v>466</v>
      </c>
      <c r="E474" s="41">
        <v>2</v>
      </c>
      <c r="F474" s="41">
        <v>1566</v>
      </c>
      <c r="G474" s="41">
        <v>0</v>
      </c>
      <c r="H474" s="41">
        <v>3</v>
      </c>
    </row>
    <row r="475" spans="1:8" x14ac:dyDescent="0.25">
      <c r="A475" s="40" t="s">
        <v>36</v>
      </c>
      <c r="B475" s="34">
        <v>610832</v>
      </c>
      <c r="C475" s="35">
        <v>41136</v>
      </c>
      <c r="D475" s="41">
        <v>467</v>
      </c>
      <c r="E475" s="41">
        <v>0</v>
      </c>
      <c r="F475" s="41">
        <v>0</v>
      </c>
      <c r="G475" s="41">
        <v>0</v>
      </c>
      <c r="H475" s="41">
        <v>0</v>
      </c>
    </row>
    <row r="476" spans="1:8" x14ac:dyDescent="0.25">
      <c r="A476" s="40" t="s">
        <v>36</v>
      </c>
      <c r="B476" s="34">
        <v>610832</v>
      </c>
      <c r="C476" s="35">
        <v>41136</v>
      </c>
      <c r="D476" s="41">
        <v>477</v>
      </c>
      <c r="E476" s="41">
        <v>3</v>
      </c>
      <c r="F476" s="41">
        <v>836</v>
      </c>
      <c r="G476" s="41">
        <v>0</v>
      </c>
      <c r="H476" s="41">
        <v>0</v>
      </c>
    </row>
    <row r="477" spans="1:8" x14ac:dyDescent="0.25">
      <c r="A477" s="40" t="s">
        <v>36</v>
      </c>
      <c r="B477" s="34">
        <v>610832</v>
      </c>
      <c r="C477" s="35">
        <v>41136</v>
      </c>
      <c r="D477" s="41">
        <v>478</v>
      </c>
      <c r="E477" s="41">
        <v>9</v>
      </c>
      <c r="F477" s="41">
        <v>2206</v>
      </c>
      <c r="G477" s="41">
        <v>1</v>
      </c>
      <c r="H477" s="41">
        <v>13</v>
      </c>
    </row>
    <row r="478" spans="1:8" x14ac:dyDescent="0.25">
      <c r="A478" s="40" t="s">
        <v>36</v>
      </c>
      <c r="B478" s="34">
        <v>610832</v>
      </c>
      <c r="C478" s="35">
        <v>41136</v>
      </c>
      <c r="D478" s="41">
        <v>480</v>
      </c>
      <c r="E478" s="41">
        <v>11</v>
      </c>
      <c r="F478" s="41">
        <v>4670</v>
      </c>
      <c r="G478" s="41">
        <v>0</v>
      </c>
      <c r="H478" s="41">
        <v>0</v>
      </c>
    </row>
    <row r="479" spans="1:8" x14ac:dyDescent="0.25">
      <c r="A479" s="40" t="s">
        <v>36</v>
      </c>
      <c r="B479" s="34">
        <v>610832</v>
      </c>
      <c r="C479" s="35">
        <v>41136</v>
      </c>
      <c r="D479" s="41">
        <v>481</v>
      </c>
      <c r="E479" s="41">
        <v>6</v>
      </c>
      <c r="F479" s="41">
        <v>2152</v>
      </c>
      <c r="G479" s="41">
        <v>2</v>
      </c>
      <c r="H479" s="41">
        <v>5</v>
      </c>
    </row>
    <row r="480" spans="1:8" x14ac:dyDescent="0.25">
      <c r="A480" s="40" t="s">
        <v>36</v>
      </c>
      <c r="B480" s="34">
        <v>610832</v>
      </c>
      <c r="C480" s="35">
        <v>41136</v>
      </c>
      <c r="D480" s="41">
        <v>482</v>
      </c>
      <c r="E480" s="41">
        <v>13</v>
      </c>
      <c r="F480" s="41">
        <v>7497</v>
      </c>
      <c r="G480" s="41">
        <v>1</v>
      </c>
      <c r="H480" s="41">
        <v>19</v>
      </c>
    </row>
    <row r="481" spans="1:8" x14ac:dyDescent="0.25">
      <c r="A481" s="40" t="s">
        <v>36</v>
      </c>
      <c r="B481" s="34">
        <v>610832</v>
      </c>
      <c r="C481" s="35">
        <v>41136</v>
      </c>
      <c r="D481" s="41">
        <v>790</v>
      </c>
      <c r="E481" s="41">
        <v>0</v>
      </c>
      <c r="F481" s="41">
        <v>0</v>
      </c>
      <c r="G481" s="41">
        <v>0</v>
      </c>
      <c r="H481" s="41">
        <v>0</v>
      </c>
    </row>
    <row r="482" spans="1:8" x14ac:dyDescent="0.25">
      <c r="A482" s="40" t="s">
        <v>36</v>
      </c>
      <c r="B482" s="34">
        <v>610832</v>
      </c>
      <c r="C482" s="35">
        <v>41137</v>
      </c>
      <c r="D482" s="41">
        <v>85</v>
      </c>
      <c r="E482" s="41">
        <v>0</v>
      </c>
      <c r="F482" s="41">
        <v>0</v>
      </c>
      <c r="G482" s="41">
        <v>0</v>
      </c>
      <c r="H482" s="41">
        <v>0</v>
      </c>
    </row>
    <row r="483" spans="1:8" x14ac:dyDescent="0.25">
      <c r="A483" s="40" t="s">
        <v>36</v>
      </c>
      <c r="B483" s="34">
        <v>610832</v>
      </c>
      <c r="C483" s="35">
        <v>41137</v>
      </c>
      <c r="D483" s="41">
        <v>465</v>
      </c>
      <c r="E483" s="41">
        <v>0</v>
      </c>
      <c r="F483" s="41">
        <v>0</v>
      </c>
      <c r="G483" s="41">
        <v>0</v>
      </c>
      <c r="H483" s="41">
        <v>0</v>
      </c>
    </row>
    <row r="484" spans="1:8" x14ac:dyDescent="0.25">
      <c r="A484" s="40" t="s">
        <v>36</v>
      </c>
      <c r="B484" s="34">
        <v>610832</v>
      </c>
      <c r="C484" s="35">
        <v>41137</v>
      </c>
      <c r="D484" s="41">
        <v>466</v>
      </c>
      <c r="E484" s="41">
        <v>32</v>
      </c>
      <c r="F484" s="41">
        <v>13473</v>
      </c>
      <c r="G484" s="41">
        <v>2</v>
      </c>
      <c r="H484" s="41">
        <v>6</v>
      </c>
    </row>
    <row r="485" spans="1:8" x14ac:dyDescent="0.25">
      <c r="A485" s="40" t="s">
        <v>36</v>
      </c>
      <c r="B485" s="34">
        <v>610832</v>
      </c>
      <c r="C485" s="35">
        <v>41137</v>
      </c>
      <c r="D485" s="41">
        <v>467</v>
      </c>
      <c r="E485" s="41">
        <v>0</v>
      </c>
      <c r="F485" s="41">
        <v>0</v>
      </c>
      <c r="G485" s="41">
        <v>0</v>
      </c>
      <c r="H485" s="41">
        <v>0</v>
      </c>
    </row>
    <row r="486" spans="1:8" x14ac:dyDescent="0.25">
      <c r="A486" s="40" t="s">
        <v>36</v>
      </c>
      <c r="B486" s="34">
        <v>610832</v>
      </c>
      <c r="C486" s="35">
        <v>41137</v>
      </c>
      <c r="D486" s="41">
        <v>477</v>
      </c>
      <c r="E486" s="41">
        <v>13</v>
      </c>
      <c r="F486" s="41">
        <v>3891</v>
      </c>
      <c r="G486" s="41">
        <v>0</v>
      </c>
      <c r="H486" s="41">
        <v>6</v>
      </c>
    </row>
    <row r="487" spans="1:8" x14ac:dyDescent="0.25">
      <c r="A487" s="40" t="s">
        <v>36</v>
      </c>
      <c r="B487" s="34">
        <v>610832</v>
      </c>
      <c r="C487" s="35">
        <v>41137</v>
      </c>
      <c r="D487" s="41">
        <v>478</v>
      </c>
      <c r="E487" s="41">
        <v>0</v>
      </c>
      <c r="F487" s="41">
        <v>0</v>
      </c>
      <c r="G487" s="41">
        <v>0</v>
      </c>
      <c r="H487" s="41">
        <v>0</v>
      </c>
    </row>
    <row r="488" spans="1:8" x14ac:dyDescent="0.25">
      <c r="A488" s="40" t="s">
        <v>36</v>
      </c>
      <c r="B488" s="34">
        <v>610832</v>
      </c>
      <c r="C488" s="35">
        <v>41137</v>
      </c>
      <c r="D488" s="41">
        <v>480</v>
      </c>
      <c r="E488" s="41">
        <v>3</v>
      </c>
      <c r="F488" s="41">
        <v>842</v>
      </c>
      <c r="G488" s="41">
        <v>7</v>
      </c>
      <c r="H488" s="41">
        <v>0</v>
      </c>
    </row>
    <row r="489" spans="1:8" x14ac:dyDescent="0.25">
      <c r="A489" s="40" t="s">
        <v>36</v>
      </c>
      <c r="B489" s="34">
        <v>610832</v>
      </c>
      <c r="C489" s="35">
        <v>41137</v>
      </c>
      <c r="D489" s="41">
        <v>481</v>
      </c>
      <c r="E489" s="41">
        <v>0</v>
      </c>
      <c r="F489" s="41">
        <v>0</v>
      </c>
      <c r="G489" s="41">
        <v>0</v>
      </c>
      <c r="H489" s="41">
        <v>0</v>
      </c>
    </row>
    <row r="490" spans="1:8" x14ac:dyDescent="0.25">
      <c r="A490" s="40" t="s">
        <v>36</v>
      </c>
      <c r="B490" s="34">
        <v>610832</v>
      </c>
      <c r="C490" s="35">
        <v>41137</v>
      </c>
      <c r="D490" s="41">
        <v>482</v>
      </c>
      <c r="E490" s="41">
        <v>1</v>
      </c>
      <c r="F490" s="41">
        <v>762</v>
      </c>
      <c r="G490" s="41">
        <v>0</v>
      </c>
      <c r="H490" s="41">
        <v>0</v>
      </c>
    </row>
    <row r="491" spans="1:8" x14ac:dyDescent="0.25">
      <c r="A491" s="40" t="s">
        <v>36</v>
      </c>
      <c r="B491" s="34">
        <v>610832</v>
      </c>
      <c r="C491" s="35">
        <v>41137</v>
      </c>
      <c r="D491" s="41">
        <v>790</v>
      </c>
      <c r="E491" s="41">
        <v>0</v>
      </c>
      <c r="F491" s="41">
        <v>0</v>
      </c>
      <c r="G491" s="41">
        <v>0</v>
      </c>
      <c r="H491" s="41">
        <v>0</v>
      </c>
    </row>
    <row r="492" spans="1:8" x14ac:dyDescent="0.25">
      <c r="A492" s="40" t="s">
        <v>36</v>
      </c>
      <c r="B492" s="34">
        <v>610832</v>
      </c>
      <c r="C492" s="35">
        <v>41138</v>
      </c>
      <c r="D492" s="41">
        <v>85</v>
      </c>
      <c r="E492" s="41">
        <v>0</v>
      </c>
      <c r="F492" s="41">
        <v>0</v>
      </c>
      <c r="G492" s="41">
        <v>0</v>
      </c>
      <c r="H492" s="41">
        <v>0</v>
      </c>
    </row>
    <row r="493" spans="1:8" x14ac:dyDescent="0.25">
      <c r="A493" s="40" t="s">
        <v>36</v>
      </c>
      <c r="B493" s="34">
        <v>610832</v>
      </c>
      <c r="C493" s="35">
        <v>41138</v>
      </c>
      <c r="D493" s="41">
        <v>465</v>
      </c>
      <c r="E493" s="41">
        <v>0</v>
      </c>
      <c r="F493" s="41">
        <v>0</v>
      </c>
      <c r="G493" s="41">
        <v>0</v>
      </c>
      <c r="H493" s="41">
        <v>0</v>
      </c>
    </row>
    <row r="494" spans="1:8" x14ac:dyDescent="0.25">
      <c r="A494" s="40" t="s">
        <v>36</v>
      </c>
      <c r="B494" s="34">
        <v>610832</v>
      </c>
      <c r="C494" s="35">
        <v>41138</v>
      </c>
      <c r="D494" s="41">
        <v>466</v>
      </c>
      <c r="E494" s="41">
        <v>23</v>
      </c>
      <c r="F494" s="41">
        <v>9037</v>
      </c>
      <c r="G494" s="41">
        <v>0</v>
      </c>
      <c r="H494" s="41">
        <v>99</v>
      </c>
    </row>
    <row r="495" spans="1:8" x14ac:dyDescent="0.25">
      <c r="A495" s="40" t="s">
        <v>36</v>
      </c>
      <c r="B495" s="34">
        <v>610832</v>
      </c>
      <c r="C495" s="35">
        <v>41138</v>
      </c>
      <c r="D495" s="41">
        <v>467</v>
      </c>
      <c r="E495" s="41">
        <v>0</v>
      </c>
      <c r="F495" s="41">
        <v>0</v>
      </c>
      <c r="G495" s="41">
        <v>0</v>
      </c>
      <c r="H495" s="41">
        <v>0</v>
      </c>
    </row>
    <row r="496" spans="1:8" x14ac:dyDescent="0.25">
      <c r="A496" s="40" t="s">
        <v>36</v>
      </c>
      <c r="B496" s="34">
        <v>610832</v>
      </c>
      <c r="C496" s="35">
        <v>41138</v>
      </c>
      <c r="D496" s="41">
        <v>477</v>
      </c>
      <c r="E496" s="41">
        <v>9</v>
      </c>
      <c r="F496" s="41">
        <v>2698</v>
      </c>
      <c r="G496" s="41">
        <v>0</v>
      </c>
      <c r="H496" s="41">
        <v>16</v>
      </c>
    </row>
    <row r="497" spans="1:8" x14ac:dyDescent="0.25">
      <c r="A497" s="40" t="s">
        <v>36</v>
      </c>
      <c r="B497" s="34">
        <v>610832</v>
      </c>
      <c r="C497" s="35">
        <v>41138</v>
      </c>
      <c r="D497" s="41">
        <v>478</v>
      </c>
      <c r="E497" s="41">
        <v>5</v>
      </c>
      <c r="F497" s="41">
        <v>1326</v>
      </c>
      <c r="G497" s="41">
        <v>0</v>
      </c>
      <c r="H497" s="41">
        <v>0</v>
      </c>
    </row>
    <row r="498" spans="1:8" x14ac:dyDescent="0.25">
      <c r="A498" s="40" t="s">
        <v>36</v>
      </c>
      <c r="B498" s="34">
        <v>610832</v>
      </c>
      <c r="C498" s="35">
        <v>41138</v>
      </c>
      <c r="D498" s="41">
        <v>480</v>
      </c>
      <c r="E498" s="41">
        <v>7</v>
      </c>
      <c r="F498" s="41">
        <v>2207</v>
      </c>
      <c r="G498" s="41">
        <v>0</v>
      </c>
      <c r="H498" s="41">
        <v>20</v>
      </c>
    </row>
    <row r="499" spans="1:8" x14ac:dyDescent="0.25">
      <c r="A499" s="40" t="s">
        <v>36</v>
      </c>
      <c r="B499" s="34">
        <v>610832</v>
      </c>
      <c r="C499" s="35">
        <v>41138</v>
      </c>
      <c r="D499" s="41">
        <v>481</v>
      </c>
      <c r="E499" s="41">
        <v>0</v>
      </c>
      <c r="F499" s="41">
        <v>0</v>
      </c>
      <c r="G499" s="41">
        <v>0</v>
      </c>
      <c r="H499" s="41">
        <v>0</v>
      </c>
    </row>
    <row r="500" spans="1:8" x14ac:dyDescent="0.25">
      <c r="A500" s="40" t="s">
        <v>36</v>
      </c>
      <c r="B500" s="34">
        <v>610832</v>
      </c>
      <c r="C500" s="35">
        <v>41138</v>
      </c>
      <c r="D500" s="41">
        <v>482</v>
      </c>
      <c r="E500" s="41">
        <v>8</v>
      </c>
      <c r="F500" s="41">
        <v>2187</v>
      </c>
      <c r="G500" s="41">
        <v>0</v>
      </c>
      <c r="H500" s="41">
        <v>11</v>
      </c>
    </row>
    <row r="501" spans="1:8" x14ac:dyDescent="0.25">
      <c r="A501" s="40" t="s">
        <v>36</v>
      </c>
      <c r="B501" s="34">
        <v>610832</v>
      </c>
      <c r="C501" s="35">
        <v>41138</v>
      </c>
      <c r="D501" s="41">
        <v>790</v>
      </c>
      <c r="E501" s="41">
        <v>0</v>
      </c>
      <c r="F501" s="41">
        <v>0</v>
      </c>
      <c r="G501" s="41">
        <v>0</v>
      </c>
      <c r="H501" s="41">
        <v>0</v>
      </c>
    </row>
    <row r="502" spans="1:8" x14ac:dyDescent="0.25">
      <c r="A502" s="40" t="s">
        <v>36</v>
      </c>
      <c r="B502" s="34">
        <v>610832</v>
      </c>
      <c r="C502" s="35">
        <v>41139</v>
      </c>
      <c r="D502" s="41">
        <v>465</v>
      </c>
      <c r="E502" s="41">
        <v>0</v>
      </c>
      <c r="F502" s="41">
        <v>0</v>
      </c>
      <c r="G502" s="41">
        <v>0</v>
      </c>
      <c r="H502" s="41">
        <v>0</v>
      </c>
    </row>
    <row r="503" spans="1:8" x14ac:dyDescent="0.25">
      <c r="A503" s="40" t="s">
        <v>36</v>
      </c>
      <c r="B503" s="34">
        <v>610832</v>
      </c>
      <c r="C503" s="35">
        <v>41139</v>
      </c>
      <c r="D503" s="41">
        <v>467</v>
      </c>
      <c r="E503" s="41">
        <v>0</v>
      </c>
      <c r="F503" s="41">
        <v>0</v>
      </c>
      <c r="G503" s="41">
        <v>0</v>
      </c>
      <c r="H503" s="41">
        <v>0</v>
      </c>
    </row>
    <row r="504" spans="1:8" x14ac:dyDescent="0.25">
      <c r="A504" s="40" t="s">
        <v>36</v>
      </c>
      <c r="B504" s="34">
        <v>610832</v>
      </c>
      <c r="C504" s="35">
        <v>41139</v>
      </c>
      <c r="D504" s="41">
        <v>478</v>
      </c>
      <c r="E504" s="41">
        <v>10</v>
      </c>
      <c r="F504" s="41">
        <v>3040</v>
      </c>
      <c r="G504" s="41">
        <v>0</v>
      </c>
      <c r="H504" s="41">
        <v>0</v>
      </c>
    </row>
    <row r="505" spans="1:8" x14ac:dyDescent="0.25">
      <c r="A505" s="40" t="s">
        <v>36</v>
      </c>
      <c r="B505" s="34">
        <v>610832</v>
      </c>
      <c r="C505" s="35">
        <v>41139</v>
      </c>
      <c r="D505" s="41">
        <v>480</v>
      </c>
      <c r="E505" s="41">
        <v>11</v>
      </c>
      <c r="F505" s="41">
        <v>4703</v>
      </c>
      <c r="G505" s="41">
        <v>2</v>
      </c>
      <c r="H505" s="41">
        <v>55</v>
      </c>
    </row>
    <row r="506" spans="1:8" x14ac:dyDescent="0.25">
      <c r="A506" s="40" t="s">
        <v>36</v>
      </c>
      <c r="B506" s="34">
        <v>610832</v>
      </c>
      <c r="C506" s="35">
        <v>41139</v>
      </c>
      <c r="D506" s="41">
        <v>481</v>
      </c>
      <c r="E506" s="41">
        <v>0</v>
      </c>
      <c r="F506" s="41">
        <v>0</v>
      </c>
      <c r="G506" s="41">
        <v>0</v>
      </c>
      <c r="H506" s="41">
        <v>0</v>
      </c>
    </row>
    <row r="507" spans="1:8" x14ac:dyDescent="0.25">
      <c r="A507" s="40" t="s">
        <v>36</v>
      </c>
      <c r="B507" s="34">
        <v>610832</v>
      </c>
      <c r="C507" s="35">
        <v>41139</v>
      </c>
      <c r="D507" s="41">
        <v>482</v>
      </c>
      <c r="E507" s="41">
        <v>35</v>
      </c>
      <c r="F507" s="41">
        <v>10144</v>
      </c>
      <c r="G507" s="41">
        <v>1</v>
      </c>
      <c r="H507" s="41">
        <v>19</v>
      </c>
    </row>
    <row r="508" spans="1:8" x14ac:dyDescent="0.25">
      <c r="A508" s="40" t="s">
        <v>36</v>
      </c>
      <c r="B508" s="34">
        <v>610832</v>
      </c>
      <c r="C508" s="35">
        <v>41139</v>
      </c>
      <c r="D508" s="41">
        <v>790</v>
      </c>
      <c r="E508" s="41">
        <v>0</v>
      </c>
      <c r="F508" s="41">
        <v>0</v>
      </c>
      <c r="G508" s="41">
        <v>0</v>
      </c>
      <c r="H508" s="41">
        <v>0</v>
      </c>
    </row>
    <row r="509" spans="1:8" x14ac:dyDescent="0.25">
      <c r="A509" s="40" t="s">
        <v>36</v>
      </c>
      <c r="B509" s="34">
        <v>610832</v>
      </c>
      <c r="C509" s="35">
        <v>41141</v>
      </c>
      <c r="D509" s="41">
        <v>85</v>
      </c>
      <c r="E509" s="41">
        <v>0</v>
      </c>
      <c r="F509" s="41">
        <v>0</v>
      </c>
      <c r="G509" s="41">
        <v>0</v>
      </c>
      <c r="H509" s="41">
        <v>0</v>
      </c>
    </row>
    <row r="510" spans="1:8" x14ac:dyDescent="0.25">
      <c r="A510" s="40" t="s">
        <v>36</v>
      </c>
      <c r="B510" s="34">
        <v>610832</v>
      </c>
      <c r="C510" s="35">
        <v>41141</v>
      </c>
      <c r="D510" s="41">
        <v>465</v>
      </c>
      <c r="E510" s="41">
        <v>0</v>
      </c>
      <c r="F510" s="41">
        <v>0</v>
      </c>
      <c r="G510" s="41">
        <v>0</v>
      </c>
      <c r="H510" s="41">
        <v>0</v>
      </c>
    </row>
    <row r="511" spans="1:8" x14ac:dyDescent="0.25">
      <c r="A511" s="40" t="s">
        <v>36</v>
      </c>
      <c r="B511" s="34">
        <v>610832</v>
      </c>
      <c r="C511" s="35">
        <v>41141</v>
      </c>
      <c r="D511" s="41">
        <v>466</v>
      </c>
      <c r="E511" s="41">
        <v>31</v>
      </c>
      <c r="F511" s="41">
        <v>10249</v>
      </c>
      <c r="G511" s="41">
        <v>7</v>
      </c>
      <c r="H511" s="41">
        <v>3</v>
      </c>
    </row>
    <row r="512" spans="1:8" x14ac:dyDescent="0.25">
      <c r="A512" s="40" t="s">
        <v>36</v>
      </c>
      <c r="B512" s="34">
        <v>610832</v>
      </c>
      <c r="C512" s="35">
        <v>41141</v>
      </c>
      <c r="D512" s="41">
        <v>467</v>
      </c>
      <c r="E512" s="41">
        <v>0</v>
      </c>
      <c r="F512" s="41">
        <v>0</v>
      </c>
      <c r="G512" s="41">
        <v>0</v>
      </c>
      <c r="H512" s="41">
        <v>0</v>
      </c>
    </row>
    <row r="513" spans="1:8" x14ac:dyDescent="0.25">
      <c r="A513" s="40" t="s">
        <v>36</v>
      </c>
      <c r="B513" s="34">
        <v>610832</v>
      </c>
      <c r="C513" s="35">
        <v>41141</v>
      </c>
      <c r="D513" s="41">
        <v>477</v>
      </c>
      <c r="E513" s="41">
        <v>20</v>
      </c>
      <c r="F513" s="41">
        <v>6557</v>
      </c>
      <c r="G513" s="41">
        <v>0</v>
      </c>
      <c r="H513" s="41">
        <v>15</v>
      </c>
    </row>
    <row r="514" spans="1:8" x14ac:dyDescent="0.25">
      <c r="A514" s="40" t="s">
        <v>36</v>
      </c>
      <c r="B514" s="34">
        <v>610832</v>
      </c>
      <c r="C514" s="35">
        <v>41141</v>
      </c>
      <c r="D514" s="41">
        <v>478</v>
      </c>
      <c r="E514" s="41">
        <v>2</v>
      </c>
      <c r="F514" s="41">
        <v>224</v>
      </c>
      <c r="G514" s="41">
        <v>0</v>
      </c>
      <c r="H514" s="41">
        <v>0</v>
      </c>
    </row>
    <row r="515" spans="1:8" x14ac:dyDescent="0.25">
      <c r="A515" s="40" t="s">
        <v>36</v>
      </c>
      <c r="B515" s="34">
        <v>610832</v>
      </c>
      <c r="C515" s="35">
        <v>41141</v>
      </c>
      <c r="D515" s="41">
        <v>480</v>
      </c>
      <c r="E515" s="41">
        <v>4</v>
      </c>
      <c r="F515" s="41">
        <v>802</v>
      </c>
      <c r="G515" s="41">
        <v>0</v>
      </c>
      <c r="H515" s="41">
        <v>0</v>
      </c>
    </row>
    <row r="516" spans="1:8" x14ac:dyDescent="0.25">
      <c r="A516" s="40" t="s">
        <v>36</v>
      </c>
      <c r="B516" s="34">
        <v>610832</v>
      </c>
      <c r="C516" s="35">
        <v>41141</v>
      </c>
      <c r="D516" s="41">
        <v>481</v>
      </c>
      <c r="E516" s="41">
        <v>0</v>
      </c>
      <c r="F516" s="41">
        <v>0</v>
      </c>
      <c r="G516" s="41">
        <v>0</v>
      </c>
      <c r="H516" s="41">
        <v>0</v>
      </c>
    </row>
    <row r="517" spans="1:8" x14ac:dyDescent="0.25">
      <c r="A517" s="40" t="s">
        <v>36</v>
      </c>
      <c r="B517" s="34">
        <v>610832</v>
      </c>
      <c r="C517" s="35">
        <v>41141</v>
      </c>
      <c r="D517" s="41">
        <v>482</v>
      </c>
      <c r="E517" s="41">
        <v>6</v>
      </c>
      <c r="F517" s="41">
        <v>2185</v>
      </c>
      <c r="G517" s="41">
        <v>0</v>
      </c>
      <c r="H517" s="41">
        <v>6</v>
      </c>
    </row>
    <row r="518" spans="1:8" x14ac:dyDescent="0.25">
      <c r="A518" s="40" t="s">
        <v>36</v>
      </c>
      <c r="B518" s="34">
        <v>610832</v>
      </c>
      <c r="C518" s="35">
        <v>41141</v>
      </c>
      <c r="D518" s="41">
        <v>790</v>
      </c>
      <c r="E518" s="41">
        <v>0</v>
      </c>
      <c r="F518" s="41">
        <v>0</v>
      </c>
      <c r="G518" s="41">
        <v>0</v>
      </c>
      <c r="H518" s="41">
        <v>0</v>
      </c>
    </row>
    <row r="519" spans="1:8" x14ac:dyDescent="0.25">
      <c r="A519" s="40" t="s">
        <v>36</v>
      </c>
      <c r="B519" s="34">
        <v>610832</v>
      </c>
      <c r="C519" s="35">
        <v>41142</v>
      </c>
      <c r="D519" s="41">
        <v>85</v>
      </c>
      <c r="E519" s="41">
        <v>0</v>
      </c>
      <c r="F519" s="41">
        <v>0</v>
      </c>
      <c r="G519" s="41">
        <v>0</v>
      </c>
      <c r="H519" s="41">
        <v>0</v>
      </c>
    </row>
    <row r="520" spans="1:8" x14ac:dyDescent="0.25">
      <c r="A520" s="40" t="s">
        <v>36</v>
      </c>
      <c r="B520" s="34">
        <v>610832</v>
      </c>
      <c r="C520" s="35">
        <v>41142</v>
      </c>
      <c r="D520" s="41">
        <v>465</v>
      </c>
      <c r="E520" s="41">
        <v>0</v>
      </c>
      <c r="F520" s="41">
        <v>0</v>
      </c>
      <c r="G520" s="41">
        <v>0</v>
      </c>
      <c r="H520" s="41">
        <v>0</v>
      </c>
    </row>
    <row r="521" spans="1:8" x14ac:dyDescent="0.25">
      <c r="A521" s="40" t="s">
        <v>36</v>
      </c>
      <c r="B521" s="34">
        <v>610832</v>
      </c>
      <c r="C521" s="35">
        <v>41142</v>
      </c>
      <c r="D521" s="41">
        <v>466</v>
      </c>
      <c r="E521" s="41">
        <v>26</v>
      </c>
      <c r="F521" s="41">
        <v>7562</v>
      </c>
      <c r="G521" s="41">
        <v>2</v>
      </c>
      <c r="H521" s="41">
        <v>25</v>
      </c>
    </row>
    <row r="522" spans="1:8" x14ac:dyDescent="0.25">
      <c r="A522" s="40" t="s">
        <v>36</v>
      </c>
      <c r="B522" s="34">
        <v>610832</v>
      </c>
      <c r="C522" s="35">
        <v>41142</v>
      </c>
      <c r="D522" s="41">
        <v>467</v>
      </c>
      <c r="E522" s="41">
        <v>0</v>
      </c>
      <c r="F522" s="41">
        <v>0</v>
      </c>
      <c r="G522" s="41">
        <v>0</v>
      </c>
      <c r="H522" s="41">
        <v>0</v>
      </c>
    </row>
    <row r="523" spans="1:8" x14ac:dyDescent="0.25">
      <c r="A523" s="40" t="s">
        <v>36</v>
      </c>
      <c r="B523" s="34">
        <v>610832</v>
      </c>
      <c r="C523" s="35">
        <v>41142</v>
      </c>
      <c r="D523" s="41">
        <v>477</v>
      </c>
      <c r="E523" s="41">
        <v>13</v>
      </c>
      <c r="F523" s="41">
        <v>4526</v>
      </c>
      <c r="G523" s="41">
        <v>0</v>
      </c>
      <c r="H523" s="41">
        <v>14</v>
      </c>
    </row>
    <row r="524" spans="1:8" x14ac:dyDescent="0.25">
      <c r="A524" s="40" t="s">
        <v>36</v>
      </c>
      <c r="B524" s="34">
        <v>610832</v>
      </c>
      <c r="C524" s="35">
        <v>41142</v>
      </c>
      <c r="D524" s="41">
        <v>478</v>
      </c>
      <c r="E524" s="41">
        <v>4</v>
      </c>
      <c r="F524" s="41">
        <v>2635</v>
      </c>
      <c r="G524" s="41">
        <v>0</v>
      </c>
      <c r="H524" s="41">
        <v>30</v>
      </c>
    </row>
    <row r="525" spans="1:8" x14ac:dyDescent="0.25">
      <c r="A525" s="40" t="s">
        <v>36</v>
      </c>
      <c r="B525" s="34">
        <v>610832</v>
      </c>
      <c r="C525" s="35">
        <v>41142</v>
      </c>
      <c r="D525" s="41">
        <v>480</v>
      </c>
      <c r="E525" s="41">
        <v>1</v>
      </c>
      <c r="F525" s="41">
        <v>299</v>
      </c>
      <c r="G525" s="41">
        <v>0</v>
      </c>
      <c r="H525" s="41">
        <v>0</v>
      </c>
    </row>
    <row r="526" spans="1:8" x14ac:dyDescent="0.25">
      <c r="A526" s="40" t="s">
        <v>36</v>
      </c>
      <c r="B526" s="34">
        <v>610832</v>
      </c>
      <c r="C526" s="35">
        <v>41142</v>
      </c>
      <c r="D526" s="41">
        <v>481</v>
      </c>
      <c r="E526" s="41">
        <v>0</v>
      </c>
      <c r="F526" s="41">
        <v>0</v>
      </c>
      <c r="G526" s="41">
        <v>0</v>
      </c>
      <c r="H526" s="41">
        <v>0</v>
      </c>
    </row>
    <row r="527" spans="1:8" x14ac:dyDescent="0.25">
      <c r="A527" s="40" t="s">
        <v>36</v>
      </c>
      <c r="B527" s="34">
        <v>610832</v>
      </c>
      <c r="C527" s="35">
        <v>41142</v>
      </c>
      <c r="D527" s="41">
        <v>482</v>
      </c>
      <c r="E527" s="41">
        <v>10</v>
      </c>
      <c r="F527" s="41">
        <v>4061</v>
      </c>
      <c r="G527" s="41">
        <v>0</v>
      </c>
      <c r="H527" s="41">
        <v>14</v>
      </c>
    </row>
    <row r="528" spans="1:8" x14ac:dyDescent="0.25">
      <c r="A528" s="40" t="s">
        <v>36</v>
      </c>
      <c r="B528" s="34">
        <v>610832</v>
      </c>
      <c r="C528" s="35">
        <v>41142</v>
      </c>
      <c r="D528" s="41">
        <v>790</v>
      </c>
      <c r="E528" s="41">
        <v>0</v>
      </c>
      <c r="F528" s="41">
        <v>0</v>
      </c>
      <c r="G528" s="41">
        <v>0</v>
      </c>
      <c r="H528" s="41">
        <v>0</v>
      </c>
    </row>
    <row r="529" spans="1:8" x14ac:dyDescent="0.25">
      <c r="A529" s="40" t="s">
        <v>36</v>
      </c>
      <c r="B529" s="34">
        <v>610832</v>
      </c>
      <c r="C529" s="35">
        <v>41143</v>
      </c>
      <c r="D529" s="41">
        <v>85</v>
      </c>
      <c r="E529" s="41">
        <v>0</v>
      </c>
      <c r="F529" s="41">
        <v>0</v>
      </c>
      <c r="G529" s="41">
        <v>0</v>
      </c>
      <c r="H529" s="41">
        <v>0</v>
      </c>
    </row>
    <row r="530" spans="1:8" x14ac:dyDescent="0.25">
      <c r="A530" s="40" t="s">
        <v>36</v>
      </c>
      <c r="B530" s="34">
        <v>610832</v>
      </c>
      <c r="C530" s="35">
        <v>41143</v>
      </c>
      <c r="D530" s="41">
        <v>465</v>
      </c>
      <c r="E530" s="41">
        <v>0</v>
      </c>
      <c r="F530" s="41">
        <v>0</v>
      </c>
      <c r="G530" s="41">
        <v>0</v>
      </c>
      <c r="H530" s="41">
        <v>0</v>
      </c>
    </row>
    <row r="531" spans="1:8" x14ac:dyDescent="0.25">
      <c r="A531" s="40" t="s">
        <v>36</v>
      </c>
      <c r="B531" s="34">
        <v>610832</v>
      </c>
      <c r="C531" s="35">
        <v>41143</v>
      </c>
      <c r="D531" s="41">
        <v>466</v>
      </c>
      <c r="E531" s="41">
        <v>19</v>
      </c>
      <c r="F531" s="41">
        <v>6395</v>
      </c>
      <c r="G531" s="41">
        <v>4</v>
      </c>
      <c r="H531" s="41">
        <v>23</v>
      </c>
    </row>
    <row r="532" spans="1:8" x14ac:dyDescent="0.25">
      <c r="A532" s="40" t="s">
        <v>36</v>
      </c>
      <c r="B532" s="34">
        <v>610832</v>
      </c>
      <c r="C532" s="35">
        <v>41143</v>
      </c>
      <c r="D532" s="41">
        <v>477</v>
      </c>
      <c r="E532" s="41">
        <v>26</v>
      </c>
      <c r="F532" s="41">
        <v>7955</v>
      </c>
      <c r="G532" s="41">
        <v>0</v>
      </c>
      <c r="H532" s="41">
        <v>97</v>
      </c>
    </row>
    <row r="533" spans="1:8" x14ac:dyDescent="0.25">
      <c r="A533" s="40" t="s">
        <v>36</v>
      </c>
      <c r="B533" s="34">
        <v>610832</v>
      </c>
      <c r="C533" s="35">
        <v>41143</v>
      </c>
      <c r="D533" s="41">
        <v>478</v>
      </c>
      <c r="E533" s="41">
        <v>4</v>
      </c>
      <c r="F533" s="41">
        <v>841</v>
      </c>
      <c r="G533" s="41">
        <v>1</v>
      </c>
      <c r="H533" s="41">
        <v>6</v>
      </c>
    </row>
    <row r="534" spans="1:8" x14ac:dyDescent="0.25">
      <c r="A534" s="40" t="s">
        <v>36</v>
      </c>
      <c r="B534" s="34">
        <v>610832</v>
      </c>
      <c r="C534" s="35">
        <v>41143</v>
      </c>
      <c r="D534" s="41">
        <v>480</v>
      </c>
      <c r="E534" s="41">
        <v>6</v>
      </c>
      <c r="F534" s="41">
        <v>1810</v>
      </c>
      <c r="G534" s="41">
        <v>0</v>
      </c>
      <c r="H534" s="41">
        <v>0</v>
      </c>
    </row>
    <row r="535" spans="1:8" x14ac:dyDescent="0.25">
      <c r="A535" s="40" t="s">
        <v>36</v>
      </c>
      <c r="B535" s="34">
        <v>610832</v>
      </c>
      <c r="C535" s="35">
        <v>41143</v>
      </c>
      <c r="D535" s="41">
        <v>481</v>
      </c>
      <c r="E535" s="41">
        <v>0</v>
      </c>
      <c r="F535" s="41">
        <v>0</v>
      </c>
      <c r="G535" s="41">
        <v>0</v>
      </c>
      <c r="H535" s="41">
        <v>0</v>
      </c>
    </row>
    <row r="536" spans="1:8" x14ac:dyDescent="0.25">
      <c r="A536" s="40" t="s">
        <v>36</v>
      </c>
      <c r="B536" s="34">
        <v>610832</v>
      </c>
      <c r="C536" s="35">
        <v>41143</v>
      </c>
      <c r="D536" s="41">
        <v>482</v>
      </c>
      <c r="E536" s="41">
        <v>6</v>
      </c>
      <c r="F536" s="41">
        <v>1828</v>
      </c>
      <c r="G536" s="41">
        <v>0</v>
      </c>
      <c r="H536" s="41">
        <v>0</v>
      </c>
    </row>
    <row r="537" spans="1:8" x14ac:dyDescent="0.25">
      <c r="A537" s="40" t="s">
        <v>36</v>
      </c>
      <c r="B537" s="34">
        <v>610832</v>
      </c>
      <c r="C537" s="35">
        <v>41143</v>
      </c>
      <c r="D537" s="41">
        <v>790</v>
      </c>
      <c r="E537" s="41">
        <v>0</v>
      </c>
      <c r="F537" s="41">
        <v>0</v>
      </c>
      <c r="G537" s="41">
        <v>0</v>
      </c>
      <c r="H537" s="41">
        <v>0</v>
      </c>
    </row>
    <row r="538" spans="1:8" x14ac:dyDescent="0.25">
      <c r="A538" s="40" t="s">
        <v>36</v>
      </c>
      <c r="B538" s="34">
        <v>610832</v>
      </c>
      <c r="C538" s="35">
        <v>41144</v>
      </c>
      <c r="D538" s="41">
        <v>85</v>
      </c>
      <c r="E538" s="41">
        <v>0</v>
      </c>
      <c r="F538" s="41">
        <v>0</v>
      </c>
      <c r="G538" s="41">
        <v>0</v>
      </c>
      <c r="H538" s="41">
        <v>0</v>
      </c>
    </row>
    <row r="539" spans="1:8" x14ac:dyDescent="0.25">
      <c r="A539" s="40" t="s">
        <v>36</v>
      </c>
      <c r="B539" s="34">
        <v>610832</v>
      </c>
      <c r="C539" s="35">
        <v>41144</v>
      </c>
      <c r="D539" s="41">
        <v>465</v>
      </c>
      <c r="E539" s="41">
        <v>0</v>
      </c>
      <c r="F539" s="41">
        <v>0</v>
      </c>
      <c r="G539" s="41">
        <v>0</v>
      </c>
      <c r="H539" s="41">
        <v>0</v>
      </c>
    </row>
    <row r="540" spans="1:8" x14ac:dyDescent="0.25">
      <c r="A540" s="40" t="s">
        <v>36</v>
      </c>
      <c r="B540" s="34">
        <v>610832</v>
      </c>
      <c r="C540" s="35">
        <v>41144</v>
      </c>
      <c r="D540" s="41">
        <v>466</v>
      </c>
      <c r="E540" s="41">
        <v>23</v>
      </c>
      <c r="F540" s="41">
        <v>8141</v>
      </c>
      <c r="G540" s="41">
        <v>0</v>
      </c>
      <c r="H540" s="41">
        <v>84</v>
      </c>
    </row>
    <row r="541" spans="1:8" x14ac:dyDescent="0.25">
      <c r="A541" s="40" t="s">
        <v>36</v>
      </c>
      <c r="B541" s="34">
        <v>610832</v>
      </c>
      <c r="C541" s="35">
        <v>41144</v>
      </c>
      <c r="D541" s="41">
        <v>477</v>
      </c>
      <c r="E541" s="41">
        <v>15</v>
      </c>
      <c r="F541" s="41">
        <v>4750</v>
      </c>
      <c r="G541" s="41">
        <v>6</v>
      </c>
      <c r="H541" s="41">
        <v>0</v>
      </c>
    </row>
    <row r="542" spans="1:8" x14ac:dyDescent="0.25">
      <c r="A542" s="40" t="s">
        <v>36</v>
      </c>
      <c r="B542" s="34">
        <v>610832</v>
      </c>
      <c r="C542" s="35">
        <v>41144</v>
      </c>
      <c r="D542" s="41">
        <v>478</v>
      </c>
      <c r="E542" s="41">
        <v>2</v>
      </c>
      <c r="F542" s="41">
        <v>1507</v>
      </c>
      <c r="G542" s="41">
        <v>0</v>
      </c>
      <c r="H542" s="41">
        <v>0</v>
      </c>
    </row>
    <row r="543" spans="1:8" x14ac:dyDescent="0.25">
      <c r="A543" s="40" t="s">
        <v>36</v>
      </c>
      <c r="B543" s="34">
        <v>610832</v>
      </c>
      <c r="C543" s="35">
        <v>41144</v>
      </c>
      <c r="D543" s="41">
        <v>480</v>
      </c>
      <c r="E543" s="41">
        <v>3</v>
      </c>
      <c r="F543" s="41">
        <v>2042</v>
      </c>
      <c r="G543" s="41">
        <v>3</v>
      </c>
      <c r="H543" s="41">
        <v>0</v>
      </c>
    </row>
    <row r="544" spans="1:8" x14ac:dyDescent="0.25">
      <c r="A544" s="40" t="s">
        <v>36</v>
      </c>
      <c r="B544" s="34">
        <v>610832</v>
      </c>
      <c r="C544" s="35">
        <v>41144</v>
      </c>
      <c r="D544" s="41">
        <v>481</v>
      </c>
      <c r="E544" s="41">
        <v>0</v>
      </c>
      <c r="F544" s="41">
        <v>0</v>
      </c>
      <c r="G544" s="41">
        <v>0</v>
      </c>
      <c r="H544" s="41">
        <v>0</v>
      </c>
    </row>
    <row r="545" spans="1:8" x14ac:dyDescent="0.25">
      <c r="A545" s="40" t="s">
        <v>36</v>
      </c>
      <c r="B545" s="34">
        <v>610832</v>
      </c>
      <c r="C545" s="35">
        <v>41144</v>
      </c>
      <c r="D545" s="41">
        <v>482</v>
      </c>
      <c r="E545" s="41">
        <v>7</v>
      </c>
      <c r="F545" s="41">
        <v>2205</v>
      </c>
      <c r="G545" s="41">
        <v>1</v>
      </c>
      <c r="H545" s="41">
        <v>36</v>
      </c>
    </row>
    <row r="546" spans="1:8" x14ac:dyDescent="0.25">
      <c r="A546" s="40" t="s">
        <v>36</v>
      </c>
      <c r="B546" s="34">
        <v>610832</v>
      </c>
      <c r="C546" s="35">
        <v>41144</v>
      </c>
      <c r="D546" s="41">
        <v>790</v>
      </c>
      <c r="E546" s="41">
        <v>0</v>
      </c>
      <c r="F546" s="41">
        <v>0</v>
      </c>
      <c r="G546" s="41">
        <v>0</v>
      </c>
      <c r="H546" s="41">
        <v>0</v>
      </c>
    </row>
    <row r="547" spans="1:8" x14ac:dyDescent="0.25">
      <c r="A547" s="40" t="s">
        <v>36</v>
      </c>
      <c r="B547" s="34">
        <v>610832</v>
      </c>
      <c r="C547" s="35">
        <v>41145</v>
      </c>
      <c r="D547" s="41">
        <v>85</v>
      </c>
      <c r="E547" s="41">
        <v>0</v>
      </c>
      <c r="F547" s="41">
        <v>0</v>
      </c>
      <c r="G547" s="41">
        <v>0</v>
      </c>
      <c r="H547" s="41">
        <v>0</v>
      </c>
    </row>
    <row r="548" spans="1:8" x14ac:dyDescent="0.25">
      <c r="A548" s="40" t="s">
        <v>36</v>
      </c>
      <c r="B548" s="34">
        <v>610832</v>
      </c>
      <c r="C548" s="35">
        <v>41145</v>
      </c>
      <c r="D548" s="41">
        <v>465</v>
      </c>
      <c r="E548" s="41">
        <v>0</v>
      </c>
      <c r="F548" s="41">
        <v>0</v>
      </c>
      <c r="G548" s="41">
        <v>0</v>
      </c>
      <c r="H548" s="41">
        <v>0</v>
      </c>
    </row>
    <row r="549" spans="1:8" x14ac:dyDescent="0.25">
      <c r="A549" s="40" t="s">
        <v>36</v>
      </c>
      <c r="B549" s="34">
        <v>610832</v>
      </c>
      <c r="C549" s="35">
        <v>41145</v>
      </c>
      <c r="D549" s="41">
        <v>466</v>
      </c>
      <c r="E549" s="41">
        <v>18</v>
      </c>
      <c r="F549" s="41">
        <v>5726</v>
      </c>
      <c r="G549" s="41">
        <v>0</v>
      </c>
      <c r="H549" s="41">
        <v>16</v>
      </c>
    </row>
    <row r="550" spans="1:8" x14ac:dyDescent="0.25">
      <c r="A550" s="40" t="s">
        <v>36</v>
      </c>
      <c r="B550" s="34">
        <v>610832</v>
      </c>
      <c r="C550" s="35">
        <v>41145</v>
      </c>
      <c r="D550" s="41">
        <v>467</v>
      </c>
      <c r="E550" s="41">
        <v>0</v>
      </c>
      <c r="F550" s="41">
        <v>0</v>
      </c>
      <c r="G550" s="41">
        <v>0</v>
      </c>
      <c r="H550" s="41">
        <v>0</v>
      </c>
    </row>
    <row r="551" spans="1:8" x14ac:dyDescent="0.25">
      <c r="A551" s="40" t="s">
        <v>36</v>
      </c>
      <c r="B551" s="34">
        <v>610832</v>
      </c>
      <c r="C551" s="35">
        <v>41145</v>
      </c>
      <c r="D551" s="41">
        <v>477</v>
      </c>
      <c r="E551" s="41">
        <v>10</v>
      </c>
      <c r="F551" s="41">
        <v>5539</v>
      </c>
      <c r="G551" s="41">
        <v>0</v>
      </c>
      <c r="H551" s="41">
        <v>17</v>
      </c>
    </row>
    <row r="552" spans="1:8" x14ac:dyDescent="0.25">
      <c r="A552" s="40" t="s">
        <v>36</v>
      </c>
      <c r="B552" s="34">
        <v>610832</v>
      </c>
      <c r="C552" s="35">
        <v>41145</v>
      </c>
      <c r="D552" s="41">
        <v>478</v>
      </c>
      <c r="E552" s="41">
        <v>0</v>
      </c>
      <c r="F552" s="41">
        <v>0</v>
      </c>
      <c r="G552" s="41">
        <v>0</v>
      </c>
      <c r="H552" s="41">
        <v>0</v>
      </c>
    </row>
    <row r="553" spans="1:8" x14ac:dyDescent="0.25">
      <c r="A553" s="40" t="s">
        <v>36</v>
      </c>
      <c r="B553" s="34">
        <v>610832</v>
      </c>
      <c r="C553" s="35">
        <v>41145</v>
      </c>
      <c r="D553" s="41">
        <v>480</v>
      </c>
      <c r="E553" s="41">
        <v>10</v>
      </c>
      <c r="F553" s="41">
        <v>2334</v>
      </c>
      <c r="G553" s="41">
        <v>0</v>
      </c>
      <c r="H553" s="41">
        <v>3</v>
      </c>
    </row>
    <row r="554" spans="1:8" x14ac:dyDescent="0.25">
      <c r="A554" s="40" t="s">
        <v>36</v>
      </c>
      <c r="B554" s="34">
        <v>610832</v>
      </c>
      <c r="C554" s="35">
        <v>41145</v>
      </c>
      <c r="D554" s="41">
        <v>481</v>
      </c>
      <c r="E554" s="41">
        <v>0</v>
      </c>
      <c r="F554" s="41">
        <v>0</v>
      </c>
      <c r="G554" s="41">
        <v>0</v>
      </c>
      <c r="H554" s="41">
        <v>0</v>
      </c>
    </row>
    <row r="555" spans="1:8" x14ac:dyDescent="0.25">
      <c r="A555" s="40" t="s">
        <v>36</v>
      </c>
      <c r="B555" s="34">
        <v>610832</v>
      </c>
      <c r="C555" s="35">
        <v>41145</v>
      </c>
      <c r="D555" s="41">
        <v>482</v>
      </c>
      <c r="E555" s="41">
        <v>10</v>
      </c>
      <c r="F555" s="41">
        <v>3138</v>
      </c>
      <c r="G555" s="41">
        <v>2</v>
      </c>
      <c r="H555" s="41">
        <v>6</v>
      </c>
    </row>
    <row r="556" spans="1:8" x14ac:dyDescent="0.25">
      <c r="A556" s="40" t="s">
        <v>36</v>
      </c>
      <c r="B556" s="34">
        <v>610832</v>
      </c>
      <c r="C556" s="35">
        <v>41145</v>
      </c>
      <c r="D556" s="41">
        <v>790</v>
      </c>
      <c r="E556" s="41">
        <v>0</v>
      </c>
      <c r="F556" s="41">
        <v>0</v>
      </c>
      <c r="G556" s="41">
        <v>0</v>
      </c>
      <c r="H556" s="41">
        <v>0</v>
      </c>
    </row>
    <row r="557" spans="1:8" x14ac:dyDescent="0.25">
      <c r="A557" s="40" t="s">
        <v>36</v>
      </c>
      <c r="B557" s="34">
        <v>610832</v>
      </c>
      <c r="C557" s="35">
        <v>41146</v>
      </c>
      <c r="D557" s="41">
        <v>85</v>
      </c>
      <c r="E557" s="41">
        <v>0</v>
      </c>
      <c r="F557" s="41">
        <v>0</v>
      </c>
      <c r="G557" s="41">
        <v>0</v>
      </c>
      <c r="H557" s="41">
        <v>0</v>
      </c>
    </row>
    <row r="558" spans="1:8" x14ac:dyDescent="0.25">
      <c r="A558" s="40" t="s">
        <v>36</v>
      </c>
      <c r="B558" s="34">
        <v>610832</v>
      </c>
      <c r="C558" s="35">
        <v>41146</v>
      </c>
      <c r="D558" s="41">
        <v>465</v>
      </c>
      <c r="E558" s="41">
        <v>0</v>
      </c>
      <c r="F558" s="41">
        <v>0</v>
      </c>
      <c r="G558" s="41">
        <v>0</v>
      </c>
      <c r="H558" s="41">
        <v>0</v>
      </c>
    </row>
    <row r="559" spans="1:8" x14ac:dyDescent="0.25">
      <c r="A559" s="40" t="s">
        <v>36</v>
      </c>
      <c r="B559" s="34">
        <v>610832</v>
      </c>
      <c r="C559" s="35">
        <v>41146</v>
      </c>
      <c r="D559" s="41">
        <v>466</v>
      </c>
      <c r="E559" s="41">
        <v>4</v>
      </c>
      <c r="F559" s="41">
        <v>908</v>
      </c>
      <c r="G559" s="41">
        <v>0</v>
      </c>
      <c r="H559" s="41">
        <v>0</v>
      </c>
    </row>
    <row r="560" spans="1:8" x14ac:dyDescent="0.25">
      <c r="A560" s="40" t="s">
        <v>36</v>
      </c>
      <c r="B560" s="34">
        <v>610832</v>
      </c>
      <c r="C560" s="35">
        <v>41146</v>
      </c>
      <c r="D560" s="41">
        <v>467</v>
      </c>
      <c r="E560" s="41">
        <v>0</v>
      </c>
      <c r="F560" s="41">
        <v>0</v>
      </c>
      <c r="G560" s="41">
        <v>0</v>
      </c>
      <c r="H560" s="41">
        <v>0</v>
      </c>
    </row>
    <row r="561" spans="1:8" x14ac:dyDescent="0.25">
      <c r="A561" s="40" t="s">
        <v>36</v>
      </c>
      <c r="B561" s="34">
        <v>610832</v>
      </c>
      <c r="C561" s="35">
        <v>41146</v>
      </c>
      <c r="D561" s="41">
        <v>477</v>
      </c>
      <c r="E561" s="41">
        <v>25</v>
      </c>
      <c r="F561" s="41">
        <v>7604</v>
      </c>
      <c r="G561" s="41">
        <v>2</v>
      </c>
      <c r="H561" s="41">
        <v>0</v>
      </c>
    </row>
    <row r="562" spans="1:8" x14ac:dyDescent="0.25">
      <c r="A562" s="40" t="s">
        <v>36</v>
      </c>
      <c r="B562" s="34">
        <v>610832</v>
      </c>
      <c r="C562" s="35">
        <v>41146</v>
      </c>
      <c r="D562" s="41">
        <v>478</v>
      </c>
      <c r="E562" s="41">
        <v>4</v>
      </c>
      <c r="F562" s="41">
        <v>1628</v>
      </c>
      <c r="G562" s="41">
        <v>0</v>
      </c>
      <c r="H562" s="41">
        <v>0</v>
      </c>
    </row>
    <row r="563" spans="1:8" x14ac:dyDescent="0.25">
      <c r="A563" s="40" t="s">
        <v>36</v>
      </c>
      <c r="B563" s="34">
        <v>610832</v>
      </c>
      <c r="C563" s="35">
        <v>41146</v>
      </c>
      <c r="D563" s="41">
        <v>480</v>
      </c>
      <c r="E563" s="41">
        <v>8</v>
      </c>
      <c r="F563" s="41">
        <v>1571</v>
      </c>
      <c r="G563" s="41">
        <v>24</v>
      </c>
      <c r="H563" s="41">
        <v>27</v>
      </c>
    </row>
    <row r="564" spans="1:8" x14ac:dyDescent="0.25">
      <c r="A564" s="40" t="s">
        <v>36</v>
      </c>
      <c r="B564" s="34">
        <v>610832</v>
      </c>
      <c r="C564" s="35">
        <v>41146</v>
      </c>
      <c r="D564" s="41">
        <v>481</v>
      </c>
      <c r="E564" s="41">
        <v>0</v>
      </c>
      <c r="F564" s="41">
        <v>0</v>
      </c>
      <c r="G564" s="41">
        <v>0</v>
      </c>
      <c r="H564" s="41">
        <v>0</v>
      </c>
    </row>
    <row r="565" spans="1:8" x14ac:dyDescent="0.25">
      <c r="A565" s="40" t="s">
        <v>36</v>
      </c>
      <c r="B565" s="34">
        <v>610832</v>
      </c>
      <c r="C565" s="35">
        <v>41146</v>
      </c>
      <c r="D565" s="41">
        <v>482</v>
      </c>
      <c r="E565" s="41">
        <v>7</v>
      </c>
      <c r="F565" s="41">
        <v>1844</v>
      </c>
      <c r="G565" s="41">
        <v>4</v>
      </c>
      <c r="H565" s="41">
        <v>5</v>
      </c>
    </row>
    <row r="566" spans="1:8" x14ac:dyDescent="0.25">
      <c r="A566" s="40" t="s">
        <v>36</v>
      </c>
      <c r="B566" s="34">
        <v>610832</v>
      </c>
      <c r="C566" s="35">
        <v>41146</v>
      </c>
      <c r="D566" s="41">
        <v>790</v>
      </c>
      <c r="E566" s="41">
        <v>0</v>
      </c>
      <c r="F566" s="41">
        <v>0</v>
      </c>
      <c r="G566" s="41">
        <v>0</v>
      </c>
      <c r="H566" s="41">
        <v>0</v>
      </c>
    </row>
    <row r="567" spans="1:8" x14ac:dyDescent="0.25">
      <c r="A567" s="40" t="s">
        <v>36</v>
      </c>
      <c r="B567" s="34">
        <v>610832</v>
      </c>
      <c r="C567" s="35">
        <v>41148</v>
      </c>
      <c r="D567" s="41">
        <v>85</v>
      </c>
      <c r="E567" s="41">
        <v>0</v>
      </c>
      <c r="F567" s="41">
        <v>0</v>
      </c>
      <c r="G567" s="41">
        <v>0</v>
      </c>
      <c r="H567" s="41">
        <v>0</v>
      </c>
    </row>
    <row r="568" spans="1:8" x14ac:dyDescent="0.25">
      <c r="A568" s="40" t="s">
        <v>36</v>
      </c>
      <c r="B568" s="34">
        <v>610832</v>
      </c>
      <c r="C568" s="35">
        <v>41148</v>
      </c>
      <c r="D568" s="41">
        <v>465</v>
      </c>
      <c r="E568" s="41">
        <v>2</v>
      </c>
      <c r="F568" s="41">
        <v>532</v>
      </c>
      <c r="G568" s="41">
        <v>0</v>
      </c>
      <c r="H568" s="41">
        <v>0</v>
      </c>
    </row>
    <row r="569" spans="1:8" x14ac:dyDescent="0.25">
      <c r="A569" s="40" t="s">
        <v>36</v>
      </c>
      <c r="B569" s="34">
        <v>610832</v>
      </c>
      <c r="C569" s="35">
        <v>41148</v>
      </c>
      <c r="D569" s="41">
        <v>466</v>
      </c>
      <c r="E569" s="41">
        <v>6</v>
      </c>
      <c r="F569" s="41">
        <v>1437</v>
      </c>
      <c r="G569" s="41">
        <v>3</v>
      </c>
      <c r="H569" s="41">
        <v>0</v>
      </c>
    </row>
    <row r="570" spans="1:8" x14ac:dyDescent="0.25">
      <c r="A570" s="40" t="s">
        <v>36</v>
      </c>
      <c r="B570" s="34">
        <v>610832</v>
      </c>
      <c r="C570" s="35">
        <v>41148</v>
      </c>
      <c r="D570" s="41">
        <v>467</v>
      </c>
      <c r="E570" s="41">
        <v>0</v>
      </c>
      <c r="F570" s="41">
        <v>0</v>
      </c>
      <c r="G570" s="41">
        <v>0</v>
      </c>
      <c r="H570" s="41">
        <v>0</v>
      </c>
    </row>
    <row r="571" spans="1:8" x14ac:dyDescent="0.25">
      <c r="A571" s="40" t="s">
        <v>36</v>
      </c>
      <c r="B571" s="34">
        <v>610832</v>
      </c>
      <c r="C571" s="35">
        <v>41148</v>
      </c>
      <c r="D571" s="41">
        <v>477</v>
      </c>
      <c r="E571" s="41">
        <v>2</v>
      </c>
      <c r="F571" s="41">
        <v>1670</v>
      </c>
      <c r="G571" s="41">
        <v>0</v>
      </c>
      <c r="H571" s="41">
        <v>0</v>
      </c>
    </row>
    <row r="572" spans="1:8" x14ac:dyDescent="0.25">
      <c r="A572" s="40" t="s">
        <v>36</v>
      </c>
      <c r="B572" s="34">
        <v>610832</v>
      </c>
      <c r="C572" s="35">
        <v>41148</v>
      </c>
      <c r="D572" s="41">
        <v>478</v>
      </c>
      <c r="E572" s="41">
        <v>41</v>
      </c>
      <c r="F572" s="41">
        <v>14683</v>
      </c>
      <c r="G572" s="41">
        <v>6</v>
      </c>
      <c r="H572" s="41">
        <v>64</v>
      </c>
    </row>
    <row r="573" spans="1:8" x14ac:dyDescent="0.25">
      <c r="A573" s="40" t="s">
        <v>36</v>
      </c>
      <c r="B573" s="34">
        <v>610832</v>
      </c>
      <c r="C573" s="35">
        <v>41148</v>
      </c>
      <c r="D573" s="41">
        <v>480</v>
      </c>
      <c r="E573" s="41">
        <v>1</v>
      </c>
      <c r="F573" s="41">
        <v>477</v>
      </c>
      <c r="G573" s="41">
        <v>0</v>
      </c>
      <c r="H573" s="41">
        <v>0</v>
      </c>
    </row>
    <row r="574" spans="1:8" x14ac:dyDescent="0.25">
      <c r="A574" s="40" t="s">
        <v>36</v>
      </c>
      <c r="B574" s="34">
        <v>610832</v>
      </c>
      <c r="C574" s="35">
        <v>41148</v>
      </c>
      <c r="D574" s="41">
        <v>481</v>
      </c>
      <c r="E574" s="41">
        <v>0</v>
      </c>
      <c r="F574" s="41">
        <v>0</v>
      </c>
      <c r="G574" s="41">
        <v>0</v>
      </c>
      <c r="H574" s="41">
        <v>0</v>
      </c>
    </row>
    <row r="575" spans="1:8" x14ac:dyDescent="0.25">
      <c r="A575" s="40" t="s">
        <v>36</v>
      </c>
      <c r="B575" s="34">
        <v>610832</v>
      </c>
      <c r="C575" s="35">
        <v>41148</v>
      </c>
      <c r="D575" s="41">
        <v>790</v>
      </c>
      <c r="E575" s="41">
        <v>0</v>
      </c>
      <c r="F575" s="41">
        <v>0</v>
      </c>
      <c r="G575" s="41">
        <v>0</v>
      </c>
      <c r="H575" s="41">
        <v>0</v>
      </c>
    </row>
    <row r="576" spans="1:8" x14ac:dyDescent="0.25">
      <c r="A576" s="40" t="s">
        <v>36</v>
      </c>
      <c r="B576" s="34">
        <v>610832</v>
      </c>
      <c r="C576" s="35">
        <v>41149</v>
      </c>
      <c r="D576" s="41">
        <v>85</v>
      </c>
      <c r="E576" s="41">
        <v>0</v>
      </c>
      <c r="F576" s="41">
        <v>0</v>
      </c>
      <c r="G576" s="41">
        <v>0</v>
      </c>
      <c r="H576" s="41">
        <v>0</v>
      </c>
    </row>
    <row r="577" spans="1:8" x14ac:dyDescent="0.25">
      <c r="A577" s="40" t="s">
        <v>36</v>
      </c>
      <c r="B577" s="34">
        <v>610832</v>
      </c>
      <c r="C577" s="35">
        <v>41149</v>
      </c>
      <c r="D577" s="41">
        <v>465</v>
      </c>
      <c r="E577" s="41">
        <v>1</v>
      </c>
      <c r="F577" s="41">
        <v>821</v>
      </c>
      <c r="G577" s="41">
        <v>0</v>
      </c>
      <c r="H577" s="41">
        <v>0</v>
      </c>
    </row>
    <row r="578" spans="1:8" x14ac:dyDescent="0.25">
      <c r="A578" s="40" t="s">
        <v>36</v>
      </c>
      <c r="B578" s="34">
        <v>610832</v>
      </c>
      <c r="C578" s="35">
        <v>41149</v>
      </c>
      <c r="D578" s="41">
        <v>466</v>
      </c>
      <c r="E578" s="41">
        <v>5</v>
      </c>
      <c r="F578" s="41">
        <v>2212</v>
      </c>
      <c r="G578" s="41">
        <v>0</v>
      </c>
      <c r="H578" s="41">
        <v>0</v>
      </c>
    </row>
    <row r="579" spans="1:8" x14ac:dyDescent="0.25">
      <c r="A579" s="40" t="s">
        <v>36</v>
      </c>
      <c r="B579" s="34">
        <v>610832</v>
      </c>
      <c r="C579" s="35">
        <v>41149</v>
      </c>
      <c r="D579" s="41">
        <v>467</v>
      </c>
      <c r="E579" s="41">
        <v>0</v>
      </c>
      <c r="F579" s="41">
        <v>0</v>
      </c>
      <c r="G579" s="41">
        <v>0</v>
      </c>
      <c r="H579" s="41">
        <v>0</v>
      </c>
    </row>
    <row r="580" spans="1:8" x14ac:dyDescent="0.25">
      <c r="A580" s="40" t="s">
        <v>36</v>
      </c>
      <c r="B580" s="34">
        <v>610832</v>
      </c>
      <c r="C580" s="35">
        <v>41149</v>
      </c>
      <c r="D580" s="41">
        <v>477</v>
      </c>
      <c r="E580" s="41">
        <v>8</v>
      </c>
      <c r="F580" s="41">
        <v>1807</v>
      </c>
      <c r="G580" s="41">
        <v>1</v>
      </c>
      <c r="H580" s="41">
        <v>9</v>
      </c>
    </row>
    <row r="581" spans="1:8" x14ac:dyDescent="0.25">
      <c r="A581" s="40" t="s">
        <v>36</v>
      </c>
      <c r="B581" s="34">
        <v>610832</v>
      </c>
      <c r="C581" s="35">
        <v>41149</v>
      </c>
      <c r="D581" s="41">
        <v>478</v>
      </c>
      <c r="E581" s="41">
        <v>33</v>
      </c>
      <c r="F581" s="41">
        <v>10683</v>
      </c>
      <c r="G581" s="41">
        <v>27</v>
      </c>
      <c r="H581" s="41">
        <v>85</v>
      </c>
    </row>
    <row r="582" spans="1:8" x14ac:dyDescent="0.25">
      <c r="A582" s="40" t="s">
        <v>36</v>
      </c>
      <c r="B582" s="34">
        <v>610832</v>
      </c>
      <c r="C582" s="35">
        <v>41149</v>
      </c>
      <c r="D582" s="41">
        <v>480</v>
      </c>
      <c r="E582" s="41">
        <v>6</v>
      </c>
      <c r="F582" s="41">
        <v>1681</v>
      </c>
      <c r="G582" s="41">
        <v>0</v>
      </c>
      <c r="H582" s="41">
        <v>3</v>
      </c>
    </row>
    <row r="583" spans="1:8" x14ac:dyDescent="0.25">
      <c r="A583" s="40" t="s">
        <v>36</v>
      </c>
      <c r="B583" s="34">
        <v>610832</v>
      </c>
      <c r="C583" s="35">
        <v>41149</v>
      </c>
      <c r="D583" s="41">
        <v>481</v>
      </c>
      <c r="E583" s="41">
        <v>0</v>
      </c>
      <c r="F583" s="41">
        <v>0</v>
      </c>
      <c r="G583" s="41">
        <v>0</v>
      </c>
      <c r="H583" s="41">
        <v>0</v>
      </c>
    </row>
    <row r="584" spans="1:8" x14ac:dyDescent="0.25">
      <c r="A584" s="40" t="s">
        <v>36</v>
      </c>
      <c r="B584" s="34">
        <v>610832</v>
      </c>
      <c r="C584" s="35">
        <v>41149</v>
      </c>
      <c r="D584" s="41">
        <v>790</v>
      </c>
      <c r="E584" s="41">
        <v>0</v>
      </c>
      <c r="F584" s="41">
        <v>0</v>
      </c>
      <c r="G584" s="41">
        <v>0</v>
      </c>
      <c r="H584" s="41">
        <v>0</v>
      </c>
    </row>
    <row r="585" spans="1:8" x14ac:dyDescent="0.25">
      <c r="A585" s="40" t="s">
        <v>36</v>
      </c>
      <c r="B585" s="34">
        <v>610832</v>
      </c>
      <c r="C585" s="35">
        <v>41150</v>
      </c>
      <c r="D585" s="41">
        <v>85</v>
      </c>
      <c r="E585" s="41">
        <v>0</v>
      </c>
      <c r="F585" s="41">
        <v>0</v>
      </c>
      <c r="G585" s="41">
        <v>0</v>
      </c>
      <c r="H585" s="41">
        <v>0</v>
      </c>
    </row>
    <row r="586" spans="1:8" x14ac:dyDescent="0.25">
      <c r="A586" s="40" t="s">
        <v>36</v>
      </c>
      <c r="B586" s="34">
        <v>610832</v>
      </c>
      <c r="C586" s="35">
        <v>41150</v>
      </c>
      <c r="D586" s="41">
        <v>465</v>
      </c>
      <c r="E586" s="41">
        <v>0</v>
      </c>
      <c r="F586" s="41">
        <v>0</v>
      </c>
      <c r="G586" s="41">
        <v>0</v>
      </c>
      <c r="H586" s="41">
        <v>0</v>
      </c>
    </row>
    <row r="587" spans="1:8" x14ac:dyDescent="0.25">
      <c r="A587" s="40" t="s">
        <v>36</v>
      </c>
      <c r="B587" s="34">
        <v>610832</v>
      </c>
      <c r="C587" s="35">
        <v>41150</v>
      </c>
      <c r="D587" s="41">
        <v>466</v>
      </c>
      <c r="E587" s="41">
        <v>5</v>
      </c>
      <c r="F587" s="41">
        <v>715</v>
      </c>
      <c r="G587" s="41">
        <v>0</v>
      </c>
      <c r="H587" s="41">
        <v>37</v>
      </c>
    </row>
    <row r="588" spans="1:8" x14ac:dyDescent="0.25">
      <c r="A588" s="40" t="s">
        <v>36</v>
      </c>
      <c r="B588" s="34">
        <v>610832</v>
      </c>
      <c r="C588" s="35">
        <v>41150</v>
      </c>
      <c r="D588" s="41">
        <v>467</v>
      </c>
      <c r="E588" s="41">
        <v>0</v>
      </c>
      <c r="F588" s="41">
        <v>0</v>
      </c>
      <c r="G588" s="41">
        <v>0</v>
      </c>
      <c r="H588" s="41">
        <v>0</v>
      </c>
    </row>
    <row r="589" spans="1:8" x14ac:dyDescent="0.25">
      <c r="A589" s="40" t="s">
        <v>36</v>
      </c>
      <c r="B589" s="34">
        <v>610832</v>
      </c>
      <c r="C589" s="35">
        <v>41150</v>
      </c>
      <c r="D589" s="41">
        <v>477</v>
      </c>
      <c r="E589" s="41">
        <v>6</v>
      </c>
      <c r="F589" s="41">
        <v>1811</v>
      </c>
      <c r="G589" s="41">
        <v>2</v>
      </c>
      <c r="H589" s="41">
        <v>24</v>
      </c>
    </row>
    <row r="590" spans="1:8" x14ac:dyDescent="0.25">
      <c r="A590" s="40" t="s">
        <v>36</v>
      </c>
      <c r="B590" s="34">
        <v>610832</v>
      </c>
      <c r="C590" s="35">
        <v>41150</v>
      </c>
      <c r="D590" s="41">
        <v>478</v>
      </c>
      <c r="E590" s="41">
        <v>49</v>
      </c>
      <c r="F590" s="41">
        <v>15087</v>
      </c>
      <c r="G590" s="41">
        <v>18</v>
      </c>
      <c r="H590" s="41">
        <v>138</v>
      </c>
    </row>
    <row r="591" spans="1:8" x14ac:dyDescent="0.25">
      <c r="A591" s="40" t="s">
        <v>36</v>
      </c>
      <c r="B591" s="34">
        <v>610832</v>
      </c>
      <c r="C591" s="35">
        <v>41150</v>
      </c>
      <c r="D591" s="41">
        <v>480</v>
      </c>
      <c r="E591" s="41">
        <v>3</v>
      </c>
      <c r="F591" s="41">
        <v>417</v>
      </c>
      <c r="G591" s="41">
        <v>0</v>
      </c>
      <c r="H591" s="41">
        <v>0</v>
      </c>
    </row>
    <row r="592" spans="1:8" x14ac:dyDescent="0.25">
      <c r="A592" s="40" t="s">
        <v>36</v>
      </c>
      <c r="B592" s="34">
        <v>610832</v>
      </c>
      <c r="C592" s="35">
        <v>41150</v>
      </c>
      <c r="D592" s="41">
        <v>481</v>
      </c>
      <c r="E592" s="41">
        <v>0</v>
      </c>
      <c r="F592" s="41">
        <v>0</v>
      </c>
      <c r="G592" s="41">
        <v>0</v>
      </c>
      <c r="H592" s="41">
        <v>0</v>
      </c>
    </row>
    <row r="593" spans="1:8" x14ac:dyDescent="0.25">
      <c r="A593" s="40" t="s">
        <v>36</v>
      </c>
      <c r="B593" s="34">
        <v>610832</v>
      </c>
      <c r="C593" s="35">
        <v>41150</v>
      </c>
      <c r="D593" s="41">
        <v>790</v>
      </c>
      <c r="E593" s="41">
        <v>0</v>
      </c>
      <c r="F593" s="41">
        <v>0</v>
      </c>
      <c r="G593" s="41">
        <v>0</v>
      </c>
      <c r="H593" s="41">
        <v>0</v>
      </c>
    </row>
    <row r="594" spans="1:8" x14ac:dyDescent="0.25">
      <c r="A594" s="40" t="s">
        <v>36</v>
      </c>
      <c r="B594" s="34">
        <v>610832</v>
      </c>
      <c r="C594" s="35">
        <v>41151</v>
      </c>
      <c r="D594" s="41">
        <v>85</v>
      </c>
      <c r="E594" s="41">
        <v>0</v>
      </c>
      <c r="F594" s="41">
        <v>0</v>
      </c>
      <c r="G594" s="41">
        <v>0</v>
      </c>
      <c r="H594" s="41">
        <v>0</v>
      </c>
    </row>
    <row r="595" spans="1:8" x14ac:dyDescent="0.25">
      <c r="A595" s="40" t="s">
        <v>36</v>
      </c>
      <c r="B595" s="34">
        <v>610832</v>
      </c>
      <c r="C595" s="35">
        <v>41151</v>
      </c>
      <c r="D595" s="41">
        <v>465</v>
      </c>
      <c r="E595" s="41">
        <v>0</v>
      </c>
      <c r="F595" s="41">
        <v>0</v>
      </c>
      <c r="G595" s="41">
        <v>0</v>
      </c>
      <c r="H595" s="41">
        <v>0</v>
      </c>
    </row>
    <row r="596" spans="1:8" x14ac:dyDescent="0.25">
      <c r="A596" s="40" t="s">
        <v>36</v>
      </c>
      <c r="B596" s="34">
        <v>610832</v>
      </c>
      <c r="C596" s="35">
        <v>41151</v>
      </c>
      <c r="D596" s="41">
        <v>466</v>
      </c>
      <c r="E596" s="41">
        <v>0</v>
      </c>
      <c r="F596" s="41">
        <v>0</v>
      </c>
      <c r="G596" s="41">
        <v>0</v>
      </c>
      <c r="H596" s="41">
        <v>0</v>
      </c>
    </row>
    <row r="597" spans="1:8" x14ac:dyDescent="0.25">
      <c r="A597" s="40" t="s">
        <v>36</v>
      </c>
      <c r="B597" s="34">
        <v>610832</v>
      </c>
      <c r="C597" s="35">
        <v>41151</v>
      </c>
      <c r="D597" s="41">
        <v>467</v>
      </c>
      <c r="E597" s="41">
        <v>0</v>
      </c>
      <c r="F597" s="41">
        <v>0</v>
      </c>
      <c r="G597" s="41">
        <v>0</v>
      </c>
      <c r="H597" s="41">
        <v>0</v>
      </c>
    </row>
    <row r="598" spans="1:8" x14ac:dyDescent="0.25">
      <c r="A598" s="40" t="s">
        <v>36</v>
      </c>
      <c r="B598" s="34">
        <v>610832</v>
      </c>
      <c r="C598" s="35">
        <v>41151</v>
      </c>
      <c r="D598" s="41">
        <v>477</v>
      </c>
      <c r="E598" s="41">
        <v>12</v>
      </c>
      <c r="F598" s="41">
        <v>4403</v>
      </c>
      <c r="G598" s="41">
        <v>8</v>
      </c>
      <c r="H598" s="41">
        <v>17</v>
      </c>
    </row>
    <row r="599" spans="1:8" x14ac:dyDescent="0.25">
      <c r="A599" s="40" t="s">
        <v>36</v>
      </c>
      <c r="B599" s="34">
        <v>610832</v>
      </c>
      <c r="C599" s="35">
        <v>41151</v>
      </c>
      <c r="D599" s="41">
        <v>478</v>
      </c>
      <c r="E599" s="41">
        <v>40</v>
      </c>
      <c r="F599" s="41">
        <v>12426</v>
      </c>
      <c r="G599" s="41">
        <v>9</v>
      </c>
      <c r="H599" s="41">
        <v>41</v>
      </c>
    </row>
    <row r="600" spans="1:8" x14ac:dyDescent="0.25">
      <c r="A600" s="40" t="s">
        <v>36</v>
      </c>
      <c r="B600" s="34">
        <v>610832</v>
      </c>
      <c r="C600" s="35">
        <v>41151</v>
      </c>
      <c r="D600" s="41">
        <v>480</v>
      </c>
      <c r="E600" s="41">
        <v>5</v>
      </c>
      <c r="F600" s="41">
        <v>1863</v>
      </c>
      <c r="G600" s="41">
        <v>0</v>
      </c>
      <c r="H600" s="41">
        <v>27</v>
      </c>
    </row>
    <row r="601" spans="1:8" x14ac:dyDescent="0.25">
      <c r="A601" s="40" t="s">
        <v>36</v>
      </c>
      <c r="B601" s="34">
        <v>610832</v>
      </c>
      <c r="C601" s="35">
        <v>41151</v>
      </c>
      <c r="D601" s="41">
        <v>481</v>
      </c>
      <c r="E601" s="41">
        <v>0</v>
      </c>
      <c r="F601" s="41">
        <v>0</v>
      </c>
      <c r="G601" s="41">
        <v>0</v>
      </c>
      <c r="H601" s="41">
        <v>0</v>
      </c>
    </row>
    <row r="602" spans="1:8" x14ac:dyDescent="0.25">
      <c r="A602" s="40" t="s">
        <v>36</v>
      </c>
      <c r="B602" s="34">
        <v>610832</v>
      </c>
      <c r="C602" s="35">
        <v>41151</v>
      </c>
      <c r="D602" s="41">
        <v>790</v>
      </c>
      <c r="E602" s="41">
        <v>0</v>
      </c>
      <c r="F602" s="41">
        <v>0</v>
      </c>
      <c r="G602" s="41">
        <v>0</v>
      </c>
      <c r="H602" s="41">
        <v>0</v>
      </c>
    </row>
    <row r="603" spans="1:8" x14ac:dyDescent="0.25">
      <c r="A603" s="40" t="s">
        <v>36</v>
      </c>
      <c r="B603" s="34">
        <v>610832</v>
      </c>
      <c r="C603" s="35">
        <v>41152</v>
      </c>
      <c r="D603" s="41">
        <v>85</v>
      </c>
      <c r="E603" s="41">
        <v>0</v>
      </c>
      <c r="F603" s="41">
        <v>0</v>
      </c>
      <c r="G603" s="41">
        <v>0</v>
      </c>
      <c r="H603" s="41">
        <v>0</v>
      </c>
    </row>
    <row r="604" spans="1:8" x14ac:dyDescent="0.25">
      <c r="A604" s="40" t="s">
        <v>36</v>
      </c>
      <c r="B604" s="34">
        <v>610832</v>
      </c>
      <c r="C604" s="35">
        <v>41152</v>
      </c>
      <c r="D604" s="41">
        <v>465</v>
      </c>
      <c r="E604" s="41">
        <v>0</v>
      </c>
      <c r="F604" s="41">
        <v>0</v>
      </c>
      <c r="G604" s="41">
        <v>0</v>
      </c>
      <c r="H604" s="41">
        <v>0</v>
      </c>
    </row>
    <row r="605" spans="1:8" x14ac:dyDescent="0.25">
      <c r="A605" s="40" t="s">
        <v>36</v>
      </c>
      <c r="B605" s="34">
        <v>610832</v>
      </c>
      <c r="C605" s="35">
        <v>41152</v>
      </c>
      <c r="D605" s="41">
        <v>466</v>
      </c>
      <c r="E605" s="41">
        <v>2</v>
      </c>
      <c r="F605" s="41">
        <v>420</v>
      </c>
      <c r="G605" s="41">
        <v>0</v>
      </c>
      <c r="H605" s="41">
        <v>0</v>
      </c>
    </row>
    <row r="606" spans="1:8" x14ac:dyDescent="0.25">
      <c r="A606" s="40" t="s">
        <v>36</v>
      </c>
      <c r="B606" s="34">
        <v>610832</v>
      </c>
      <c r="C606" s="35">
        <v>41152</v>
      </c>
      <c r="D606" s="41">
        <v>467</v>
      </c>
      <c r="E606" s="41">
        <v>0</v>
      </c>
      <c r="F606" s="41">
        <v>0</v>
      </c>
      <c r="G606" s="41">
        <v>0</v>
      </c>
      <c r="H606" s="41">
        <v>0</v>
      </c>
    </row>
    <row r="607" spans="1:8" x14ac:dyDescent="0.25">
      <c r="A607" s="40" t="s">
        <v>36</v>
      </c>
      <c r="B607" s="34">
        <v>610832</v>
      </c>
      <c r="C607" s="35">
        <v>41152</v>
      </c>
      <c r="D607" s="41">
        <v>477</v>
      </c>
      <c r="E607" s="41">
        <v>4</v>
      </c>
      <c r="F607" s="41">
        <v>1119</v>
      </c>
      <c r="G607" s="41">
        <v>0</v>
      </c>
      <c r="H607" s="41">
        <v>5</v>
      </c>
    </row>
    <row r="608" spans="1:8" x14ac:dyDescent="0.25">
      <c r="A608" s="40" t="s">
        <v>36</v>
      </c>
      <c r="B608" s="34">
        <v>610832</v>
      </c>
      <c r="C608" s="35">
        <v>41152</v>
      </c>
      <c r="D608" s="41">
        <v>478</v>
      </c>
      <c r="E608" s="41">
        <v>31</v>
      </c>
      <c r="F608" s="41">
        <v>8414</v>
      </c>
      <c r="G608" s="41">
        <v>4</v>
      </c>
      <c r="H608" s="41">
        <v>154</v>
      </c>
    </row>
    <row r="609" spans="1:8" x14ac:dyDescent="0.25">
      <c r="A609" s="40" t="s">
        <v>36</v>
      </c>
      <c r="B609" s="34">
        <v>610832</v>
      </c>
      <c r="C609" s="35">
        <v>41152</v>
      </c>
      <c r="D609" s="41">
        <v>480</v>
      </c>
      <c r="E609" s="41">
        <v>6</v>
      </c>
      <c r="F609" s="41">
        <v>2084</v>
      </c>
      <c r="G609" s="41">
        <v>0</v>
      </c>
      <c r="H609" s="41">
        <v>0</v>
      </c>
    </row>
    <row r="610" spans="1:8" x14ac:dyDescent="0.25">
      <c r="A610" s="40" t="s">
        <v>36</v>
      </c>
      <c r="B610" s="34">
        <v>610832</v>
      </c>
      <c r="C610" s="35">
        <v>41152</v>
      </c>
      <c r="D610" s="41">
        <v>481</v>
      </c>
      <c r="E610" s="41">
        <v>0</v>
      </c>
      <c r="F610" s="41">
        <v>0</v>
      </c>
      <c r="G610" s="41">
        <v>0</v>
      </c>
      <c r="H610" s="41">
        <v>0</v>
      </c>
    </row>
    <row r="611" spans="1:8" x14ac:dyDescent="0.25">
      <c r="A611" s="40" t="s">
        <v>36</v>
      </c>
      <c r="B611" s="34">
        <v>610832</v>
      </c>
      <c r="C611" s="35">
        <v>41152</v>
      </c>
      <c r="D611" s="41">
        <v>482</v>
      </c>
      <c r="E611" s="41">
        <v>5</v>
      </c>
      <c r="F611" s="41">
        <v>1097</v>
      </c>
      <c r="G611" s="41">
        <v>0</v>
      </c>
      <c r="H611" s="41">
        <v>0</v>
      </c>
    </row>
    <row r="612" spans="1:8" x14ac:dyDescent="0.25">
      <c r="A612" s="40" t="s">
        <v>36</v>
      </c>
      <c r="B612" s="34">
        <v>610832</v>
      </c>
      <c r="C612" s="35">
        <v>41152</v>
      </c>
      <c r="D612" s="41">
        <v>790</v>
      </c>
      <c r="E612" s="41">
        <v>0</v>
      </c>
      <c r="F612" s="41">
        <v>0</v>
      </c>
      <c r="G612" s="41">
        <v>0</v>
      </c>
      <c r="H612" s="41">
        <v>0</v>
      </c>
    </row>
    <row r="613" spans="1:8" x14ac:dyDescent="0.25">
      <c r="A613" s="40" t="s">
        <v>35</v>
      </c>
      <c r="B613" s="34">
        <v>611419</v>
      </c>
      <c r="C613" s="35">
        <v>41122</v>
      </c>
      <c r="D613" s="41">
        <v>465</v>
      </c>
      <c r="E613" s="41">
        <v>5</v>
      </c>
      <c r="F613" s="41">
        <v>1241</v>
      </c>
      <c r="G613" s="41">
        <v>12</v>
      </c>
      <c r="H613" s="41">
        <v>13</v>
      </c>
    </row>
    <row r="614" spans="1:8" x14ac:dyDescent="0.25">
      <c r="A614" s="40" t="s">
        <v>35</v>
      </c>
      <c r="B614" s="34">
        <v>611419</v>
      </c>
      <c r="C614" s="35">
        <v>41122</v>
      </c>
      <c r="D614" s="41">
        <v>477</v>
      </c>
      <c r="E614" s="41">
        <v>19</v>
      </c>
      <c r="F614" s="41">
        <v>5774</v>
      </c>
      <c r="G614" s="41">
        <v>18</v>
      </c>
      <c r="H614" s="41">
        <v>0</v>
      </c>
    </row>
    <row r="615" spans="1:8" x14ac:dyDescent="0.25">
      <c r="A615" s="40" t="s">
        <v>35</v>
      </c>
      <c r="B615" s="34">
        <v>611419</v>
      </c>
      <c r="C615" s="35">
        <v>41122</v>
      </c>
      <c r="D615" s="41">
        <v>478</v>
      </c>
      <c r="E615" s="41">
        <v>2</v>
      </c>
      <c r="F615" s="41">
        <v>556</v>
      </c>
      <c r="G615" s="41">
        <v>1</v>
      </c>
      <c r="H615" s="41">
        <v>0</v>
      </c>
    </row>
    <row r="616" spans="1:8" x14ac:dyDescent="0.25">
      <c r="A616" s="40" t="s">
        <v>35</v>
      </c>
      <c r="B616" s="34">
        <v>611419</v>
      </c>
      <c r="C616" s="35">
        <v>41122</v>
      </c>
      <c r="D616" s="41">
        <v>790</v>
      </c>
      <c r="E616" s="41">
        <v>0</v>
      </c>
      <c r="F616" s="41">
        <v>0</v>
      </c>
      <c r="G616" s="41">
        <v>0</v>
      </c>
      <c r="H616" s="41">
        <v>0</v>
      </c>
    </row>
    <row r="617" spans="1:8" x14ac:dyDescent="0.25">
      <c r="A617" s="40" t="s">
        <v>35</v>
      </c>
      <c r="B617" s="34">
        <v>611419</v>
      </c>
      <c r="C617" s="35">
        <v>41123</v>
      </c>
      <c r="D617" s="41">
        <v>465</v>
      </c>
      <c r="E617" s="41">
        <v>5</v>
      </c>
      <c r="F617" s="41">
        <v>894</v>
      </c>
      <c r="G617" s="41">
        <v>0</v>
      </c>
      <c r="H617" s="41">
        <v>0</v>
      </c>
    </row>
    <row r="618" spans="1:8" x14ac:dyDescent="0.25">
      <c r="A618" s="40" t="s">
        <v>35</v>
      </c>
      <c r="B618" s="34">
        <v>611419</v>
      </c>
      <c r="C618" s="35">
        <v>41123</v>
      </c>
      <c r="D618" s="41">
        <v>477</v>
      </c>
      <c r="E618" s="41">
        <v>20</v>
      </c>
      <c r="F618" s="41">
        <v>5828</v>
      </c>
      <c r="G618" s="41">
        <v>8</v>
      </c>
      <c r="H618" s="41">
        <v>0</v>
      </c>
    </row>
    <row r="619" spans="1:8" x14ac:dyDescent="0.25">
      <c r="A619" s="40" t="s">
        <v>35</v>
      </c>
      <c r="B619" s="34">
        <v>611419</v>
      </c>
      <c r="C619" s="35">
        <v>41123</v>
      </c>
      <c r="D619" s="41">
        <v>478</v>
      </c>
      <c r="E619" s="41">
        <v>23</v>
      </c>
      <c r="F619" s="41">
        <v>5569</v>
      </c>
      <c r="G619" s="41">
        <v>21</v>
      </c>
      <c r="H619" s="41">
        <v>0</v>
      </c>
    </row>
    <row r="620" spans="1:8" x14ac:dyDescent="0.25">
      <c r="A620" s="40" t="s">
        <v>35</v>
      </c>
      <c r="B620" s="34">
        <v>611419</v>
      </c>
      <c r="C620" s="35">
        <v>41123</v>
      </c>
      <c r="D620" s="41">
        <v>790</v>
      </c>
      <c r="E620" s="41">
        <v>0</v>
      </c>
      <c r="F620" s="41">
        <v>0</v>
      </c>
      <c r="G620" s="41">
        <v>0</v>
      </c>
      <c r="H620" s="41">
        <v>0</v>
      </c>
    </row>
    <row r="621" spans="1:8" x14ac:dyDescent="0.25">
      <c r="A621" s="40" t="s">
        <v>35</v>
      </c>
      <c r="B621" s="34">
        <v>611419</v>
      </c>
      <c r="C621" s="35">
        <v>41124</v>
      </c>
      <c r="D621" s="41">
        <v>465</v>
      </c>
      <c r="E621" s="41">
        <v>13</v>
      </c>
      <c r="F621" s="41">
        <v>3840</v>
      </c>
      <c r="G621" s="41">
        <v>1</v>
      </c>
      <c r="H621" s="41">
        <v>0</v>
      </c>
    </row>
    <row r="622" spans="1:8" x14ac:dyDescent="0.25">
      <c r="A622" s="40" t="s">
        <v>35</v>
      </c>
      <c r="B622" s="34">
        <v>611419</v>
      </c>
      <c r="C622" s="35">
        <v>41124</v>
      </c>
      <c r="D622" s="41">
        <v>477</v>
      </c>
      <c r="E622" s="41">
        <v>25</v>
      </c>
      <c r="F622" s="41">
        <v>6840</v>
      </c>
      <c r="G622" s="41">
        <v>19</v>
      </c>
      <c r="H622" s="41">
        <v>0</v>
      </c>
    </row>
    <row r="623" spans="1:8" x14ac:dyDescent="0.25">
      <c r="A623" s="40" t="s">
        <v>35</v>
      </c>
      <c r="B623" s="34">
        <v>611419</v>
      </c>
      <c r="C623" s="35">
        <v>41124</v>
      </c>
      <c r="D623" s="41">
        <v>478</v>
      </c>
      <c r="E623" s="41">
        <v>1</v>
      </c>
      <c r="F623" s="41">
        <v>120</v>
      </c>
      <c r="G623" s="41">
        <v>0</v>
      </c>
      <c r="H623" s="41">
        <v>0</v>
      </c>
    </row>
    <row r="624" spans="1:8" x14ac:dyDescent="0.25">
      <c r="A624" s="40" t="s">
        <v>35</v>
      </c>
      <c r="B624" s="34">
        <v>611419</v>
      </c>
      <c r="C624" s="35">
        <v>41124</v>
      </c>
      <c r="D624" s="41">
        <v>790</v>
      </c>
      <c r="E624" s="41">
        <v>0</v>
      </c>
      <c r="F624" s="41">
        <v>0</v>
      </c>
      <c r="G624" s="41">
        <v>0</v>
      </c>
      <c r="H624" s="41">
        <v>0</v>
      </c>
    </row>
    <row r="625" spans="1:8" x14ac:dyDescent="0.25">
      <c r="A625" s="40" t="s">
        <v>35</v>
      </c>
      <c r="B625" s="34">
        <v>611419</v>
      </c>
      <c r="C625" s="35">
        <v>41126</v>
      </c>
      <c r="D625" s="41">
        <v>465</v>
      </c>
      <c r="E625" s="41">
        <v>0</v>
      </c>
      <c r="F625" s="41">
        <v>0</v>
      </c>
      <c r="G625" s="41">
        <v>0</v>
      </c>
      <c r="H625" s="41">
        <v>0</v>
      </c>
    </row>
    <row r="626" spans="1:8" x14ac:dyDescent="0.25">
      <c r="A626" s="40" t="s">
        <v>35</v>
      </c>
      <c r="B626" s="34">
        <v>611419</v>
      </c>
      <c r="C626" s="35">
        <v>41126</v>
      </c>
      <c r="D626" s="41">
        <v>477</v>
      </c>
      <c r="E626" s="41">
        <v>61</v>
      </c>
      <c r="F626" s="41">
        <v>14114</v>
      </c>
      <c r="G626" s="41">
        <v>37</v>
      </c>
      <c r="H626" s="41">
        <v>79</v>
      </c>
    </row>
    <row r="627" spans="1:8" x14ac:dyDescent="0.25">
      <c r="A627" s="40" t="s">
        <v>35</v>
      </c>
      <c r="B627" s="34">
        <v>611419</v>
      </c>
      <c r="C627" s="35">
        <v>41126</v>
      </c>
      <c r="D627" s="41">
        <v>478</v>
      </c>
      <c r="E627" s="41">
        <v>1</v>
      </c>
      <c r="F627" s="41">
        <v>174</v>
      </c>
      <c r="G627" s="41">
        <v>0</v>
      </c>
      <c r="H627" s="41">
        <v>0</v>
      </c>
    </row>
    <row r="628" spans="1:8" x14ac:dyDescent="0.25">
      <c r="A628" s="40" t="s">
        <v>35</v>
      </c>
      <c r="B628" s="34">
        <v>611419</v>
      </c>
      <c r="C628" s="35">
        <v>41126</v>
      </c>
      <c r="D628" s="41">
        <v>790</v>
      </c>
      <c r="E628" s="41">
        <v>0</v>
      </c>
      <c r="F628" s="41">
        <v>0</v>
      </c>
      <c r="G628" s="41">
        <v>0</v>
      </c>
      <c r="H628" s="41">
        <v>0</v>
      </c>
    </row>
    <row r="629" spans="1:8" x14ac:dyDescent="0.25">
      <c r="A629" s="40" t="s">
        <v>35</v>
      </c>
      <c r="B629" s="34">
        <v>611419</v>
      </c>
      <c r="C629" s="35">
        <v>41127</v>
      </c>
      <c r="D629" s="41">
        <v>465</v>
      </c>
      <c r="E629" s="41">
        <v>0</v>
      </c>
      <c r="F629" s="41">
        <v>0</v>
      </c>
      <c r="G629" s="41">
        <v>0</v>
      </c>
      <c r="H629" s="41">
        <v>0</v>
      </c>
    </row>
    <row r="630" spans="1:8" x14ac:dyDescent="0.25">
      <c r="A630" s="40" t="s">
        <v>35</v>
      </c>
      <c r="B630" s="34">
        <v>611419</v>
      </c>
      <c r="C630" s="35">
        <v>41127</v>
      </c>
      <c r="D630" s="41">
        <v>477</v>
      </c>
      <c r="E630" s="41">
        <v>44</v>
      </c>
      <c r="F630" s="41">
        <v>12649</v>
      </c>
      <c r="G630" s="41">
        <v>139</v>
      </c>
      <c r="H630" s="41">
        <v>84</v>
      </c>
    </row>
    <row r="631" spans="1:8" x14ac:dyDescent="0.25">
      <c r="A631" s="40" t="s">
        <v>35</v>
      </c>
      <c r="B631" s="34">
        <v>611419</v>
      </c>
      <c r="C631" s="35">
        <v>41127</v>
      </c>
      <c r="D631" s="41">
        <v>478</v>
      </c>
      <c r="E631" s="41">
        <v>6</v>
      </c>
      <c r="F631" s="41">
        <v>2095</v>
      </c>
      <c r="G631" s="41">
        <v>2</v>
      </c>
      <c r="H631" s="41">
        <v>107</v>
      </c>
    </row>
    <row r="632" spans="1:8" x14ac:dyDescent="0.25">
      <c r="A632" s="40" t="s">
        <v>35</v>
      </c>
      <c r="B632" s="34">
        <v>611419</v>
      </c>
      <c r="C632" s="35">
        <v>41127</v>
      </c>
      <c r="D632" s="41">
        <v>790</v>
      </c>
      <c r="E632" s="41">
        <v>0</v>
      </c>
      <c r="F632" s="41">
        <v>0</v>
      </c>
      <c r="G632" s="41">
        <v>0</v>
      </c>
      <c r="H632" s="41">
        <v>0</v>
      </c>
    </row>
    <row r="633" spans="1:8" x14ac:dyDescent="0.25">
      <c r="A633" s="40" t="s">
        <v>35</v>
      </c>
      <c r="B633" s="34">
        <v>611419</v>
      </c>
      <c r="C633" s="35">
        <v>41128</v>
      </c>
      <c r="D633" s="41">
        <v>465</v>
      </c>
      <c r="E633" s="41">
        <v>0</v>
      </c>
      <c r="F633" s="41">
        <v>0</v>
      </c>
      <c r="G633" s="41">
        <v>0</v>
      </c>
      <c r="H633" s="41">
        <v>0</v>
      </c>
    </row>
    <row r="634" spans="1:8" x14ac:dyDescent="0.25">
      <c r="A634" s="40" t="s">
        <v>35</v>
      </c>
      <c r="B634" s="34">
        <v>611419</v>
      </c>
      <c r="C634" s="35">
        <v>41128</v>
      </c>
      <c r="D634" s="41">
        <v>477</v>
      </c>
      <c r="E634" s="41">
        <v>53</v>
      </c>
      <c r="F634" s="41">
        <v>14813</v>
      </c>
      <c r="G634" s="41">
        <v>29</v>
      </c>
      <c r="H634" s="41">
        <v>339</v>
      </c>
    </row>
    <row r="635" spans="1:8" x14ac:dyDescent="0.25">
      <c r="A635" s="40" t="s">
        <v>35</v>
      </c>
      <c r="B635" s="34">
        <v>611419</v>
      </c>
      <c r="C635" s="35">
        <v>41128</v>
      </c>
      <c r="D635" s="41">
        <v>478</v>
      </c>
      <c r="E635" s="41">
        <v>4</v>
      </c>
      <c r="F635" s="41">
        <v>371</v>
      </c>
      <c r="G635" s="41">
        <v>1</v>
      </c>
      <c r="H635" s="41">
        <v>0</v>
      </c>
    </row>
    <row r="636" spans="1:8" x14ac:dyDescent="0.25">
      <c r="A636" s="40" t="s">
        <v>35</v>
      </c>
      <c r="B636" s="34">
        <v>611419</v>
      </c>
      <c r="C636" s="35">
        <v>41128</v>
      </c>
      <c r="D636" s="41">
        <v>790</v>
      </c>
      <c r="E636" s="41">
        <v>0</v>
      </c>
      <c r="F636" s="41">
        <v>0</v>
      </c>
      <c r="G636" s="41">
        <v>0</v>
      </c>
      <c r="H636" s="41">
        <v>0</v>
      </c>
    </row>
    <row r="637" spans="1:8" x14ac:dyDescent="0.25">
      <c r="A637" s="40" t="s">
        <v>35</v>
      </c>
      <c r="B637" s="34">
        <v>611419</v>
      </c>
      <c r="C637" s="35">
        <v>41129</v>
      </c>
      <c r="D637" s="41">
        <v>465</v>
      </c>
      <c r="E637" s="41">
        <v>0</v>
      </c>
      <c r="F637" s="41">
        <v>0</v>
      </c>
      <c r="G637" s="41">
        <v>0</v>
      </c>
      <c r="H637" s="41">
        <v>0</v>
      </c>
    </row>
    <row r="638" spans="1:8" x14ac:dyDescent="0.25">
      <c r="A638" s="40" t="s">
        <v>35</v>
      </c>
      <c r="B638" s="34">
        <v>611419</v>
      </c>
      <c r="C638" s="35">
        <v>41129</v>
      </c>
      <c r="D638" s="41">
        <v>477</v>
      </c>
      <c r="E638" s="41">
        <v>42</v>
      </c>
      <c r="F638" s="41">
        <v>13631</v>
      </c>
      <c r="G638" s="41">
        <v>29</v>
      </c>
      <c r="H638" s="41">
        <v>173</v>
      </c>
    </row>
    <row r="639" spans="1:8" x14ac:dyDescent="0.25">
      <c r="A639" s="40" t="s">
        <v>35</v>
      </c>
      <c r="B639" s="34">
        <v>611419</v>
      </c>
      <c r="C639" s="35">
        <v>41129</v>
      </c>
      <c r="D639" s="41">
        <v>478</v>
      </c>
      <c r="E639" s="41">
        <v>6</v>
      </c>
      <c r="F639" s="41">
        <v>1751</v>
      </c>
      <c r="G639" s="41">
        <v>2</v>
      </c>
      <c r="H639" s="41">
        <v>48</v>
      </c>
    </row>
    <row r="640" spans="1:8" x14ac:dyDescent="0.25">
      <c r="A640" s="40" t="s">
        <v>35</v>
      </c>
      <c r="B640" s="34">
        <v>611419</v>
      </c>
      <c r="C640" s="35">
        <v>41129</v>
      </c>
      <c r="D640" s="41">
        <v>790</v>
      </c>
      <c r="E640" s="41">
        <v>0</v>
      </c>
      <c r="F640" s="41">
        <v>0</v>
      </c>
      <c r="G640" s="41">
        <v>0</v>
      </c>
      <c r="H640" s="41">
        <v>0</v>
      </c>
    </row>
    <row r="641" spans="1:8" x14ac:dyDescent="0.25">
      <c r="A641" s="40" t="s">
        <v>35</v>
      </c>
      <c r="B641" s="34">
        <v>611419</v>
      </c>
      <c r="C641" s="35">
        <v>41130</v>
      </c>
      <c r="D641" s="41">
        <v>465</v>
      </c>
      <c r="E641" s="41">
        <v>0</v>
      </c>
      <c r="F641" s="41">
        <v>0</v>
      </c>
      <c r="G641" s="41">
        <v>0</v>
      </c>
      <c r="H641" s="41">
        <v>0</v>
      </c>
    </row>
    <row r="642" spans="1:8" x14ac:dyDescent="0.25">
      <c r="A642" s="40" t="s">
        <v>35</v>
      </c>
      <c r="B642" s="34">
        <v>611419</v>
      </c>
      <c r="C642" s="35">
        <v>41130</v>
      </c>
      <c r="D642" s="41">
        <v>477</v>
      </c>
      <c r="E642" s="41">
        <v>52</v>
      </c>
      <c r="F642" s="41">
        <v>13155</v>
      </c>
      <c r="G642" s="41">
        <v>62</v>
      </c>
      <c r="H642" s="41">
        <v>180</v>
      </c>
    </row>
    <row r="643" spans="1:8" x14ac:dyDescent="0.25">
      <c r="A643" s="40" t="s">
        <v>35</v>
      </c>
      <c r="B643" s="34">
        <v>611419</v>
      </c>
      <c r="C643" s="35">
        <v>41130</v>
      </c>
      <c r="D643" s="41">
        <v>478</v>
      </c>
      <c r="E643" s="41">
        <v>4</v>
      </c>
      <c r="F643" s="41">
        <v>957</v>
      </c>
      <c r="G643" s="41">
        <v>2</v>
      </c>
      <c r="H643" s="41">
        <v>14</v>
      </c>
    </row>
    <row r="644" spans="1:8" x14ac:dyDescent="0.25">
      <c r="A644" s="40" t="s">
        <v>35</v>
      </c>
      <c r="B644" s="34">
        <v>611419</v>
      </c>
      <c r="C644" s="35">
        <v>41130</v>
      </c>
      <c r="D644" s="41">
        <v>790</v>
      </c>
      <c r="E644" s="41">
        <v>0</v>
      </c>
      <c r="F644" s="41">
        <v>0</v>
      </c>
      <c r="G644" s="41">
        <v>0</v>
      </c>
      <c r="H644" s="41">
        <v>0</v>
      </c>
    </row>
    <row r="645" spans="1:8" x14ac:dyDescent="0.25">
      <c r="A645" s="40" t="s">
        <v>35</v>
      </c>
      <c r="B645" s="34">
        <v>611419</v>
      </c>
      <c r="C645" s="35">
        <v>41131</v>
      </c>
      <c r="D645" s="41">
        <v>465</v>
      </c>
      <c r="E645" s="41">
        <v>0</v>
      </c>
      <c r="F645" s="41">
        <v>0</v>
      </c>
      <c r="G645" s="41">
        <v>0</v>
      </c>
      <c r="H645" s="41">
        <v>0</v>
      </c>
    </row>
    <row r="646" spans="1:8" x14ac:dyDescent="0.25">
      <c r="A646" s="40" t="s">
        <v>35</v>
      </c>
      <c r="B646" s="34">
        <v>611419</v>
      </c>
      <c r="C646" s="35">
        <v>41131</v>
      </c>
      <c r="D646" s="41">
        <v>477</v>
      </c>
      <c r="E646" s="41">
        <v>53</v>
      </c>
      <c r="F646" s="41">
        <v>11072</v>
      </c>
      <c r="G646" s="41">
        <v>43</v>
      </c>
      <c r="H646" s="41">
        <v>170</v>
      </c>
    </row>
    <row r="647" spans="1:8" x14ac:dyDescent="0.25">
      <c r="A647" s="40" t="s">
        <v>35</v>
      </c>
      <c r="B647" s="34">
        <v>611419</v>
      </c>
      <c r="C647" s="35">
        <v>41131</v>
      </c>
      <c r="D647" s="41">
        <v>478</v>
      </c>
      <c r="E647" s="41">
        <v>1</v>
      </c>
      <c r="F647" s="41">
        <v>52</v>
      </c>
      <c r="G647" s="41">
        <v>2</v>
      </c>
      <c r="H647" s="41">
        <v>0</v>
      </c>
    </row>
    <row r="648" spans="1:8" x14ac:dyDescent="0.25">
      <c r="A648" s="40" t="s">
        <v>35</v>
      </c>
      <c r="B648" s="34">
        <v>611419</v>
      </c>
      <c r="C648" s="35">
        <v>41131</v>
      </c>
      <c r="D648" s="41">
        <v>790</v>
      </c>
      <c r="E648" s="41">
        <v>0</v>
      </c>
      <c r="F648" s="41">
        <v>0</v>
      </c>
      <c r="G648" s="41">
        <v>0</v>
      </c>
      <c r="H648" s="41">
        <v>0</v>
      </c>
    </row>
    <row r="649" spans="1:8" x14ac:dyDescent="0.25">
      <c r="A649" s="40" t="s">
        <v>35</v>
      </c>
      <c r="B649" s="34">
        <v>611419</v>
      </c>
      <c r="C649" s="35">
        <v>41132</v>
      </c>
      <c r="D649" s="41">
        <v>465</v>
      </c>
      <c r="E649" s="41">
        <v>0</v>
      </c>
      <c r="F649" s="41">
        <v>0</v>
      </c>
      <c r="G649" s="41">
        <v>0</v>
      </c>
      <c r="H649" s="41">
        <v>0</v>
      </c>
    </row>
    <row r="650" spans="1:8" x14ac:dyDescent="0.25">
      <c r="A650" s="40" t="s">
        <v>35</v>
      </c>
      <c r="B650" s="34">
        <v>611419</v>
      </c>
      <c r="C650" s="35">
        <v>41132</v>
      </c>
      <c r="D650" s="41">
        <v>477</v>
      </c>
      <c r="E650" s="41">
        <v>53</v>
      </c>
      <c r="F650" s="41">
        <v>14925</v>
      </c>
      <c r="G650" s="41">
        <v>79</v>
      </c>
      <c r="H650" s="41">
        <v>19</v>
      </c>
    </row>
    <row r="651" spans="1:8" x14ac:dyDescent="0.25">
      <c r="A651" s="40" t="s">
        <v>35</v>
      </c>
      <c r="B651" s="34">
        <v>611419</v>
      </c>
      <c r="C651" s="35">
        <v>41132</v>
      </c>
      <c r="D651" s="41">
        <v>478</v>
      </c>
      <c r="E651" s="41">
        <v>14</v>
      </c>
      <c r="F651" s="41">
        <v>2309</v>
      </c>
      <c r="G651" s="41">
        <v>27</v>
      </c>
      <c r="H651" s="41">
        <v>16</v>
      </c>
    </row>
    <row r="652" spans="1:8" x14ac:dyDescent="0.25">
      <c r="A652" s="40" t="s">
        <v>35</v>
      </c>
      <c r="B652" s="34">
        <v>611419</v>
      </c>
      <c r="C652" s="35">
        <v>41132</v>
      </c>
      <c r="D652" s="41">
        <v>790</v>
      </c>
      <c r="E652" s="41">
        <v>0</v>
      </c>
      <c r="F652" s="41">
        <v>0</v>
      </c>
      <c r="G652" s="41">
        <v>0</v>
      </c>
      <c r="H652" s="41">
        <v>0</v>
      </c>
    </row>
    <row r="653" spans="1:8" x14ac:dyDescent="0.25">
      <c r="A653" s="40" t="s">
        <v>35</v>
      </c>
      <c r="B653" s="34">
        <v>611419</v>
      </c>
      <c r="C653" s="35">
        <v>41134</v>
      </c>
      <c r="D653" s="41">
        <v>465</v>
      </c>
      <c r="E653" s="41">
        <v>0</v>
      </c>
      <c r="F653" s="41">
        <v>0</v>
      </c>
      <c r="G653" s="41">
        <v>0</v>
      </c>
      <c r="H653" s="41">
        <v>0</v>
      </c>
    </row>
    <row r="654" spans="1:8" x14ac:dyDescent="0.25">
      <c r="A654" s="40" t="s">
        <v>35</v>
      </c>
      <c r="B654" s="34">
        <v>611419</v>
      </c>
      <c r="C654" s="35">
        <v>41134</v>
      </c>
      <c r="D654" s="41">
        <v>477</v>
      </c>
      <c r="E654" s="41">
        <v>44</v>
      </c>
      <c r="F654" s="41">
        <v>10669</v>
      </c>
      <c r="G654" s="41">
        <v>33</v>
      </c>
      <c r="H654" s="41">
        <v>150</v>
      </c>
    </row>
    <row r="655" spans="1:8" x14ac:dyDescent="0.25">
      <c r="A655" s="40" t="s">
        <v>35</v>
      </c>
      <c r="B655" s="34">
        <v>611419</v>
      </c>
      <c r="C655" s="35">
        <v>41134</v>
      </c>
      <c r="D655" s="41">
        <v>478</v>
      </c>
      <c r="E655" s="41">
        <v>14</v>
      </c>
      <c r="F655" s="41">
        <v>2579</v>
      </c>
      <c r="G655" s="41">
        <v>9</v>
      </c>
      <c r="H655" s="41">
        <v>94</v>
      </c>
    </row>
    <row r="656" spans="1:8" x14ac:dyDescent="0.25">
      <c r="A656" s="40" t="s">
        <v>35</v>
      </c>
      <c r="B656" s="34">
        <v>611419</v>
      </c>
      <c r="C656" s="35">
        <v>41134</v>
      </c>
      <c r="D656" s="41">
        <v>790</v>
      </c>
      <c r="E656" s="41">
        <v>0</v>
      </c>
      <c r="F656" s="41">
        <v>0</v>
      </c>
      <c r="G656" s="41">
        <v>0</v>
      </c>
      <c r="H656" s="41">
        <v>0</v>
      </c>
    </row>
    <row r="657" spans="1:8" x14ac:dyDescent="0.25">
      <c r="A657" s="40" t="s">
        <v>35</v>
      </c>
      <c r="B657" s="34">
        <v>611419</v>
      </c>
      <c r="C657" s="35">
        <v>41135</v>
      </c>
      <c r="D657" s="41">
        <v>465</v>
      </c>
      <c r="E657" s="41">
        <v>0</v>
      </c>
      <c r="F657" s="41">
        <v>0</v>
      </c>
      <c r="G657" s="41">
        <v>0</v>
      </c>
      <c r="H657" s="41">
        <v>0</v>
      </c>
    </row>
    <row r="658" spans="1:8" x14ac:dyDescent="0.25">
      <c r="A658" s="40" t="s">
        <v>35</v>
      </c>
      <c r="B658" s="34">
        <v>611419</v>
      </c>
      <c r="C658" s="35">
        <v>41135</v>
      </c>
      <c r="D658" s="41">
        <v>477</v>
      </c>
      <c r="E658" s="41">
        <v>51</v>
      </c>
      <c r="F658" s="41">
        <v>10706</v>
      </c>
      <c r="G658" s="41">
        <v>44</v>
      </c>
      <c r="H658" s="41">
        <v>1025</v>
      </c>
    </row>
    <row r="659" spans="1:8" x14ac:dyDescent="0.25">
      <c r="A659" s="40" t="s">
        <v>35</v>
      </c>
      <c r="B659" s="34">
        <v>611419</v>
      </c>
      <c r="C659" s="35">
        <v>41135</v>
      </c>
      <c r="D659" s="41">
        <v>478</v>
      </c>
      <c r="E659" s="41">
        <v>8</v>
      </c>
      <c r="F659" s="41">
        <v>1713</v>
      </c>
      <c r="G659" s="41">
        <v>25</v>
      </c>
      <c r="H659" s="41">
        <v>254</v>
      </c>
    </row>
    <row r="660" spans="1:8" x14ac:dyDescent="0.25">
      <c r="A660" s="40" t="s">
        <v>35</v>
      </c>
      <c r="B660" s="34">
        <v>611419</v>
      </c>
      <c r="C660" s="35">
        <v>41135</v>
      </c>
      <c r="D660" s="41">
        <v>790</v>
      </c>
      <c r="E660" s="41">
        <v>0</v>
      </c>
      <c r="F660" s="41">
        <v>0</v>
      </c>
      <c r="G660" s="41">
        <v>0</v>
      </c>
      <c r="H660" s="41">
        <v>0</v>
      </c>
    </row>
    <row r="661" spans="1:8" x14ac:dyDescent="0.25">
      <c r="A661" s="40" t="s">
        <v>35</v>
      </c>
      <c r="B661" s="34">
        <v>611419</v>
      </c>
      <c r="C661" s="35">
        <v>41137</v>
      </c>
      <c r="D661" s="41">
        <v>85</v>
      </c>
      <c r="E661" s="41">
        <v>0</v>
      </c>
      <c r="F661" s="41">
        <v>0</v>
      </c>
      <c r="G661" s="41">
        <v>0</v>
      </c>
      <c r="H661" s="41">
        <v>0</v>
      </c>
    </row>
    <row r="662" spans="1:8" x14ac:dyDescent="0.25">
      <c r="A662" s="40" t="s">
        <v>35</v>
      </c>
      <c r="B662" s="34">
        <v>611419</v>
      </c>
      <c r="C662" s="35">
        <v>41137</v>
      </c>
      <c r="D662" s="41">
        <v>465</v>
      </c>
      <c r="E662" s="41">
        <v>0</v>
      </c>
      <c r="F662" s="41">
        <v>0</v>
      </c>
      <c r="G662" s="41">
        <v>0</v>
      </c>
      <c r="H662" s="41">
        <v>0</v>
      </c>
    </row>
    <row r="663" spans="1:8" x14ac:dyDescent="0.25">
      <c r="A663" s="40" t="s">
        <v>35</v>
      </c>
      <c r="B663" s="34">
        <v>611419</v>
      </c>
      <c r="C663" s="35">
        <v>41137</v>
      </c>
      <c r="D663" s="41">
        <v>466</v>
      </c>
      <c r="E663" s="41">
        <v>19</v>
      </c>
      <c r="F663" s="41">
        <v>4215</v>
      </c>
      <c r="G663" s="41">
        <v>17</v>
      </c>
      <c r="H663" s="41">
        <v>33</v>
      </c>
    </row>
    <row r="664" spans="1:8" x14ac:dyDescent="0.25">
      <c r="A664" s="40" t="s">
        <v>35</v>
      </c>
      <c r="B664" s="34">
        <v>611419</v>
      </c>
      <c r="C664" s="35">
        <v>41137</v>
      </c>
      <c r="D664" s="41">
        <v>467</v>
      </c>
      <c r="E664" s="41">
        <v>0</v>
      </c>
      <c r="F664" s="41">
        <v>0</v>
      </c>
      <c r="G664" s="41">
        <v>0</v>
      </c>
      <c r="H664" s="41">
        <v>0</v>
      </c>
    </row>
    <row r="665" spans="1:8" x14ac:dyDescent="0.25">
      <c r="A665" s="40" t="s">
        <v>35</v>
      </c>
      <c r="B665" s="34">
        <v>611419</v>
      </c>
      <c r="C665" s="35">
        <v>41137</v>
      </c>
      <c r="D665" s="41">
        <v>477</v>
      </c>
      <c r="E665" s="41">
        <v>9</v>
      </c>
      <c r="F665" s="41">
        <v>2293</v>
      </c>
      <c r="G665" s="41">
        <v>4</v>
      </c>
      <c r="H665" s="41">
        <v>95</v>
      </c>
    </row>
    <row r="666" spans="1:8" x14ac:dyDescent="0.25">
      <c r="A666" s="40" t="s">
        <v>35</v>
      </c>
      <c r="B666" s="34">
        <v>611419</v>
      </c>
      <c r="C666" s="35">
        <v>41137</v>
      </c>
      <c r="D666" s="41">
        <v>478</v>
      </c>
      <c r="E666" s="41">
        <v>0</v>
      </c>
      <c r="F666" s="41">
        <v>0</v>
      </c>
      <c r="G666" s="41">
        <v>0</v>
      </c>
      <c r="H666" s="41">
        <v>0</v>
      </c>
    </row>
    <row r="667" spans="1:8" x14ac:dyDescent="0.25">
      <c r="A667" s="40" t="s">
        <v>35</v>
      </c>
      <c r="B667" s="34">
        <v>611419</v>
      </c>
      <c r="C667" s="35">
        <v>41137</v>
      </c>
      <c r="D667" s="41">
        <v>480</v>
      </c>
      <c r="E667" s="41">
        <v>5</v>
      </c>
      <c r="F667" s="41">
        <v>607</v>
      </c>
      <c r="G667" s="41">
        <v>11</v>
      </c>
      <c r="H667" s="41">
        <v>2040</v>
      </c>
    </row>
    <row r="668" spans="1:8" x14ac:dyDescent="0.25">
      <c r="A668" s="40" t="s">
        <v>35</v>
      </c>
      <c r="B668" s="34">
        <v>611419</v>
      </c>
      <c r="C668" s="35">
        <v>41137</v>
      </c>
      <c r="D668" s="41">
        <v>481</v>
      </c>
      <c r="E668" s="41">
        <v>0</v>
      </c>
      <c r="F668" s="41">
        <v>0</v>
      </c>
      <c r="G668" s="41">
        <v>0</v>
      </c>
      <c r="H668" s="41">
        <v>0</v>
      </c>
    </row>
    <row r="669" spans="1:8" x14ac:dyDescent="0.25">
      <c r="A669" s="40" t="s">
        <v>35</v>
      </c>
      <c r="B669" s="34">
        <v>611419</v>
      </c>
      <c r="C669" s="35">
        <v>41137</v>
      </c>
      <c r="D669" s="41">
        <v>482</v>
      </c>
      <c r="E669" s="41">
        <v>8</v>
      </c>
      <c r="F669" s="41">
        <v>6954</v>
      </c>
      <c r="G669" s="41">
        <v>8</v>
      </c>
      <c r="H669" s="41">
        <v>0</v>
      </c>
    </row>
    <row r="670" spans="1:8" x14ac:dyDescent="0.25">
      <c r="A670" s="40" t="s">
        <v>35</v>
      </c>
      <c r="B670" s="34">
        <v>611419</v>
      </c>
      <c r="C670" s="35">
        <v>41137</v>
      </c>
      <c r="D670" s="41">
        <v>790</v>
      </c>
      <c r="E670" s="41">
        <v>0</v>
      </c>
      <c r="F670" s="41">
        <v>0</v>
      </c>
      <c r="G670" s="41">
        <v>0</v>
      </c>
      <c r="H670" s="41">
        <v>0</v>
      </c>
    </row>
    <row r="671" spans="1:8" x14ac:dyDescent="0.25">
      <c r="A671" s="40" t="s">
        <v>35</v>
      </c>
      <c r="B671" s="34">
        <v>611419</v>
      </c>
      <c r="C671" s="35">
        <v>41138</v>
      </c>
      <c r="D671" s="41">
        <v>85</v>
      </c>
      <c r="E671" s="41">
        <v>0</v>
      </c>
      <c r="F671" s="41">
        <v>0</v>
      </c>
      <c r="G671" s="41">
        <v>0</v>
      </c>
      <c r="H671" s="41">
        <v>0</v>
      </c>
    </row>
    <row r="672" spans="1:8" x14ac:dyDescent="0.25">
      <c r="A672" s="40" t="s">
        <v>35</v>
      </c>
      <c r="B672" s="34">
        <v>611419</v>
      </c>
      <c r="C672" s="35">
        <v>41138</v>
      </c>
      <c r="D672" s="41">
        <v>465</v>
      </c>
      <c r="E672" s="41">
        <v>0</v>
      </c>
      <c r="F672" s="41">
        <v>0</v>
      </c>
      <c r="G672" s="41">
        <v>0</v>
      </c>
      <c r="H672" s="41">
        <v>0</v>
      </c>
    </row>
    <row r="673" spans="1:8" x14ac:dyDescent="0.25">
      <c r="A673" s="40" t="s">
        <v>35</v>
      </c>
      <c r="B673" s="34">
        <v>611419</v>
      </c>
      <c r="C673" s="35">
        <v>41138</v>
      </c>
      <c r="D673" s="41">
        <v>466</v>
      </c>
      <c r="E673" s="41">
        <v>27</v>
      </c>
      <c r="F673" s="41">
        <v>6120</v>
      </c>
      <c r="G673" s="41">
        <v>16</v>
      </c>
      <c r="H673" s="41">
        <v>187</v>
      </c>
    </row>
    <row r="674" spans="1:8" x14ac:dyDescent="0.25">
      <c r="A674" s="40" t="s">
        <v>35</v>
      </c>
      <c r="B674" s="34">
        <v>611419</v>
      </c>
      <c r="C674" s="35">
        <v>41138</v>
      </c>
      <c r="D674" s="41">
        <v>467</v>
      </c>
      <c r="E674" s="41">
        <v>0</v>
      </c>
      <c r="F674" s="41">
        <v>0</v>
      </c>
      <c r="G674" s="41">
        <v>0</v>
      </c>
      <c r="H674" s="41">
        <v>0</v>
      </c>
    </row>
    <row r="675" spans="1:8" x14ac:dyDescent="0.25">
      <c r="A675" s="40" t="s">
        <v>35</v>
      </c>
      <c r="B675" s="34">
        <v>611419</v>
      </c>
      <c r="C675" s="35">
        <v>41138</v>
      </c>
      <c r="D675" s="41">
        <v>477</v>
      </c>
      <c r="E675" s="41">
        <v>10</v>
      </c>
      <c r="F675" s="41">
        <v>2702</v>
      </c>
      <c r="G675" s="41">
        <v>14</v>
      </c>
      <c r="H675" s="41">
        <v>155</v>
      </c>
    </row>
    <row r="676" spans="1:8" x14ac:dyDescent="0.25">
      <c r="A676" s="40" t="s">
        <v>35</v>
      </c>
      <c r="B676" s="34">
        <v>611419</v>
      </c>
      <c r="C676" s="35">
        <v>41138</v>
      </c>
      <c r="D676" s="41">
        <v>478</v>
      </c>
      <c r="E676" s="41">
        <v>0</v>
      </c>
      <c r="F676" s="41">
        <v>0</v>
      </c>
      <c r="G676" s="41">
        <v>0</v>
      </c>
      <c r="H676" s="41">
        <v>0</v>
      </c>
    </row>
    <row r="677" spans="1:8" x14ac:dyDescent="0.25">
      <c r="A677" s="40" t="s">
        <v>35</v>
      </c>
      <c r="B677" s="34">
        <v>611419</v>
      </c>
      <c r="C677" s="35">
        <v>41138</v>
      </c>
      <c r="D677" s="41">
        <v>480</v>
      </c>
      <c r="E677" s="41">
        <v>6</v>
      </c>
      <c r="F677" s="41">
        <v>1835</v>
      </c>
      <c r="G677" s="41">
        <v>0</v>
      </c>
      <c r="H677" s="41">
        <v>167</v>
      </c>
    </row>
    <row r="678" spans="1:8" x14ac:dyDescent="0.25">
      <c r="A678" s="40" t="s">
        <v>35</v>
      </c>
      <c r="B678" s="34">
        <v>611419</v>
      </c>
      <c r="C678" s="35">
        <v>41138</v>
      </c>
      <c r="D678" s="41">
        <v>481</v>
      </c>
      <c r="E678" s="41">
        <v>0</v>
      </c>
      <c r="F678" s="41">
        <v>0</v>
      </c>
      <c r="G678" s="41">
        <v>0</v>
      </c>
      <c r="H678" s="41">
        <v>0</v>
      </c>
    </row>
    <row r="679" spans="1:8" x14ac:dyDescent="0.25">
      <c r="A679" s="40" t="s">
        <v>35</v>
      </c>
      <c r="B679" s="34">
        <v>611419</v>
      </c>
      <c r="C679" s="35">
        <v>41138</v>
      </c>
      <c r="D679" s="41">
        <v>482</v>
      </c>
      <c r="E679" s="41">
        <v>8</v>
      </c>
      <c r="F679" s="41">
        <v>3158</v>
      </c>
      <c r="G679" s="41">
        <v>4</v>
      </c>
      <c r="H679" s="41">
        <v>623</v>
      </c>
    </row>
    <row r="680" spans="1:8" x14ac:dyDescent="0.25">
      <c r="A680" s="40" t="s">
        <v>35</v>
      </c>
      <c r="B680" s="34">
        <v>611419</v>
      </c>
      <c r="C680" s="35">
        <v>41138</v>
      </c>
      <c r="D680" s="41">
        <v>790</v>
      </c>
      <c r="E680" s="41">
        <v>0</v>
      </c>
      <c r="F680" s="41">
        <v>0</v>
      </c>
      <c r="G680" s="41">
        <v>0</v>
      </c>
      <c r="H680" s="41">
        <v>0</v>
      </c>
    </row>
    <row r="681" spans="1:8" x14ac:dyDescent="0.25">
      <c r="A681" s="40" t="s">
        <v>35</v>
      </c>
      <c r="B681" s="34">
        <v>611419</v>
      </c>
      <c r="C681" s="35">
        <v>41140</v>
      </c>
      <c r="D681" s="41">
        <v>85</v>
      </c>
      <c r="E681" s="41">
        <v>1</v>
      </c>
      <c r="F681" s="41">
        <v>164</v>
      </c>
      <c r="G681" s="41">
        <v>0</v>
      </c>
      <c r="H681" s="41">
        <v>0</v>
      </c>
    </row>
    <row r="682" spans="1:8" x14ac:dyDescent="0.25">
      <c r="A682" s="40" t="s">
        <v>35</v>
      </c>
      <c r="B682" s="34">
        <v>611419</v>
      </c>
      <c r="C682" s="35">
        <v>41140</v>
      </c>
      <c r="D682" s="41">
        <v>465</v>
      </c>
      <c r="E682" s="41">
        <v>0</v>
      </c>
      <c r="F682" s="41">
        <v>0</v>
      </c>
      <c r="G682" s="41">
        <v>0</v>
      </c>
      <c r="H682" s="41">
        <v>0</v>
      </c>
    </row>
    <row r="683" spans="1:8" x14ac:dyDescent="0.25">
      <c r="A683" s="40" t="s">
        <v>35</v>
      </c>
      <c r="B683" s="34">
        <v>611419</v>
      </c>
      <c r="C683" s="35">
        <v>41140</v>
      </c>
      <c r="D683" s="41">
        <v>466</v>
      </c>
      <c r="E683" s="41">
        <v>27</v>
      </c>
      <c r="F683" s="41">
        <v>7283</v>
      </c>
      <c r="G683" s="41">
        <v>13</v>
      </c>
      <c r="H683" s="41">
        <v>0</v>
      </c>
    </row>
    <row r="684" spans="1:8" x14ac:dyDescent="0.25">
      <c r="A684" s="40" t="s">
        <v>35</v>
      </c>
      <c r="B684" s="34">
        <v>611419</v>
      </c>
      <c r="C684" s="35">
        <v>41140</v>
      </c>
      <c r="D684" s="41">
        <v>467</v>
      </c>
      <c r="E684" s="41">
        <v>0</v>
      </c>
      <c r="F684" s="41">
        <v>0</v>
      </c>
      <c r="G684" s="41">
        <v>0</v>
      </c>
      <c r="H684" s="41">
        <v>0</v>
      </c>
    </row>
    <row r="685" spans="1:8" x14ac:dyDescent="0.25">
      <c r="A685" s="40" t="s">
        <v>35</v>
      </c>
      <c r="B685" s="34">
        <v>611419</v>
      </c>
      <c r="C685" s="35">
        <v>41140</v>
      </c>
      <c r="D685" s="41">
        <v>477</v>
      </c>
      <c r="E685" s="41">
        <v>17</v>
      </c>
      <c r="F685" s="41">
        <v>4141</v>
      </c>
      <c r="G685" s="41">
        <v>24</v>
      </c>
      <c r="H685" s="41">
        <v>0</v>
      </c>
    </row>
    <row r="686" spans="1:8" x14ac:dyDescent="0.25">
      <c r="A686" s="40" t="s">
        <v>35</v>
      </c>
      <c r="B686" s="34">
        <v>611419</v>
      </c>
      <c r="C686" s="35">
        <v>41140</v>
      </c>
      <c r="D686" s="41">
        <v>478</v>
      </c>
      <c r="E686" s="41">
        <v>5</v>
      </c>
      <c r="F686" s="41">
        <v>1396</v>
      </c>
      <c r="G686" s="41">
        <v>9</v>
      </c>
      <c r="H686" s="41">
        <v>0</v>
      </c>
    </row>
    <row r="687" spans="1:8" x14ac:dyDescent="0.25">
      <c r="A687" s="40" t="s">
        <v>35</v>
      </c>
      <c r="B687" s="34">
        <v>611419</v>
      </c>
      <c r="C687" s="35">
        <v>41140</v>
      </c>
      <c r="D687" s="41">
        <v>480</v>
      </c>
      <c r="E687" s="41">
        <v>3</v>
      </c>
      <c r="F687" s="41">
        <v>469</v>
      </c>
      <c r="G687" s="41">
        <v>0</v>
      </c>
      <c r="H687" s="41">
        <v>0</v>
      </c>
    </row>
    <row r="688" spans="1:8" x14ac:dyDescent="0.25">
      <c r="A688" s="40" t="s">
        <v>35</v>
      </c>
      <c r="B688" s="34">
        <v>611419</v>
      </c>
      <c r="C688" s="35">
        <v>41140</v>
      </c>
      <c r="D688" s="41">
        <v>481</v>
      </c>
      <c r="E688" s="41">
        <v>3</v>
      </c>
      <c r="F688" s="41">
        <v>223</v>
      </c>
      <c r="G688" s="41">
        <v>5</v>
      </c>
      <c r="H688" s="41">
        <v>0</v>
      </c>
    </row>
    <row r="689" spans="1:8" x14ac:dyDescent="0.25">
      <c r="A689" s="40" t="s">
        <v>35</v>
      </c>
      <c r="B689" s="34">
        <v>611419</v>
      </c>
      <c r="C689" s="35">
        <v>41140</v>
      </c>
      <c r="D689" s="41">
        <v>482</v>
      </c>
      <c r="E689" s="41">
        <v>14</v>
      </c>
      <c r="F689" s="41">
        <v>4700</v>
      </c>
      <c r="G689" s="41">
        <v>6</v>
      </c>
      <c r="H689" s="41">
        <v>0</v>
      </c>
    </row>
    <row r="690" spans="1:8" x14ac:dyDescent="0.25">
      <c r="A690" s="40" t="s">
        <v>35</v>
      </c>
      <c r="B690" s="34">
        <v>611419</v>
      </c>
      <c r="C690" s="35">
        <v>41140</v>
      </c>
      <c r="D690" s="41">
        <v>790</v>
      </c>
      <c r="E690" s="41">
        <v>0</v>
      </c>
      <c r="F690" s="41">
        <v>0</v>
      </c>
      <c r="G690" s="41">
        <v>0</v>
      </c>
      <c r="H690" s="41">
        <v>0</v>
      </c>
    </row>
    <row r="691" spans="1:8" x14ac:dyDescent="0.25">
      <c r="A691" s="40" t="s">
        <v>35</v>
      </c>
      <c r="B691" s="34">
        <v>611419</v>
      </c>
      <c r="C691" s="35">
        <v>41141</v>
      </c>
      <c r="D691" s="41">
        <v>85</v>
      </c>
      <c r="E691" s="41">
        <v>0</v>
      </c>
      <c r="F691" s="41">
        <v>0</v>
      </c>
      <c r="G691" s="41">
        <v>0</v>
      </c>
      <c r="H691" s="41">
        <v>0</v>
      </c>
    </row>
    <row r="692" spans="1:8" x14ac:dyDescent="0.25">
      <c r="A692" s="40" t="s">
        <v>35</v>
      </c>
      <c r="B692" s="34">
        <v>611419</v>
      </c>
      <c r="C692" s="35">
        <v>41141</v>
      </c>
      <c r="D692" s="41">
        <v>465</v>
      </c>
      <c r="E692" s="41">
        <v>0</v>
      </c>
      <c r="F692" s="41">
        <v>0</v>
      </c>
      <c r="G692" s="41">
        <v>0</v>
      </c>
      <c r="H692" s="41">
        <v>0</v>
      </c>
    </row>
    <row r="693" spans="1:8" x14ac:dyDescent="0.25">
      <c r="A693" s="40" t="s">
        <v>35</v>
      </c>
      <c r="B693" s="34">
        <v>611419</v>
      </c>
      <c r="C693" s="35">
        <v>41141</v>
      </c>
      <c r="D693" s="41">
        <v>466</v>
      </c>
      <c r="E693" s="41">
        <v>19</v>
      </c>
      <c r="F693" s="41">
        <v>4348</v>
      </c>
      <c r="G693" s="41">
        <v>13</v>
      </c>
      <c r="H693" s="41">
        <v>198</v>
      </c>
    </row>
    <row r="694" spans="1:8" x14ac:dyDescent="0.25">
      <c r="A694" s="40" t="s">
        <v>35</v>
      </c>
      <c r="B694" s="34">
        <v>611419</v>
      </c>
      <c r="C694" s="35">
        <v>41141</v>
      </c>
      <c r="D694" s="41">
        <v>467</v>
      </c>
      <c r="E694" s="41">
        <v>0</v>
      </c>
      <c r="F694" s="41">
        <v>0</v>
      </c>
      <c r="G694" s="41">
        <v>0</v>
      </c>
      <c r="H694" s="41">
        <v>0</v>
      </c>
    </row>
    <row r="695" spans="1:8" x14ac:dyDescent="0.25">
      <c r="A695" s="40" t="s">
        <v>35</v>
      </c>
      <c r="B695" s="34">
        <v>611419</v>
      </c>
      <c r="C695" s="35">
        <v>41141</v>
      </c>
      <c r="D695" s="41">
        <v>477</v>
      </c>
      <c r="E695" s="41">
        <v>9</v>
      </c>
      <c r="F695" s="41">
        <v>2588</v>
      </c>
      <c r="G695" s="41">
        <v>8</v>
      </c>
      <c r="H695" s="41">
        <v>60</v>
      </c>
    </row>
    <row r="696" spans="1:8" x14ac:dyDescent="0.25">
      <c r="A696" s="40" t="s">
        <v>35</v>
      </c>
      <c r="B696" s="34">
        <v>611419</v>
      </c>
      <c r="C696" s="35">
        <v>41141</v>
      </c>
      <c r="D696" s="41">
        <v>478</v>
      </c>
      <c r="E696" s="41">
        <v>0</v>
      </c>
      <c r="F696" s="41">
        <v>0</v>
      </c>
      <c r="G696" s="41">
        <v>0</v>
      </c>
      <c r="H696" s="41">
        <v>0</v>
      </c>
    </row>
    <row r="697" spans="1:8" x14ac:dyDescent="0.25">
      <c r="A697" s="40" t="s">
        <v>35</v>
      </c>
      <c r="B697" s="34">
        <v>611419</v>
      </c>
      <c r="C697" s="35">
        <v>41141</v>
      </c>
      <c r="D697" s="41">
        <v>480</v>
      </c>
      <c r="E697" s="41">
        <v>8</v>
      </c>
      <c r="F697" s="41">
        <v>2796</v>
      </c>
      <c r="G697" s="41">
        <v>0</v>
      </c>
      <c r="H697" s="41">
        <v>64</v>
      </c>
    </row>
    <row r="698" spans="1:8" x14ac:dyDescent="0.25">
      <c r="A698" s="40" t="s">
        <v>35</v>
      </c>
      <c r="B698" s="34">
        <v>611419</v>
      </c>
      <c r="C698" s="35">
        <v>41141</v>
      </c>
      <c r="D698" s="41">
        <v>481</v>
      </c>
      <c r="E698" s="41">
        <v>0</v>
      </c>
      <c r="F698" s="41">
        <v>0</v>
      </c>
      <c r="G698" s="41">
        <v>0</v>
      </c>
      <c r="H698" s="41">
        <v>0</v>
      </c>
    </row>
    <row r="699" spans="1:8" x14ac:dyDescent="0.25">
      <c r="A699" s="40" t="s">
        <v>35</v>
      </c>
      <c r="B699" s="34">
        <v>611419</v>
      </c>
      <c r="C699" s="35">
        <v>41141</v>
      </c>
      <c r="D699" s="41">
        <v>482</v>
      </c>
      <c r="E699" s="41">
        <v>18</v>
      </c>
      <c r="F699" s="41">
        <v>3275</v>
      </c>
      <c r="G699" s="41">
        <v>6</v>
      </c>
      <c r="H699" s="41">
        <v>50</v>
      </c>
    </row>
    <row r="700" spans="1:8" x14ac:dyDescent="0.25">
      <c r="A700" s="40" t="s">
        <v>35</v>
      </c>
      <c r="B700" s="34">
        <v>611419</v>
      </c>
      <c r="C700" s="35">
        <v>41141</v>
      </c>
      <c r="D700" s="41">
        <v>790</v>
      </c>
      <c r="E700" s="41">
        <v>0</v>
      </c>
      <c r="F700" s="41">
        <v>0</v>
      </c>
      <c r="G700" s="41">
        <v>0</v>
      </c>
      <c r="H700" s="41">
        <v>0</v>
      </c>
    </row>
    <row r="701" spans="1:8" x14ac:dyDescent="0.25">
      <c r="A701" s="40" t="s">
        <v>35</v>
      </c>
      <c r="B701" s="34">
        <v>611419</v>
      </c>
      <c r="C701" s="35">
        <v>41142</v>
      </c>
      <c r="D701" s="41">
        <v>85</v>
      </c>
      <c r="E701" s="41">
        <v>0</v>
      </c>
      <c r="F701" s="41">
        <v>0</v>
      </c>
      <c r="G701" s="41">
        <v>0</v>
      </c>
      <c r="H701" s="41">
        <v>0</v>
      </c>
    </row>
    <row r="702" spans="1:8" x14ac:dyDescent="0.25">
      <c r="A702" s="40" t="s">
        <v>35</v>
      </c>
      <c r="B702" s="34">
        <v>611419</v>
      </c>
      <c r="C702" s="35">
        <v>41142</v>
      </c>
      <c r="D702" s="41">
        <v>465</v>
      </c>
      <c r="E702" s="41">
        <v>0</v>
      </c>
      <c r="F702" s="41">
        <v>0</v>
      </c>
      <c r="G702" s="41">
        <v>0</v>
      </c>
      <c r="H702" s="41">
        <v>0</v>
      </c>
    </row>
    <row r="703" spans="1:8" x14ac:dyDescent="0.25">
      <c r="A703" s="40" t="s">
        <v>35</v>
      </c>
      <c r="B703" s="34">
        <v>611419</v>
      </c>
      <c r="C703" s="35">
        <v>41142</v>
      </c>
      <c r="D703" s="41">
        <v>466</v>
      </c>
      <c r="E703" s="41">
        <v>27</v>
      </c>
      <c r="F703" s="41">
        <v>6258</v>
      </c>
      <c r="G703" s="41">
        <v>3</v>
      </c>
      <c r="H703" s="41">
        <v>928</v>
      </c>
    </row>
    <row r="704" spans="1:8" x14ac:dyDescent="0.25">
      <c r="A704" s="40" t="s">
        <v>35</v>
      </c>
      <c r="B704" s="34">
        <v>611419</v>
      </c>
      <c r="C704" s="35">
        <v>41142</v>
      </c>
      <c r="D704" s="41">
        <v>467</v>
      </c>
      <c r="E704" s="41">
        <v>0</v>
      </c>
      <c r="F704" s="41">
        <v>0</v>
      </c>
      <c r="G704" s="41">
        <v>0</v>
      </c>
      <c r="H704" s="41">
        <v>0</v>
      </c>
    </row>
    <row r="705" spans="1:8" x14ac:dyDescent="0.25">
      <c r="A705" s="40" t="s">
        <v>35</v>
      </c>
      <c r="B705" s="34">
        <v>611419</v>
      </c>
      <c r="C705" s="35">
        <v>41142</v>
      </c>
      <c r="D705" s="41">
        <v>477</v>
      </c>
      <c r="E705" s="41">
        <v>12</v>
      </c>
      <c r="F705" s="41">
        <v>2400</v>
      </c>
      <c r="G705" s="41">
        <v>5</v>
      </c>
      <c r="H705" s="41">
        <v>282</v>
      </c>
    </row>
    <row r="706" spans="1:8" x14ac:dyDescent="0.25">
      <c r="A706" s="40" t="s">
        <v>35</v>
      </c>
      <c r="B706" s="34">
        <v>611419</v>
      </c>
      <c r="C706" s="35">
        <v>41142</v>
      </c>
      <c r="D706" s="41">
        <v>478</v>
      </c>
      <c r="E706" s="41">
        <v>0</v>
      </c>
      <c r="F706" s="41">
        <v>0</v>
      </c>
      <c r="G706" s="41">
        <v>0</v>
      </c>
      <c r="H706" s="41">
        <v>0</v>
      </c>
    </row>
    <row r="707" spans="1:8" x14ac:dyDescent="0.25">
      <c r="A707" s="40" t="s">
        <v>35</v>
      </c>
      <c r="B707" s="34">
        <v>611419</v>
      </c>
      <c r="C707" s="35">
        <v>41142</v>
      </c>
      <c r="D707" s="41">
        <v>480</v>
      </c>
      <c r="E707" s="41">
        <v>4</v>
      </c>
      <c r="F707" s="41">
        <v>1564</v>
      </c>
      <c r="G707" s="41">
        <v>0</v>
      </c>
      <c r="H707" s="41">
        <v>41</v>
      </c>
    </row>
    <row r="708" spans="1:8" x14ac:dyDescent="0.25">
      <c r="A708" s="40" t="s">
        <v>35</v>
      </c>
      <c r="B708" s="34">
        <v>611419</v>
      </c>
      <c r="C708" s="35">
        <v>41142</v>
      </c>
      <c r="D708" s="41">
        <v>481</v>
      </c>
      <c r="E708" s="41">
        <v>0</v>
      </c>
      <c r="F708" s="41">
        <v>0</v>
      </c>
      <c r="G708" s="41">
        <v>0</v>
      </c>
      <c r="H708" s="41">
        <v>0</v>
      </c>
    </row>
    <row r="709" spans="1:8" x14ac:dyDescent="0.25">
      <c r="A709" s="40" t="s">
        <v>35</v>
      </c>
      <c r="B709" s="34">
        <v>611419</v>
      </c>
      <c r="C709" s="35">
        <v>41142</v>
      </c>
      <c r="D709" s="41">
        <v>482</v>
      </c>
      <c r="E709" s="41">
        <v>16</v>
      </c>
      <c r="F709" s="41">
        <v>3432</v>
      </c>
      <c r="G709" s="41">
        <v>1</v>
      </c>
      <c r="H709" s="41">
        <v>614</v>
      </c>
    </row>
    <row r="710" spans="1:8" x14ac:dyDescent="0.25">
      <c r="A710" s="40" t="s">
        <v>35</v>
      </c>
      <c r="B710" s="34">
        <v>611419</v>
      </c>
      <c r="C710" s="35">
        <v>41142</v>
      </c>
      <c r="D710" s="41">
        <v>790</v>
      </c>
      <c r="E710" s="41">
        <v>0</v>
      </c>
      <c r="F710" s="41">
        <v>0</v>
      </c>
      <c r="G710" s="41">
        <v>0</v>
      </c>
      <c r="H710" s="41">
        <v>0</v>
      </c>
    </row>
    <row r="711" spans="1:8" x14ac:dyDescent="0.25">
      <c r="A711" s="40" t="s">
        <v>35</v>
      </c>
      <c r="B711" s="34">
        <v>611419</v>
      </c>
      <c r="C711" s="35">
        <v>41143</v>
      </c>
      <c r="D711" s="41">
        <v>85</v>
      </c>
      <c r="E711" s="41">
        <v>0</v>
      </c>
      <c r="F711" s="41">
        <v>0</v>
      </c>
      <c r="G711" s="41">
        <v>0</v>
      </c>
      <c r="H711" s="41">
        <v>0</v>
      </c>
    </row>
    <row r="712" spans="1:8" x14ac:dyDescent="0.25">
      <c r="A712" s="40" t="s">
        <v>35</v>
      </c>
      <c r="B712" s="34">
        <v>611419</v>
      </c>
      <c r="C712" s="35">
        <v>41143</v>
      </c>
      <c r="D712" s="41">
        <v>465</v>
      </c>
      <c r="E712" s="41">
        <v>0</v>
      </c>
      <c r="F712" s="41">
        <v>0</v>
      </c>
      <c r="G712" s="41">
        <v>0</v>
      </c>
      <c r="H712" s="41">
        <v>0</v>
      </c>
    </row>
    <row r="713" spans="1:8" x14ac:dyDescent="0.25">
      <c r="A713" s="40" t="s">
        <v>35</v>
      </c>
      <c r="B713" s="34">
        <v>611419</v>
      </c>
      <c r="C713" s="35">
        <v>41143</v>
      </c>
      <c r="D713" s="41">
        <v>466</v>
      </c>
      <c r="E713" s="41">
        <v>21</v>
      </c>
      <c r="F713" s="41">
        <v>4506</v>
      </c>
      <c r="G713" s="41">
        <v>4</v>
      </c>
      <c r="H713" s="41">
        <v>1797</v>
      </c>
    </row>
    <row r="714" spans="1:8" x14ac:dyDescent="0.25">
      <c r="A714" s="40" t="s">
        <v>35</v>
      </c>
      <c r="B714" s="34">
        <v>611419</v>
      </c>
      <c r="C714" s="35">
        <v>41143</v>
      </c>
      <c r="D714" s="41">
        <v>467</v>
      </c>
      <c r="E714" s="41">
        <v>0</v>
      </c>
      <c r="F714" s="41">
        <v>0</v>
      </c>
      <c r="G714" s="41">
        <v>0</v>
      </c>
      <c r="H714" s="41">
        <v>0</v>
      </c>
    </row>
    <row r="715" spans="1:8" x14ac:dyDescent="0.25">
      <c r="A715" s="40" t="s">
        <v>35</v>
      </c>
      <c r="B715" s="34">
        <v>611419</v>
      </c>
      <c r="C715" s="35">
        <v>41143</v>
      </c>
      <c r="D715" s="41">
        <v>477</v>
      </c>
      <c r="E715" s="41">
        <v>13</v>
      </c>
      <c r="F715" s="41">
        <v>2743</v>
      </c>
      <c r="G715" s="41">
        <v>6</v>
      </c>
      <c r="H715" s="41">
        <v>1012</v>
      </c>
    </row>
    <row r="716" spans="1:8" x14ac:dyDescent="0.25">
      <c r="A716" s="40" t="s">
        <v>35</v>
      </c>
      <c r="B716" s="34">
        <v>611419</v>
      </c>
      <c r="C716" s="35">
        <v>41143</v>
      </c>
      <c r="D716" s="41">
        <v>478</v>
      </c>
      <c r="E716" s="41">
        <v>0</v>
      </c>
      <c r="F716" s="41">
        <v>0</v>
      </c>
      <c r="G716" s="41">
        <v>0</v>
      </c>
      <c r="H716" s="41">
        <v>0</v>
      </c>
    </row>
    <row r="717" spans="1:8" x14ac:dyDescent="0.25">
      <c r="A717" s="40" t="s">
        <v>35</v>
      </c>
      <c r="B717" s="34">
        <v>611419</v>
      </c>
      <c r="C717" s="35">
        <v>41143</v>
      </c>
      <c r="D717" s="41">
        <v>480</v>
      </c>
      <c r="E717" s="41">
        <v>6</v>
      </c>
      <c r="F717" s="41">
        <v>980</v>
      </c>
      <c r="G717" s="41">
        <v>5</v>
      </c>
      <c r="H717" s="41">
        <v>501</v>
      </c>
    </row>
    <row r="718" spans="1:8" x14ac:dyDescent="0.25">
      <c r="A718" s="40" t="s">
        <v>35</v>
      </c>
      <c r="B718" s="34">
        <v>611419</v>
      </c>
      <c r="C718" s="35">
        <v>41143</v>
      </c>
      <c r="D718" s="41">
        <v>481</v>
      </c>
      <c r="E718" s="41">
        <v>0</v>
      </c>
      <c r="F718" s="41">
        <v>0</v>
      </c>
      <c r="G718" s="41">
        <v>0</v>
      </c>
      <c r="H718" s="41">
        <v>0</v>
      </c>
    </row>
    <row r="719" spans="1:8" x14ac:dyDescent="0.25">
      <c r="A719" s="40" t="s">
        <v>35</v>
      </c>
      <c r="B719" s="34">
        <v>611419</v>
      </c>
      <c r="C719" s="35">
        <v>41143</v>
      </c>
      <c r="D719" s="41">
        <v>482</v>
      </c>
      <c r="E719" s="41">
        <v>14</v>
      </c>
      <c r="F719" s="41">
        <v>2563</v>
      </c>
      <c r="G719" s="41">
        <v>7</v>
      </c>
      <c r="H719" s="41">
        <v>1053</v>
      </c>
    </row>
    <row r="720" spans="1:8" x14ac:dyDescent="0.25">
      <c r="A720" s="40" t="s">
        <v>35</v>
      </c>
      <c r="B720" s="34">
        <v>611419</v>
      </c>
      <c r="C720" s="35">
        <v>41143</v>
      </c>
      <c r="D720" s="41">
        <v>790</v>
      </c>
      <c r="E720" s="41">
        <v>0</v>
      </c>
      <c r="F720" s="41">
        <v>0</v>
      </c>
      <c r="G720" s="41">
        <v>0</v>
      </c>
      <c r="H720" s="41">
        <v>0</v>
      </c>
    </row>
    <row r="721" spans="1:8" x14ac:dyDescent="0.25">
      <c r="A721" s="40" t="s">
        <v>35</v>
      </c>
      <c r="B721" s="34">
        <v>611419</v>
      </c>
      <c r="C721" s="35">
        <v>41144</v>
      </c>
      <c r="D721" s="41">
        <v>85</v>
      </c>
      <c r="E721" s="41">
        <v>0</v>
      </c>
      <c r="F721" s="41">
        <v>0</v>
      </c>
      <c r="G721" s="41">
        <v>0</v>
      </c>
      <c r="H721" s="41">
        <v>0</v>
      </c>
    </row>
    <row r="722" spans="1:8" x14ac:dyDescent="0.25">
      <c r="A722" s="40" t="s">
        <v>35</v>
      </c>
      <c r="B722" s="34">
        <v>611419</v>
      </c>
      <c r="C722" s="35">
        <v>41144</v>
      </c>
      <c r="D722" s="41">
        <v>465</v>
      </c>
      <c r="E722" s="41">
        <v>0</v>
      </c>
      <c r="F722" s="41">
        <v>0</v>
      </c>
      <c r="G722" s="41">
        <v>0</v>
      </c>
      <c r="H722" s="41">
        <v>0</v>
      </c>
    </row>
    <row r="723" spans="1:8" x14ac:dyDescent="0.25">
      <c r="A723" s="40" t="s">
        <v>35</v>
      </c>
      <c r="B723" s="34">
        <v>611419</v>
      </c>
      <c r="C723" s="35">
        <v>41144</v>
      </c>
      <c r="D723" s="41">
        <v>466</v>
      </c>
      <c r="E723" s="41">
        <v>20</v>
      </c>
      <c r="F723" s="41">
        <v>6035</v>
      </c>
      <c r="G723" s="41">
        <v>4</v>
      </c>
      <c r="H723" s="41">
        <v>610</v>
      </c>
    </row>
    <row r="724" spans="1:8" x14ac:dyDescent="0.25">
      <c r="A724" s="40" t="s">
        <v>35</v>
      </c>
      <c r="B724" s="34">
        <v>611419</v>
      </c>
      <c r="C724" s="35">
        <v>41144</v>
      </c>
      <c r="D724" s="41">
        <v>467</v>
      </c>
      <c r="E724" s="41">
        <v>0</v>
      </c>
      <c r="F724" s="41">
        <v>0</v>
      </c>
      <c r="G724" s="41">
        <v>0</v>
      </c>
      <c r="H724" s="41">
        <v>0</v>
      </c>
    </row>
    <row r="725" spans="1:8" x14ac:dyDescent="0.25">
      <c r="A725" s="40" t="s">
        <v>35</v>
      </c>
      <c r="B725" s="34">
        <v>611419</v>
      </c>
      <c r="C725" s="35">
        <v>41144</v>
      </c>
      <c r="D725" s="41">
        <v>477</v>
      </c>
      <c r="E725" s="41">
        <v>6</v>
      </c>
      <c r="F725" s="41">
        <v>1541</v>
      </c>
      <c r="G725" s="41">
        <v>4</v>
      </c>
      <c r="H725" s="41">
        <v>331</v>
      </c>
    </row>
    <row r="726" spans="1:8" x14ac:dyDescent="0.25">
      <c r="A726" s="40" t="s">
        <v>35</v>
      </c>
      <c r="B726" s="34">
        <v>611419</v>
      </c>
      <c r="C726" s="35">
        <v>41144</v>
      </c>
      <c r="D726" s="41">
        <v>478</v>
      </c>
      <c r="E726" s="41">
        <v>1</v>
      </c>
      <c r="F726" s="41">
        <v>191</v>
      </c>
      <c r="G726" s="41">
        <v>0</v>
      </c>
      <c r="H726" s="41">
        <v>158</v>
      </c>
    </row>
    <row r="727" spans="1:8" x14ac:dyDescent="0.25">
      <c r="A727" s="40" t="s">
        <v>35</v>
      </c>
      <c r="B727" s="34">
        <v>611419</v>
      </c>
      <c r="C727" s="35">
        <v>41144</v>
      </c>
      <c r="D727" s="41">
        <v>480</v>
      </c>
      <c r="E727" s="41">
        <v>7</v>
      </c>
      <c r="F727" s="41">
        <v>1297</v>
      </c>
      <c r="G727" s="41">
        <v>0</v>
      </c>
      <c r="H727" s="41">
        <v>69</v>
      </c>
    </row>
    <row r="728" spans="1:8" x14ac:dyDescent="0.25">
      <c r="A728" s="40" t="s">
        <v>35</v>
      </c>
      <c r="B728" s="34">
        <v>611419</v>
      </c>
      <c r="C728" s="35">
        <v>41144</v>
      </c>
      <c r="D728" s="41">
        <v>481</v>
      </c>
      <c r="E728" s="41">
        <v>0</v>
      </c>
      <c r="F728" s="41">
        <v>0</v>
      </c>
      <c r="G728" s="41">
        <v>0</v>
      </c>
      <c r="H728" s="41">
        <v>0</v>
      </c>
    </row>
    <row r="729" spans="1:8" x14ac:dyDescent="0.25">
      <c r="A729" s="40" t="s">
        <v>35</v>
      </c>
      <c r="B729" s="34">
        <v>611419</v>
      </c>
      <c r="C729" s="35">
        <v>41144</v>
      </c>
      <c r="D729" s="41">
        <v>482</v>
      </c>
      <c r="E729" s="41">
        <v>9</v>
      </c>
      <c r="F729" s="41">
        <v>2077</v>
      </c>
      <c r="G729" s="41">
        <v>3</v>
      </c>
      <c r="H729" s="41">
        <v>430</v>
      </c>
    </row>
    <row r="730" spans="1:8" x14ac:dyDescent="0.25">
      <c r="A730" s="40" t="s">
        <v>35</v>
      </c>
      <c r="B730" s="34">
        <v>611419</v>
      </c>
      <c r="C730" s="35">
        <v>41144</v>
      </c>
      <c r="D730" s="41">
        <v>790</v>
      </c>
      <c r="E730" s="41">
        <v>0</v>
      </c>
      <c r="F730" s="41">
        <v>0</v>
      </c>
      <c r="G730" s="41">
        <v>0</v>
      </c>
      <c r="H730" s="41">
        <v>0</v>
      </c>
    </row>
    <row r="731" spans="1:8" x14ac:dyDescent="0.25">
      <c r="A731" s="40" t="s">
        <v>35</v>
      </c>
      <c r="B731" s="34">
        <v>611419</v>
      </c>
      <c r="C731" s="35">
        <v>41145</v>
      </c>
      <c r="D731" s="41">
        <v>85</v>
      </c>
      <c r="E731" s="41">
        <v>0</v>
      </c>
      <c r="F731" s="41">
        <v>0</v>
      </c>
      <c r="G731" s="41">
        <v>0</v>
      </c>
      <c r="H731" s="41">
        <v>0</v>
      </c>
    </row>
    <row r="732" spans="1:8" x14ac:dyDescent="0.25">
      <c r="A732" s="40" t="s">
        <v>35</v>
      </c>
      <c r="B732" s="34">
        <v>611419</v>
      </c>
      <c r="C732" s="35">
        <v>41145</v>
      </c>
      <c r="D732" s="41">
        <v>465</v>
      </c>
      <c r="E732" s="41">
        <v>0</v>
      </c>
      <c r="F732" s="41">
        <v>0</v>
      </c>
      <c r="G732" s="41">
        <v>0</v>
      </c>
      <c r="H732" s="41">
        <v>0</v>
      </c>
    </row>
    <row r="733" spans="1:8" x14ac:dyDescent="0.25">
      <c r="A733" s="40" t="s">
        <v>35</v>
      </c>
      <c r="B733" s="34">
        <v>611419</v>
      </c>
      <c r="C733" s="35">
        <v>41145</v>
      </c>
      <c r="D733" s="41">
        <v>466</v>
      </c>
      <c r="E733" s="41">
        <v>27</v>
      </c>
      <c r="F733" s="41">
        <v>6045</v>
      </c>
      <c r="G733" s="41">
        <v>16</v>
      </c>
      <c r="H733" s="41">
        <v>2628</v>
      </c>
    </row>
    <row r="734" spans="1:8" x14ac:dyDescent="0.25">
      <c r="A734" s="40" t="s">
        <v>35</v>
      </c>
      <c r="B734" s="34">
        <v>611419</v>
      </c>
      <c r="C734" s="35">
        <v>41145</v>
      </c>
      <c r="D734" s="41">
        <v>467</v>
      </c>
      <c r="E734" s="41">
        <v>0</v>
      </c>
      <c r="F734" s="41">
        <v>0</v>
      </c>
      <c r="G734" s="41">
        <v>0</v>
      </c>
      <c r="H734" s="41">
        <v>0</v>
      </c>
    </row>
    <row r="735" spans="1:8" x14ac:dyDescent="0.25">
      <c r="A735" s="40" t="s">
        <v>35</v>
      </c>
      <c r="B735" s="34">
        <v>611419</v>
      </c>
      <c r="C735" s="35">
        <v>41145</v>
      </c>
      <c r="D735" s="41">
        <v>477</v>
      </c>
      <c r="E735" s="41">
        <v>7</v>
      </c>
      <c r="F735" s="41">
        <v>1335</v>
      </c>
      <c r="G735" s="41">
        <v>4</v>
      </c>
      <c r="H735" s="41">
        <v>56</v>
      </c>
    </row>
    <row r="736" spans="1:8" x14ac:dyDescent="0.25">
      <c r="A736" s="40" t="s">
        <v>35</v>
      </c>
      <c r="B736" s="34">
        <v>611419</v>
      </c>
      <c r="C736" s="35">
        <v>41145</v>
      </c>
      <c r="D736" s="41">
        <v>478</v>
      </c>
      <c r="E736" s="41">
        <v>0</v>
      </c>
      <c r="F736" s="41">
        <v>0</v>
      </c>
      <c r="G736" s="41">
        <v>0</v>
      </c>
      <c r="H736" s="41">
        <v>0</v>
      </c>
    </row>
    <row r="737" spans="1:8" x14ac:dyDescent="0.25">
      <c r="A737" s="40" t="s">
        <v>35</v>
      </c>
      <c r="B737" s="34">
        <v>611419</v>
      </c>
      <c r="C737" s="35">
        <v>41145</v>
      </c>
      <c r="D737" s="41">
        <v>480</v>
      </c>
      <c r="E737" s="41">
        <v>6</v>
      </c>
      <c r="F737" s="41">
        <v>1530</v>
      </c>
      <c r="G737" s="41">
        <v>0</v>
      </c>
      <c r="H737" s="41">
        <v>108</v>
      </c>
    </row>
    <row r="738" spans="1:8" x14ac:dyDescent="0.25">
      <c r="A738" s="40" t="s">
        <v>35</v>
      </c>
      <c r="B738" s="34">
        <v>611419</v>
      </c>
      <c r="C738" s="35">
        <v>41145</v>
      </c>
      <c r="D738" s="41">
        <v>481</v>
      </c>
      <c r="E738" s="41">
        <v>0</v>
      </c>
      <c r="F738" s="41">
        <v>0</v>
      </c>
      <c r="G738" s="41">
        <v>0</v>
      </c>
      <c r="H738" s="41">
        <v>0</v>
      </c>
    </row>
    <row r="739" spans="1:8" x14ac:dyDescent="0.25">
      <c r="A739" s="40" t="s">
        <v>35</v>
      </c>
      <c r="B739" s="34">
        <v>611419</v>
      </c>
      <c r="C739" s="35">
        <v>41145</v>
      </c>
      <c r="D739" s="41">
        <v>482</v>
      </c>
      <c r="E739" s="41">
        <v>10</v>
      </c>
      <c r="F739" s="41">
        <v>3068</v>
      </c>
      <c r="G739" s="41">
        <v>9</v>
      </c>
      <c r="H739" s="41">
        <v>147</v>
      </c>
    </row>
    <row r="740" spans="1:8" x14ac:dyDescent="0.25">
      <c r="A740" s="40" t="s">
        <v>35</v>
      </c>
      <c r="B740" s="34">
        <v>611419</v>
      </c>
      <c r="C740" s="35">
        <v>41145</v>
      </c>
      <c r="D740" s="41">
        <v>790</v>
      </c>
      <c r="E740" s="41">
        <v>0</v>
      </c>
      <c r="F740" s="41">
        <v>0</v>
      </c>
      <c r="G740" s="41">
        <v>0</v>
      </c>
      <c r="H740" s="41">
        <v>0</v>
      </c>
    </row>
    <row r="741" spans="1:8" x14ac:dyDescent="0.25">
      <c r="A741" s="40" t="s">
        <v>35</v>
      </c>
      <c r="B741" s="34">
        <v>611419</v>
      </c>
      <c r="C741" s="35">
        <v>41146</v>
      </c>
      <c r="D741" s="41">
        <v>85</v>
      </c>
      <c r="E741" s="41">
        <v>0</v>
      </c>
      <c r="F741" s="41">
        <v>0</v>
      </c>
      <c r="G741" s="41">
        <v>0</v>
      </c>
      <c r="H741" s="41">
        <v>0</v>
      </c>
    </row>
    <row r="742" spans="1:8" x14ac:dyDescent="0.25">
      <c r="A742" s="40" t="s">
        <v>35</v>
      </c>
      <c r="B742" s="34">
        <v>611419</v>
      </c>
      <c r="C742" s="35">
        <v>41146</v>
      </c>
      <c r="D742" s="41">
        <v>465</v>
      </c>
      <c r="E742" s="41">
        <v>0</v>
      </c>
      <c r="F742" s="41">
        <v>0</v>
      </c>
      <c r="G742" s="41">
        <v>0</v>
      </c>
      <c r="H742" s="41">
        <v>0</v>
      </c>
    </row>
    <row r="743" spans="1:8" x14ac:dyDescent="0.25">
      <c r="A743" s="40" t="s">
        <v>35</v>
      </c>
      <c r="B743" s="34">
        <v>611419</v>
      </c>
      <c r="C743" s="35">
        <v>41146</v>
      </c>
      <c r="D743" s="41">
        <v>466</v>
      </c>
      <c r="E743" s="41">
        <v>20</v>
      </c>
      <c r="F743" s="41">
        <v>3878</v>
      </c>
      <c r="G743" s="41">
        <v>24</v>
      </c>
      <c r="H743" s="41">
        <v>137</v>
      </c>
    </row>
    <row r="744" spans="1:8" x14ac:dyDescent="0.25">
      <c r="A744" s="40" t="s">
        <v>35</v>
      </c>
      <c r="B744" s="34">
        <v>611419</v>
      </c>
      <c r="C744" s="35">
        <v>41146</v>
      </c>
      <c r="D744" s="41">
        <v>467</v>
      </c>
      <c r="E744" s="41">
        <v>0</v>
      </c>
      <c r="F744" s="41">
        <v>0</v>
      </c>
      <c r="G744" s="41">
        <v>0</v>
      </c>
      <c r="H744" s="41">
        <v>0</v>
      </c>
    </row>
    <row r="745" spans="1:8" x14ac:dyDescent="0.25">
      <c r="A745" s="40" t="s">
        <v>35</v>
      </c>
      <c r="B745" s="34">
        <v>611419</v>
      </c>
      <c r="C745" s="35">
        <v>41146</v>
      </c>
      <c r="D745" s="41">
        <v>477</v>
      </c>
      <c r="E745" s="41">
        <v>15</v>
      </c>
      <c r="F745" s="41">
        <v>2867</v>
      </c>
      <c r="G745" s="41">
        <v>17</v>
      </c>
      <c r="H745" s="41">
        <v>187</v>
      </c>
    </row>
    <row r="746" spans="1:8" x14ac:dyDescent="0.25">
      <c r="A746" s="40" t="s">
        <v>35</v>
      </c>
      <c r="B746" s="34">
        <v>611419</v>
      </c>
      <c r="C746" s="35">
        <v>41146</v>
      </c>
      <c r="D746" s="41">
        <v>478</v>
      </c>
      <c r="E746" s="41">
        <v>10</v>
      </c>
      <c r="F746" s="41">
        <v>4132</v>
      </c>
      <c r="G746" s="41">
        <v>13</v>
      </c>
      <c r="H746" s="41">
        <v>75</v>
      </c>
    </row>
    <row r="747" spans="1:8" x14ac:dyDescent="0.25">
      <c r="A747" s="40" t="s">
        <v>35</v>
      </c>
      <c r="B747" s="34">
        <v>611419</v>
      </c>
      <c r="C747" s="35">
        <v>41146</v>
      </c>
      <c r="D747" s="41">
        <v>480</v>
      </c>
      <c r="E747" s="41">
        <v>7</v>
      </c>
      <c r="F747" s="41">
        <v>1291</v>
      </c>
      <c r="G747" s="41">
        <v>12</v>
      </c>
      <c r="H747" s="41">
        <v>12</v>
      </c>
    </row>
    <row r="748" spans="1:8" x14ac:dyDescent="0.25">
      <c r="A748" s="40" t="s">
        <v>35</v>
      </c>
      <c r="B748" s="34">
        <v>611419</v>
      </c>
      <c r="C748" s="35">
        <v>41146</v>
      </c>
      <c r="D748" s="41">
        <v>481</v>
      </c>
      <c r="E748" s="41">
        <v>0</v>
      </c>
      <c r="F748" s="41">
        <v>0</v>
      </c>
      <c r="G748" s="41">
        <v>0</v>
      </c>
      <c r="H748" s="41">
        <v>0</v>
      </c>
    </row>
    <row r="749" spans="1:8" x14ac:dyDescent="0.25">
      <c r="A749" s="40" t="s">
        <v>35</v>
      </c>
      <c r="B749" s="34">
        <v>611419</v>
      </c>
      <c r="C749" s="35">
        <v>41146</v>
      </c>
      <c r="D749" s="41">
        <v>482</v>
      </c>
      <c r="E749" s="41">
        <v>14</v>
      </c>
      <c r="F749" s="41">
        <v>3117</v>
      </c>
      <c r="G749" s="41">
        <v>26</v>
      </c>
      <c r="H749" s="41">
        <v>138</v>
      </c>
    </row>
    <row r="750" spans="1:8" x14ac:dyDescent="0.25">
      <c r="A750" s="40" t="s">
        <v>35</v>
      </c>
      <c r="B750" s="34">
        <v>611419</v>
      </c>
      <c r="C750" s="35">
        <v>41146</v>
      </c>
      <c r="D750" s="41">
        <v>790</v>
      </c>
      <c r="E750" s="41">
        <v>0</v>
      </c>
      <c r="F750" s="41">
        <v>0</v>
      </c>
      <c r="G750" s="41">
        <v>0</v>
      </c>
      <c r="H750" s="41">
        <v>0</v>
      </c>
    </row>
    <row r="751" spans="1:8" x14ac:dyDescent="0.25">
      <c r="A751" s="40" t="s">
        <v>35</v>
      </c>
      <c r="B751" s="34">
        <v>611419</v>
      </c>
      <c r="C751" s="35">
        <v>41148</v>
      </c>
      <c r="D751" s="41">
        <v>85</v>
      </c>
      <c r="E751" s="41">
        <v>0</v>
      </c>
      <c r="F751" s="41">
        <v>0</v>
      </c>
      <c r="G751" s="41">
        <v>0</v>
      </c>
      <c r="H751" s="41">
        <v>0</v>
      </c>
    </row>
    <row r="752" spans="1:8" x14ac:dyDescent="0.25">
      <c r="A752" s="40" t="s">
        <v>35</v>
      </c>
      <c r="B752" s="34">
        <v>611419</v>
      </c>
      <c r="C752" s="35">
        <v>41148</v>
      </c>
      <c r="D752" s="41">
        <v>465</v>
      </c>
      <c r="E752" s="41">
        <v>0</v>
      </c>
      <c r="F752" s="41">
        <v>0</v>
      </c>
      <c r="G752" s="41">
        <v>0</v>
      </c>
      <c r="H752" s="41">
        <v>0</v>
      </c>
    </row>
    <row r="753" spans="1:8" x14ac:dyDescent="0.25">
      <c r="A753" s="40" t="s">
        <v>35</v>
      </c>
      <c r="B753" s="34">
        <v>611419</v>
      </c>
      <c r="C753" s="35">
        <v>41148</v>
      </c>
      <c r="D753" s="41">
        <v>466</v>
      </c>
      <c r="E753" s="41">
        <v>28</v>
      </c>
      <c r="F753" s="41">
        <v>5250</v>
      </c>
      <c r="G753" s="41">
        <v>16</v>
      </c>
      <c r="H753" s="41">
        <v>591</v>
      </c>
    </row>
    <row r="754" spans="1:8" x14ac:dyDescent="0.25">
      <c r="A754" s="40" t="s">
        <v>35</v>
      </c>
      <c r="B754" s="34">
        <v>611419</v>
      </c>
      <c r="C754" s="35">
        <v>41148</v>
      </c>
      <c r="D754" s="41">
        <v>467</v>
      </c>
      <c r="E754" s="41">
        <v>0</v>
      </c>
      <c r="F754" s="41">
        <v>0</v>
      </c>
      <c r="G754" s="41">
        <v>0</v>
      </c>
      <c r="H754" s="41">
        <v>0</v>
      </c>
    </row>
    <row r="755" spans="1:8" x14ac:dyDescent="0.25">
      <c r="A755" s="40" t="s">
        <v>35</v>
      </c>
      <c r="B755" s="34">
        <v>611419</v>
      </c>
      <c r="C755" s="35">
        <v>41148</v>
      </c>
      <c r="D755" s="41">
        <v>477</v>
      </c>
      <c r="E755" s="41">
        <v>17</v>
      </c>
      <c r="F755" s="41">
        <v>3273</v>
      </c>
      <c r="G755" s="41">
        <v>27</v>
      </c>
      <c r="H755" s="41">
        <v>405</v>
      </c>
    </row>
    <row r="756" spans="1:8" x14ac:dyDescent="0.25">
      <c r="A756" s="40" t="s">
        <v>35</v>
      </c>
      <c r="B756" s="34">
        <v>611419</v>
      </c>
      <c r="C756" s="35">
        <v>41148</v>
      </c>
      <c r="D756" s="41">
        <v>478</v>
      </c>
      <c r="E756" s="41">
        <v>4</v>
      </c>
      <c r="F756" s="41">
        <v>583</v>
      </c>
      <c r="G756" s="41">
        <v>12</v>
      </c>
      <c r="H756" s="41">
        <v>0</v>
      </c>
    </row>
    <row r="757" spans="1:8" x14ac:dyDescent="0.25">
      <c r="A757" s="40" t="s">
        <v>35</v>
      </c>
      <c r="B757" s="34">
        <v>611419</v>
      </c>
      <c r="C757" s="35">
        <v>41148</v>
      </c>
      <c r="D757" s="41">
        <v>480</v>
      </c>
      <c r="E757" s="41">
        <v>8</v>
      </c>
      <c r="F757" s="41">
        <v>1997</v>
      </c>
      <c r="G757" s="41">
        <v>23</v>
      </c>
      <c r="H757" s="41">
        <v>71</v>
      </c>
    </row>
    <row r="758" spans="1:8" x14ac:dyDescent="0.25">
      <c r="A758" s="40" t="s">
        <v>35</v>
      </c>
      <c r="B758" s="34">
        <v>611419</v>
      </c>
      <c r="C758" s="35">
        <v>41148</v>
      </c>
      <c r="D758" s="41">
        <v>481</v>
      </c>
      <c r="E758" s="41">
        <v>0</v>
      </c>
      <c r="F758" s="41">
        <v>0</v>
      </c>
      <c r="G758" s="41">
        <v>0</v>
      </c>
      <c r="H758" s="41">
        <v>0</v>
      </c>
    </row>
    <row r="759" spans="1:8" x14ac:dyDescent="0.25">
      <c r="A759" s="40" t="s">
        <v>35</v>
      </c>
      <c r="B759" s="34">
        <v>611419</v>
      </c>
      <c r="C759" s="35">
        <v>41148</v>
      </c>
      <c r="D759" s="41">
        <v>790</v>
      </c>
      <c r="E759" s="41">
        <v>0</v>
      </c>
      <c r="F759" s="41">
        <v>0</v>
      </c>
      <c r="G759" s="41">
        <v>0</v>
      </c>
      <c r="H759" s="41">
        <v>0</v>
      </c>
    </row>
    <row r="760" spans="1:8" x14ac:dyDescent="0.25">
      <c r="A760" s="40" t="s">
        <v>35</v>
      </c>
      <c r="B760" s="34">
        <v>611419</v>
      </c>
      <c r="C760" s="35">
        <v>41149</v>
      </c>
      <c r="D760" s="41">
        <v>85</v>
      </c>
      <c r="E760" s="41">
        <v>0</v>
      </c>
      <c r="F760" s="41">
        <v>0</v>
      </c>
      <c r="G760" s="41">
        <v>0</v>
      </c>
      <c r="H760" s="41">
        <v>0</v>
      </c>
    </row>
    <row r="761" spans="1:8" x14ac:dyDescent="0.25">
      <c r="A761" s="40" t="s">
        <v>35</v>
      </c>
      <c r="B761" s="34">
        <v>611419</v>
      </c>
      <c r="C761" s="35">
        <v>41149</v>
      </c>
      <c r="D761" s="41">
        <v>465</v>
      </c>
      <c r="E761" s="41">
        <v>0</v>
      </c>
      <c r="F761" s="41">
        <v>0</v>
      </c>
      <c r="G761" s="41">
        <v>0</v>
      </c>
      <c r="H761" s="41">
        <v>0</v>
      </c>
    </row>
    <row r="762" spans="1:8" x14ac:dyDescent="0.25">
      <c r="A762" s="40" t="s">
        <v>35</v>
      </c>
      <c r="B762" s="34">
        <v>611419</v>
      </c>
      <c r="C762" s="35">
        <v>41149</v>
      </c>
      <c r="D762" s="41">
        <v>466</v>
      </c>
      <c r="E762" s="41">
        <v>21</v>
      </c>
      <c r="F762" s="41">
        <v>5764</v>
      </c>
      <c r="G762" s="41">
        <v>3</v>
      </c>
      <c r="H762" s="41">
        <v>197</v>
      </c>
    </row>
    <row r="763" spans="1:8" x14ac:dyDescent="0.25">
      <c r="A763" s="40" t="s">
        <v>35</v>
      </c>
      <c r="B763" s="34">
        <v>611419</v>
      </c>
      <c r="C763" s="35">
        <v>41149</v>
      </c>
      <c r="D763" s="41">
        <v>467</v>
      </c>
      <c r="E763" s="41">
        <v>0</v>
      </c>
      <c r="F763" s="41">
        <v>0</v>
      </c>
      <c r="G763" s="41">
        <v>0</v>
      </c>
      <c r="H763" s="41">
        <v>0</v>
      </c>
    </row>
    <row r="764" spans="1:8" x14ac:dyDescent="0.25">
      <c r="A764" s="40" t="s">
        <v>35</v>
      </c>
      <c r="B764" s="34">
        <v>611419</v>
      </c>
      <c r="C764" s="35">
        <v>41149</v>
      </c>
      <c r="D764" s="41">
        <v>477</v>
      </c>
      <c r="E764" s="41">
        <v>11</v>
      </c>
      <c r="F764" s="41">
        <v>2110</v>
      </c>
      <c r="G764" s="41">
        <v>11</v>
      </c>
      <c r="H764" s="41">
        <v>52</v>
      </c>
    </row>
    <row r="765" spans="1:8" x14ac:dyDescent="0.25">
      <c r="A765" s="40" t="s">
        <v>35</v>
      </c>
      <c r="B765" s="34">
        <v>611419</v>
      </c>
      <c r="C765" s="35">
        <v>41149</v>
      </c>
      <c r="D765" s="41">
        <v>478</v>
      </c>
      <c r="E765" s="41">
        <v>17</v>
      </c>
      <c r="F765" s="41">
        <v>3751</v>
      </c>
      <c r="G765" s="41">
        <v>4</v>
      </c>
      <c r="H765" s="41">
        <v>268</v>
      </c>
    </row>
    <row r="766" spans="1:8" x14ac:dyDescent="0.25">
      <c r="A766" s="40" t="s">
        <v>35</v>
      </c>
      <c r="B766" s="34">
        <v>611419</v>
      </c>
      <c r="C766" s="35">
        <v>41149</v>
      </c>
      <c r="D766" s="41">
        <v>480</v>
      </c>
      <c r="E766" s="41">
        <v>9</v>
      </c>
      <c r="F766" s="41">
        <v>1868</v>
      </c>
      <c r="G766" s="41">
        <v>2</v>
      </c>
      <c r="H766" s="41">
        <v>16</v>
      </c>
    </row>
    <row r="767" spans="1:8" x14ac:dyDescent="0.25">
      <c r="A767" s="40" t="s">
        <v>35</v>
      </c>
      <c r="B767" s="34">
        <v>611419</v>
      </c>
      <c r="C767" s="35">
        <v>41149</v>
      </c>
      <c r="D767" s="41">
        <v>481</v>
      </c>
      <c r="E767" s="41">
        <v>5</v>
      </c>
      <c r="F767" s="41">
        <v>1032</v>
      </c>
      <c r="G767" s="41">
        <v>2</v>
      </c>
      <c r="H767" s="41">
        <v>1216</v>
      </c>
    </row>
    <row r="768" spans="1:8" x14ac:dyDescent="0.25">
      <c r="A768" s="40" t="s">
        <v>35</v>
      </c>
      <c r="B768" s="34">
        <v>611419</v>
      </c>
      <c r="C768" s="35">
        <v>41149</v>
      </c>
      <c r="D768" s="41">
        <v>790</v>
      </c>
      <c r="E768" s="41">
        <v>0</v>
      </c>
      <c r="F768" s="41">
        <v>0</v>
      </c>
      <c r="G768" s="41">
        <v>0</v>
      </c>
      <c r="H768" s="41">
        <v>0</v>
      </c>
    </row>
    <row r="769" spans="1:8" x14ac:dyDescent="0.25">
      <c r="A769" s="40" t="s">
        <v>35</v>
      </c>
      <c r="B769" s="34">
        <v>611419</v>
      </c>
      <c r="C769" s="35">
        <v>41150</v>
      </c>
      <c r="D769" s="41">
        <v>85</v>
      </c>
      <c r="E769" s="41">
        <v>0</v>
      </c>
      <c r="F769" s="41">
        <v>0</v>
      </c>
      <c r="G769" s="41">
        <v>0</v>
      </c>
      <c r="H769" s="41">
        <v>0</v>
      </c>
    </row>
    <row r="770" spans="1:8" x14ac:dyDescent="0.25">
      <c r="A770" s="40" t="s">
        <v>35</v>
      </c>
      <c r="B770" s="34">
        <v>611419</v>
      </c>
      <c r="C770" s="35">
        <v>41150</v>
      </c>
      <c r="D770" s="41">
        <v>465</v>
      </c>
      <c r="E770" s="41">
        <v>0</v>
      </c>
      <c r="F770" s="41">
        <v>0</v>
      </c>
      <c r="G770" s="41">
        <v>0</v>
      </c>
      <c r="H770" s="41">
        <v>0</v>
      </c>
    </row>
    <row r="771" spans="1:8" x14ac:dyDescent="0.25">
      <c r="A771" s="40" t="s">
        <v>35</v>
      </c>
      <c r="B771" s="34">
        <v>611419</v>
      </c>
      <c r="C771" s="35">
        <v>41150</v>
      </c>
      <c r="D771" s="41">
        <v>466</v>
      </c>
      <c r="E771" s="41">
        <v>25</v>
      </c>
      <c r="F771" s="41">
        <v>8384</v>
      </c>
      <c r="G771" s="41">
        <v>9</v>
      </c>
      <c r="H771" s="41">
        <v>2554</v>
      </c>
    </row>
    <row r="772" spans="1:8" x14ac:dyDescent="0.25">
      <c r="A772" s="40" t="s">
        <v>35</v>
      </c>
      <c r="B772" s="34">
        <v>611419</v>
      </c>
      <c r="C772" s="35">
        <v>41150</v>
      </c>
      <c r="D772" s="41">
        <v>467</v>
      </c>
      <c r="E772" s="41">
        <v>0</v>
      </c>
      <c r="F772" s="41">
        <v>0</v>
      </c>
      <c r="G772" s="41">
        <v>0</v>
      </c>
      <c r="H772" s="41">
        <v>0</v>
      </c>
    </row>
    <row r="773" spans="1:8" x14ac:dyDescent="0.25">
      <c r="A773" s="40" t="s">
        <v>35</v>
      </c>
      <c r="B773" s="34">
        <v>611419</v>
      </c>
      <c r="C773" s="35">
        <v>41150</v>
      </c>
      <c r="D773" s="41">
        <v>477</v>
      </c>
      <c r="E773" s="41">
        <v>2</v>
      </c>
      <c r="F773" s="41">
        <v>334</v>
      </c>
      <c r="G773" s="41">
        <v>0</v>
      </c>
      <c r="H773" s="41">
        <v>165</v>
      </c>
    </row>
    <row r="774" spans="1:8" x14ac:dyDescent="0.25">
      <c r="A774" s="40" t="s">
        <v>35</v>
      </c>
      <c r="B774" s="34">
        <v>611419</v>
      </c>
      <c r="C774" s="35">
        <v>41150</v>
      </c>
      <c r="D774" s="41">
        <v>478</v>
      </c>
      <c r="E774" s="41">
        <v>3</v>
      </c>
      <c r="F774" s="41">
        <v>859</v>
      </c>
      <c r="G774" s="41">
        <v>0</v>
      </c>
      <c r="H774" s="41">
        <v>210</v>
      </c>
    </row>
    <row r="775" spans="1:8" x14ac:dyDescent="0.25">
      <c r="A775" s="40" t="s">
        <v>35</v>
      </c>
      <c r="B775" s="34">
        <v>611419</v>
      </c>
      <c r="C775" s="35">
        <v>41150</v>
      </c>
      <c r="D775" s="41">
        <v>480</v>
      </c>
      <c r="E775" s="41">
        <v>7</v>
      </c>
      <c r="F775" s="41">
        <v>1668</v>
      </c>
      <c r="G775" s="41">
        <v>7</v>
      </c>
      <c r="H775" s="41">
        <v>892</v>
      </c>
    </row>
    <row r="776" spans="1:8" x14ac:dyDescent="0.25">
      <c r="A776" s="40" t="s">
        <v>35</v>
      </c>
      <c r="B776" s="34">
        <v>611419</v>
      </c>
      <c r="C776" s="35">
        <v>41150</v>
      </c>
      <c r="D776" s="41">
        <v>481</v>
      </c>
      <c r="E776" s="41">
        <v>0</v>
      </c>
      <c r="F776" s="41">
        <v>0</v>
      </c>
      <c r="G776" s="41">
        <v>0</v>
      </c>
      <c r="H776" s="41">
        <v>0</v>
      </c>
    </row>
    <row r="777" spans="1:8" x14ac:dyDescent="0.25">
      <c r="A777" s="40" t="s">
        <v>35</v>
      </c>
      <c r="B777" s="34">
        <v>611419</v>
      </c>
      <c r="C777" s="35">
        <v>41150</v>
      </c>
      <c r="D777" s="41">
        <v>790</v>
      </c>
      <c r="E777" s="41">
        <v>0</v>
      </c>
      <c r="F777" s="41">
        <v>0</v>
      </c>
      <c r="G777" s="41">
        <v>0</v>
      </c>
      <c r="H777" s="41">
        <v>0</v>
      </c>
    </row>
    <row r="778" spans="1:8" x14ac:dyDescent="0.25">
      <c r="A778" s="40" t="s">
        <v>35</v>
      </c>
      <c r="B778" s="34">
        <v>611419</v>
      </c>
      <c r="C778" s="35">
        <v>41151</v>
      </c>
      <c r="D778" s="41">
        <v>85</v>
      </c>
      <c r="E778" s="41">
        <v>0</v>
      </c>
      <c r="F778" s="41">
        <v>0</v>
      </c>
      <c r="G778" s="41">
        <v>0</v>
      </c>
      <c r="H778" s="41">
        <v>0</v>
      </c>
    </row>
    <row r="779" spans="1:8" x14ac:dyDescent="0.25">
      <c r="A779" s="40" t="s">
        <v>35</v>
      </c>
      <c r="B779" s="34">
        <v>611419</v>
      </c>
      <c r="C779" s="35">
        <v>41151</v>
      </c>
      <c r="D779" s="41">
        <v>465</v>
      </c>
      <c r="E779" s="41">
        <v>0</v>
      </c>
      <c r="F779" s="41">
        <v>0</v>
      </c>
      <c r="G779" s="41">
        <v>0</v>
      </c>
      <c r="H779" s="41">
        <v>0</v>
      </c>
    </row>
    <row r="780" spans="1:8" x14ac:dyDescent="0.25">
      <c r="A780" s="40" t="s">
        <v>35</v>
      </c>
      <c r="B780" s="34">
        <v>611419</v>
      </c>
      <c r="C780" s="35">
        <v>41151</v>
      </c>
      <c r="D780" s="41">
        <v>466</v>
      </c>
      <c r="E780" s="41">
        <v>32</v>
      </c>
      <c r="F780" s="41">
        <v>7171</v>
      </c>
      <c r="G780" s="41">
        <v>4</v>
      </c>
      <c r="H780" s="41">
        <v>1111</v>
      </c>
    </row>
    <row r="781" spans="1:8" x14ac:dyDescent="0.25">
      <c r="A781" s="40" t="s">
        <v>35</v>
      </c>
      <c r="B781" s="34">
        <v>611419</v>
      </c>
      <c r="C781" s="35">
        <v>41151</v>
      </c>
      <c r="D781" s="41">
        <v>467</v>
      </c>
      <c r="E781" s="41">
        <v>0</v>
      </c>
      <c r="F781" s="41">
        <v>0</v>
      </c>
      <c r="G781" s="41">
        <v>0</v>
      </c>
      <c r="H781" s="41">
        <v>0</v>
      </c>
    </row>
    <row r="782" spans="1:8" x14ac:dyDescent="0.25">
      <c r="A782" s="40" t="s">
        <v>35</v>
      </c>
      <c r="B782" s="34">
        <v>611419</v>
      </c>
      <c r="C782" s="35">
        <v>41151</v>
      </c>
      <c r="D782" s="41">
        <v>477</v>
      </c>
      <c r="E782" s="41">
        <v>16</v>
      </c>
      <c r="F782" s="41">
        <v>2610</v>
      </c>
      <c r="G782" s="41">
        <v>3</v>
      </c>
      <c r="H782" s="41">
        <v>930</v>
      </c>
    </row>
    <row r="783" spans="1:8" x14ac:dyDescent="0.25">
      <c r="A783" s="40" t="s">
        <v>35</v>
      </c>
      <c r="B783" s="34">
        <v>611419</v>
      </c>
      <c r="C783" s="35">
        <v>41151</v>
      </c>
      <c r="D783" s="41">
        <v>478</v>
      </c>
      <c r="E783" s="41">
        <v>2</v>
      </c>
      <c r="F783" s="41">
        <v>256</v>
      </c>
      <c r="G783" s="41">
        <v>0</v>
      </c>
      <c r="H783" s="41">
        <v>0</v>
      </c>
    </row>
    <row r="784" spans="1:8" x14ac:dyDescent="0.25">
      <c r="A784" s="40" t="s">
        <v>35</v>
      </c>
      <c r="B784" s="34">
        <v>611419</v>
      </c>
      <c r="C784" s="35">
        <v>41151</v>
      </c>
      <c r="D784" s="41">
        <v>480</v>
      </c>
      <c r="E784" s="41">
        <v>9</v>
      </c>
      <c r="F784" s="41">
        <v>1603</v>
      </c>
      <c r="G784" s="41">
        <v>4</v>
      </c>
      <c r="H784" s="41">
        <v>1027</v>
      </c>
    </row>
    <row r="785" spans="1:8" x14ac:dyDescent="0.25">
      <c r="A785" s="40" t="s">
        <v>35</v>
      </c>
      <c r="B785" s="34">
        <v>611419</v>
      </c>
      <c r="C785" s="35">
        <v>41151</v>
      </c>
      <c r="D785" s="41">
        <v>481</v>
      </c>
      <c r="E785" s="41">
        <v>0</v>
      </c>
      <c r="F785" s="41">
        <v>0</v>
      </c>
      <c r="G785" s="41">
        <v>0</v>
      </c>
      <c r="H785" s="41">
        <v>0</v>
      </c>
    </row>
    <row r="786" spans="1:8" x14ac:dyDescent="0.25">
      <c r="A786" s="40" t="s">
        <v>35</v>
      </c>
      <c r="B786" s="34">
        <v>611419</v>
      </c>
      <c r="C786" s="35">
        <v>41151</v>
      </c>
      <c r="D786" s="41">
        <v>482</v>
      </c>
      <c r="E786" s="41">
        <v>0</v>
      </c>
      <c r="F786" s="41">
        <v>0</v>
      </c>
      <c r="G786" s="41">
        <v>0</v>
      </c>
      <c r="H786" s="41">
        <v>0</v>
      </c>
    </row>
    <row r="787" spans="1:8" x14ac:dyDescent="0.25">
      <c r="A787" s="40" t="s">
        <v>35</v>
      </c>
      <c r="B787" s="34">
        <v>611419</v>
      </c>
      <c r="C787" s="35">
        <v>41151</v>
      </c>
      <c r="D787" s="41">
        <v>790</v>
      </c>
      <c r="E787" s="41">
        <v>0</v>
      </c>
      <c r="F787" s="41">
        <v>0</v>
      </c>
      <c r="G787" s="41">
        <v>0</v>
      </c>
      <c r="H787" s="41">
        <v>0</v>
      </c>
    </row>
    <row r="788" spans="1:8" x14ac:dyDescent="0.25">
      <c r="A788" s="40" t="s">
        <v>35</v>
      </c>
      <c r="B788" s="34">
        <v>611419</v>
      </c>
      <c r="C788" s="35">
        <v>41152</v>
      </c>
      <c r="D788" s="41">
        <v>85</v>
      </c>
      <c r="E788" s="41">
        <v>0</v>
      </c>
      <c r="F788" s="41">
        <v>0</v>
      </c>
      <c r="G788" s="41">
        <v>0</v>
      </c>
      <c r="H788" s="41">
        <v>0</v>
      </c>
    </row>
    <row r="789" spans="1:8" x14ac:dyDescent="0.25">
      <c r="A789" s="40" t="s">
        <v>35</v>
      </c>
      <c r="B789" s="34">
        <v>611419</v>
      </c>
      <c r="C789" s="35">
        <v>41152</v>
      </c>
      <c r="D789" s="41">
        <v>465</v>
      </c>
      <c r="E789" s="41">
        <v>0</v>
      </c>
      <c r="F789" s="41">
        <v>0</v>
      </c>
      <c r="G789" s="41">
        <v>0</v>
      </c>
      <c r="H789" s="41">
        <v>0</v>
      </c>
    </row>
    <row r="790" spans="1:8" x14ac:dyDescent="0.25">
      <c r="A790" s="40" t="s">
        <v>35</v>
      </c>
      <c r="B790" s="34">
        <v>611419</v>
      </c>
      <c r="C790" s="35">
        <v>41152</v>
      </c>
      <c r="D790" s="41">
        <v>466</v>
      </c>
      <c r="E790" s="41">
        <v>1</v>
      </c>
      <c r="F790" s="41">
        <v>308</v>
      </c>
      <c r="G790" s="41">
        <v>0</v>
      </c>
      <c r="H790" s="41">
        <v>0</v>
      </c>
    </row>
    <row r="791" spans="1:8" x14ac:dyDescent="0.25">
      <c r="A791" s="40" t="s">
        <v>35</v>
      </c>
      <c r="B791" s="34">
        <v>611419</v>
      </c>
      <c r="C791" s="35">
        <v>41152</v>
      </c>
      <c r="D791" s="41">
        <v>467</v>
      </c>
      <c r="E791" s="41">
        <v>0</v>
      </c>
      <c r="F791" s="41">
        <v>0</v>
      </c>
      <c r="G791" s="41">
        <v>0</v>
      </c>
      <c r="H791" s="41">
        <v>0</v>
      </c>
    </row>
    <row r="792" spans="1:8" x14ac:dyDescent="0.25">
      <c r="A792" s="40" t="s">
        <v>35</v>
      </c>
      <c r="B792" s="34">
        <v>611419</v>
      </c>
      <c r="C792" s="35">
        <v>41152</v>
      </c>
      <c r="D792" s="41">
        <v>477</v>
      </c>
      <c r="E792" s="41">
        <v>11</v>
      </c>
      <c r="F792" s="41">
        <v>3000</v>
      </c>
      <c r="G792" s="41">
        <v>0</v>
      </c>
      <c r="H792" s="41">
        <v>0</v>
      </c>
    </row>
    <row r="793" spans="1:8" x14ac:dyDescent="0.25">
      <c r="A793" s="40" t="s">
        <v>35</v>
      </c>
      <c r="B793" s="34">
        <v>611419</v>
      </c>
      <c r="C793" s="35">
        <v>41152</v>
      </c>
      <c r="D793" s="41">
        <v>478</v>
      </c>
      <c r="E793" s="41">
        <v>0</v>
      </c>
      <c r="F793" s="41">
        <v>0</v>
      </c>
      <c r="G793" s="41">
        <v>0</v>
      </c>
      <c r="H793" s="41">
        <v>0</v>
      </c>
    </row>
    <row r="794" spans="1:8" x14ac:dyDescent="0.25">
      <c r="A794" s="40" t="s">
        <v>35</v>
      </c>
      <c r="B794" s="34">
        <v>611419</v>
      </c>
      <c r="C794" s="35">
        <v>41152</v>
      </c>
      <c r="D794" s="41">
        <v>480</v>
      </c>
      <c r="E794" s="41">
        <v>7</v>
      </c>
      <c r="F794" s="41">
        <v>1001</v>
      </c>
      <c r="G794" s="41">
        <v>2</v>
      </c>
      <c r="H794" s="41">
        <v>0</v>
      </c>
    </row>
    <row r="795" spans="1:8" x14ac:dyDescent="0.25">
      <c r="A795" s="40" t="s">
        <v>35</v>
      </c>
      <c r="B795" s="34">
        <v>611419</v>
      </c>
      <c r="C795" s="35">
        <v>41152</v>
      </c>
      <c r="D795" s="41">
        <v>481</v>
      </c>
      <c r="E795" s="41">
        <v>0</v>
      </c>
      <c r="F795" s="41">
        <v>0</v>
      </c>
      <c r="G795" s="41">
        <v>0</v>
      </c>
      <c r="H795" s="41">
        <v>0</v>
      </c>
    </row>
    <row r="796" spans="1:8" x14ac:dyDescent="0.25">
      <c r="A796" s="40" t="s">
        <v>35</v>
      </c>
      <c r="B796" s="34">
        <v>611419</v>
      </c>
      <c r="C796" s="35">
        <v>41152</v>
      </c>
      <c r="D796" s="41">
        <v>482</v>
      </c>
      <c r="E796" s="41">
        <v>18</v>
      </c>
      <c r="F796" s="41">
        <v>3212</v>
      </c>
      <c r="G796" s="41">
        <v>11</v>
      </c>
      <c r="H796" s="41">
        <v>0</v>
      </c>
    </row>
    <row r="797" spans="1:8" x14ac:dyDescent="0.25">
      <c r="A797" s="40" t="s">
        <v>35</v>
      </c>
      <c r="B797" s="34">
        <v>611419</v>
      </c>
      <c r="C797" s="35">
        <v>41152</v>
      </c>
      <c r="D797" s="41">
        <v>790</v>
      </c>
      <c r="E797" s="41">
        <v>0</v>
      </c>
      <c r="F797" s="41">
        <v>0</v>
      </c>
      <c r="G797" s="41">
        <v>0</v>
      </c>
      <c r="H797" s="41">
        <v>0</v>
      </c>
    </row>
    <row r="798" spans="1:8" x14ac:dyDescent="0.25">
      <c r="A798" s="36" t="s">
        <v>39</v>
      </c>
      <c r="B798" s="34">
        <v>611704</v>
      </c>
      <c r="C798" s="35">
        <v>41122</v>
      </c>
      <c r="D798" s="41">
        <v>85</v>
      </c>
      <c r="E798" s="41">
        <v>0</v>
      </c>
      <c r="F798" s="41">
        <v>0</v>
      </c>
      <c r="G798" s="41">
        <v>0</v>
      </c>
      <c r="H798" s="41">
        <v>0</v>
      </c>
    </row>
    <row r="799" spans="1:8" x14ac:dyDescent="0.25">
      <c r="A799" s="36" t="s">
        <v>39</v>
      </c>
      <c r="B799" s="34">
        <v>611704</v>
      </c>
      <c r="C799" s="35">
        <v>41122</v>
      </c>
      <c r="D799" s="41">
        <v>477</v>
      </c>
      <c r="E799" s="41">
        <v>37</v>
      </c>
      <c r="F799" s="41">
        <v>12474</v>
      </c>
      <c r="G799" s="41">
        <v>3</v>
      </c>
      <c r="H799" s="41">
        <v>0</v>
      </c>
    </row>
    <row r="800" spans="1:8" x14ac:dyDescent="0.25">
      <c r="A800" s="36" t="s">
        <v>39</v>
      </c>
      <c r="B800" s="34">
        <v>611704</v>
      </c>
      <c r="C800" s="35">
        <v>41122</v>
      </c>
      <c r="D800" s="41">
        <v>478</v>
      </c>
      <c r="E800" s="41">
        <v>5</v>
      </c>
      <c r="F800" s="41">
        <v>1202</v>
      </c>
      <c r="G800" s="41">
        <v>0</v>
      </c>
      <c r="H800" s="41">
        <v>0</v>
      </c>
    </row>
    <row r="801" spans="1:8" x14ac:dyDescent="0.25">
      <c r="A801" s="36" t="s">
        <v>39</v>
      </c>
      <c r="B801" s="34">
        <v>611704</v>
      </c>
      <c r="C801" s="35">
        <v>41122</v>
      </c>
      <c r="D801" s="41">
        <v>481</v>
      </c>
      <c r="E801" s="41">
        <v>0</v>
      </c>
      <c r="F801" s="41">
        <v>0</v>
      </c>
      <c r="G801" s="41">
        <v>0</v>
      </c>
      <c r="H801" s="41">
        <v>0</v>
      </c>
    </row>
    <row r="802" spans="1:8" x14ac:dyDescent="0.25">
      <c r="A802" s="36" t="s">
        <v>39</v>
      </c>
      <c r="B802" s="34">
        <v>611704</v>
      </c>
      <c r="C802" s="35">
        <v>41122</v>
      </c>
      <c r="D802" s="41">
        <v>790</v>
      </c>
      <c r="E802" s="41">
        <v>0</v>
      </c>
      <c r="F802" s="41">
        <v>0</v>
      </c>
      <c r="G802" s="41">
        <v>0</v>
      </c>
      <c r="H802" s="41">
        <v>0</v>
      </c>
    </row>
    <row r="803" spans="1:8" x14ac:dyDescent="0.25">
      <c r="A803" s="36" t="s">
        <v>39</v>
      </c>
      <c r="B803" s="34">
        <v>611704</v>
      </c>
      <c r="C803" s="35">
        <v>41123</v>
      </c>
      <c r="D803" s="41">
        <v>85</v>
      </c>
      <c r="E803" s="41">
        <v>0</v>
      </c>
      <c r="F803" s="41">
        <v>0</v>
      </c>
      <c r="G803" s="41">
        <v>0</v>
      </c>
      <c r="H803" s="41">
        <v>0</v>
      </c>
    </row>
    <row r="804" spans="1:8" x14ac:dyDescent="0.25">
      <c r="A804" s="36" t="s">
        <v>39</v>
      </c>
      <c r="B804" s="34">
        <v>611704</v>
      </c>
      <c r="C804" s="35">
        <v>41123</v>
      </c>
      <c r="D804" s="41">
        <v>477</v>
      </c>
      <c r="E804" s="41">
        <v>29</v>
      </c>
      <c r="F804" s="41">
        <v>9423</v>
      </c>
      <c r="G804" s="41">
        <v>6</v>
      </c>
      <c r="H804" s="41">
        <v>56</v>
      </c>
    </row>
    <row r="805" spans="1:8" x14ac:dyDescent="0.25">
      <c r="A805" s="36" t="s">
        <v>39</v>
      </c>
      <c r="B805" s="34">
        <v>611704</v>
      </c>
      <c r="C805" s="35">
        <v>41123</v>
      </c>
      <c r="D805" s="41">
        <v>478</v>
      </c>
      <c r="E805" s="41">
        <v>19</v>
      </c>
      <c r="F805" s="41">
        <v>5329</v>
      </c>
      <c r="G805" s="41">
        <v>0</v>
      </c>
      <c r="H805" s="41">
        <v>0</v>
      </c>
    </row>
    <row r="806" spans="1:8" x14ac:dyDescent="0.25">
      <c r="A806" s="36" t="s">
        <v>39</v>
      </c>
      <c r="B806" s="34">
        <v>611704</v>
      </c>
      <c r="C806" s="35">
        <v>41123</v>
      </c>
      <c r="D806" s="41">
        <v>481</v>
      </c>
      <c r="E806" s="41">
        <v>0</v>
      </c>
      <c r="F806" s="41">
        <v>0</v>
      </c>
      <c r="G806" s="41">
        <v>0</v>
      </c>
      <c r="H806" s="41">
        <v>0</v>
      </c>
    </row>
    <row r="807" spans="1:8" x14ac:dyDescent="0.25">
      <c r="A807" s="36" t="s">
        <v>39</v>
      </c>
      <c r="B807" s="34">
        <v>611704</v>
      </c>
      <c r="C807" s="35">
        <v>41123</v>
      </c>
      <c r="D807" s="41">
        <v>790</v>
      </c>
      <c r="E807" s="41">
        <v>0</v>
      </c>
      <c r="F807" s="41">
        <v>0</v>
      </c>
      <c r="G807" s="41">
        <v>0</v>
      </c>
      <c r="H807" s="41">
        <v>0</v>
      </c>
    </row>
    <row r="808" spans="1:8" x14ac:dyDescent="0.25">
      <c r="A808" s="36" t="s">
        <v>39</v>
      </c>
      <c r="B808" s="34">
        <v>611704</v>
      </c>
      <c r="C808" s="35">
        <v>41124</v>
      </c>
      <c r="D808" s="41">
        <v>85</v>
      </c>
      <c r="E808" s="41">
        <v>0</v>
      </c>
      <c r="F808" s="41">
        <v>0</v>
      </c>
      <c r="G808" s="41">
        <v>0</v>
      </c>
      <c r="H808" s="41">
        <v>0</v>
      </c>
    </row>
    <row r="809" spans="1:8" x14ac:dyDescent="0.25">
      <c r="A809" s="36" t="s">
        <v>39</v>
      </c>
      <c r="B809" s="34">
        <v>611704</v>
      </c>
      <c r="C809" s="35">
        <v>41124</v>
      </c>
      <c r="D809" s="41">
        <v>477</v>
      </c>
      <c r="E809" s="41">
        <v>31</v>
      </c>
      <c r="F809" s="41">
        <v>10813</v>
      </c>
      <c r="G809" s="41">
        <v>0</v>
      </c>
      <c r="H809" s="41">
        <v>20</v>
      </c>
    </row>
    <row r="810" spans="1:8" x14ac:dyDescent="0.25">
      <c r="A810" s="36" t="s">
        <v>39</v>
      </c>
      <c r="B810" s="34">
        <v>611704</v>
      </c>
      <c r="C810" s="35">
        <v>41124</v>
      </c>
      <c r="D810" s="41">
        <v>478</v>
      </c>
      <c r="E810" s="41">
        <v>4</v>
      </c>
      <c r="F810" s="41">
        <v>1123</v>
      </c>
      <c r="G810" s="41">
        <v>3</v>
      </c>
      <c r="H810" s="41">
        <v>0</v>
      </c>
    </row>
    <row r="811" spans="1:8" x14ac:dyDescent="0.25">
      <c r="A811" s="36" t="s">
        <v>39</v>
      </c>
      <c r="B811" s="34">
        <v>611704</v>
      </c>
      <c r="C811" s="35">
        <v>41124</v>
      </c>
      <c r="D811" s="41">
        <v>481</v>
      </c>
      <c r="E811" s="41">
        <v>0</v>
      </c>
      <c r="F811" s="41">
        <v>0</v>
      </c>
      <c r="G811" s="41">
        <v>0</v>
      </c>
      <c r="H811" s="41">
        <v>0</v>
      </c>
    </row>
    <row r="812" spans="1:8" x14ac:dyDescent="0.25">
      <c r="A812" s="36" t="s">
        <v>39</v>
      </c>
      <c r="B812" s="34">
        <v>611704</v>
      </c>
      <c r="C812" s="35">
        <v>41124</v>
      </c>
      <c r="D812" s="41">
        <v>790</v>
      </c>
      <c r="E812" s="41">
        <v>0</v>
      </c>
      <c r="F812" s="41">
        <v>0</v>
      </c>
      <c r="G812" s="41">
        <v>0</v>
      </c>
      <c r="H812" s="41">
        <v>0</v>
      </c>
    </row>
    <row r="813" spans="1:8" x14ac:dyDescent="0.25">
      <c r="A813" s="36" t="s">
        <v>39</v>
      </c>
      <c r="B813" s="34">
        <v>611704</v>
      </c>
      <c r="C813" s="35">
        <v>41125</v>
      </c>
      <c r="D813" s="41">
        <v>85</v>
      </c>
      <c r="E813" s="41">
        <v>0</v>
      </c>
      <c r="F813" s="41">
        <v>0</v>
      </c>
      <c r="G813" s="41">
        <v>0</v>
      </c>
      <c r="H813" s="41">
        <v>0</v>
      </c>
    </row>
    <row r="814" spans="1:8" x14ac:dyDescent="0.25">
      <c r="A814" s="36" t="s">
        <v>39</v>
      </c>
      <c r="B814" s="34">
        <v>611704</v>
      </c>
      <c r="C814" s="35">
        <v>41125</v>
      </c>
      <c r="D814" s="41">
        <v>477</v>
      </c>
      <c r="E814" s="41">
        <v>47</v>
      </c>
      <c r="F814" s="41">
        <v>15460</v>
      </c>
      <c r="G814" s="41">
        <v>0</v>
      </c>
      <c r="H814" s="41">
        <v>0</v>
      </c>
    </row>
    <row r="815" spans="1:8" x14ac:dyDescent="0.25">
      <c r="A815" s="36" t="s">
        <v>39</v>
      </c>
      <c r="B815" s="34">
        <v>611704</v>
      </c>
      <c r="C815" s="35">
        <v>41125</v>
      </c>
      <c r="D815" s="41">
        <v>478</v>
      </c>
      <c r="E815" s="41">
        <v>10</v>
      </c>
      <c r="F815" s="41">
        <v>2578</v>
      </c>
      <c r="G815" s="41">
        <v>0</v>
      </c>
      <c r="H815" s="41">
        <v>48</v>
      </c>
    </row>
    <row r="816" spans="1:8" x14ac:dyDescent="0.25">
      <c r="A816" s="36" t="s">
        <v>39</v>
      </c>
      <c r="B816" s="34">
        <v>611704</v>
      </c>
      <c r="C816" s="35">
        <v>41125</v>
      </c>
      <c r="D816" s="41">
        <v>481</v>
      </c>
      <c r="E816" s="41">
        <v>0</v>
      </c>
      <c r="F816" s="41">
        <v>0</v>
      </c>
      <c r="G816" s="41">
        <v>0</v>
      </c>
      <c r="H816" s="41">
        <v>0</v>
      </c>
    </row>
    <row r="817" spans="1:8" x14ac:dyDescent="0.25">
      <c r="A817" s="36" t="s">
        <v>39</v>
      </c>
      <c r="B817" s="34">
        <v>611704</v>
      </c>
      <c r="C817" s="35">
        <v>41125</v>
      </c>
      <c r="D817" s="41">
        <v>790</v>
      </c>
      <c r="E817" s="41">
        <v>0</v>
      </c>
      <c r="F817" s="41">
        <v>0</v>
      </c>
      <c r="G817" s="41">
        <v>0</v>
      </c>
      <c r="H817" s="41">
        <v>0</v>
      </c>
    </row>
    <row r="818" spans="1:8" x14ac:dyDescent="0.25">
      <c r="A818" s="36" t="s">
        <v>39</v>
      </c>
      <c r="B818" s="34">
        <v>611704</v>
      </c>
      <c r="C818" s="35">
        <v>41127</v>
      </c>
      <c r="D818" s="41">
        <v>85</v>
      </c>
      <c r="E818" s="41">
        <v>0</v>
      </c>
      <c r="F818" s="41">
        <v>0</v>
      </c>
      <c r="G818" s="41">
        <v>0</v>
      </c>
      <c r="H818" s="41">
        <v>0</v>
      </c>
    </row>
    <row r="819" spans="1:8" x14ac:dyDescent="0.25">
      <c r="A819" s="36" t="s">
        <v>39</v>
      </c>
      <c r="B819" s="34">
        <v>611704</v>
      </c>
      <c r="C819" s="35">
        <v>41127</v>
      </c>
      <c r="D819" s="41">
        <v>477</v>
      </c>
      <c r="E819" s="41">
        <v>51</v>
      </c>
      <c r="F819" s="41">
        <v>14552</v>
      </c>
      <c r="G819" s="41">
        <v>172</v>
      </c>
      <c r="H819" s="41">
        <v>5</v>
      </c>
    </row>
    <row r="820" spans="1:8" x14ac:dyDescent="0.25">
      <c r="A820" s="36" t="s">
        <v>39</v>
      </c>
      <c r="B820" s="34">
        <v>611704</v>
      </c>
      <c r="C820" s="35">
        <v>41127</v>
      </c>
      <c r="D820" s="41">
        <v>478</v>
      </c>
      <c r="E820" s="41">
        <v>9</v>
      </c>
      <c r="F820" s="41">
        <v>2494</v>
      </c>
      <c r="G820" s="41">
        <v>76</v>
      </c>
      <c r="H820" s="41">
        <v>0</v>
      </c>
    </row>
    <row r="821" spans="1:8" x14ac:dyDescent="0.25">
      <c r="A821" s="36" t="s">
        <v>39</v>
      </c>
      <c r="B821" s="34">
        <v>611704</v>
      </c>
      <c r="C821" s="35">
        <v>41127</v>
      </c>
      <c r="D821" s="41">
        <v>481</v>
      </c>
      <c r="E821" s="41">
        <v>0</v>
      </c>
      <c r="F821" s="41">
        <v>0</v>
      </c>
      <c r="G821" s="41">
        <v>0</v>
      </c>
      <c r="H821" s="41">
        <v>0</v>
      </c>
    </row>
    <row r="822" spans="1:8" x14ac:dyDescent="0.25">
      <c r="A822" s="36" t="s">
        <v>39</v>
      </c>
      <c r="B822" s="34">
        <v>611704</v>
      </c>
      <c r="C822" s="35">
        <v>41127</v>
      </c>
      <c r="D822" s="41">
        <v>790</v>
      </c>
      <c r="E822" s="41">
        <v>0</v>
      </c>
      <c r="F822" s="41">
        <v>0</v>
      </c>
      <c r="G822" s="41">
        <v>0</v>
      </c>
      <c r="H822" s="41">
        <v>0</v>
      </c>
    </row>
    <row r="823" spans="1:8" x14ac:dyDescent="0.25">
      <c r="A823" s="36" t="s">
        <v>39</v>
      </c>
      <c r="B823" s="34">
        <v>611704</v>
      </c>
      <c r="C823" s="35">
        <v>41128</v>
      </c>
      <c r="D823" s="41">
        <v>85</v>
      </c>
      <c r="E823" s="41">
        <v>0</v>
      </c>
      <c r="F823" s="41">
        <v>0</v>
      </c>
      <c r="G823" s="41">
        <v>0</v>
      </c>
      <c r="H823" s="41">
        <v>0</v>
      </c>
    </row>
    <row r="824" spans="1:8" x14ac:dyDescent="0.25">
      <c r="A824" s="36" t="s">
        <v>39</v>
      </c>
      <c r="B824" s="34">
        <v>611704</v>
      </c>
      <c r="C824" s="35">
        <v>41128</v>
      </c>
      <c r="D824" s="41">
        <v>477</v>
      </c>
      <c r="E824" s="41">
        <v>58</v>
      </c>
      <c r="F824" s="41">
        <v>15337</v>
      </c>
      <c r="G824" s="41">
        <v>20</v>
      </c>
      <c r="H824" s="41">
        <v>14</v>
      </c>
    </row>
    <row r="825" spans="1:8" x14ac:dyDescent="0.25">
      <c r="A825" s="36" t="s">
        <v>39</v>
      </c>
      <c r="B825" s="34">
        <v>611704</v>
      </c>
      <c r="C825" s="35">
        <v>41128</v>
      </c>
      <c r="D825" s="41">
        <v>478</v>
      </c>
      <c r="E825" s="41">
        <v>6</v>
      </c>
      <c r="F825" s="41">
        <v>1442</v>
      </c>
      <c r="G825" s="41">
        <v>0</v>
      </c>
      <c r="H825" s="41">
        <v>0</v>
      </c>
    </row>
    <row r="826" spans="1:8" x14ac:dyDescent="0.25">
      <c r="A826" s="36" t="s">
        <v>39</v>
      </c>
      <c r="B826" s="34">
        <v>611704</v>
      </c>
      <c r="C826" s="35">
        <v>41128</v>
      </c>
      <c r="D826" s="41">
        <v>481</v>
      </c>
      <c r="E826" s="41">
        <v>0</v>
      </c>
      <c r="F826" s="41">
        <v>0</v>
      </c>
      <c r="G826" s="41">
        <v>0</v>
      </c>
      <c r="H826" s="41">
        <v>0</v>
      </c>
    </row>
    <row r="827" spans="1:8" x14ac:dyDescent="0.25">
      <c r="A827" s="36" t="s">
        <v>39</v>
      </c>
      <c r="B827" s="34">
        <v>611704</v>
      </c>
      <c r="C827" s="35">
        <v>41128</v>
      </c>
      <c r="D827" s="41">
        <v>790</v>
      </c>
      <c r="E827" s="41">
        <v>0</v>
      </c>
      <c r="F827" s="41">
        <v>0</v>
      </c>
      <c r="G827" s="41">
        <v>0</v>
      </c>
      <c r="H827" s="41">
        <v>0</v>
      </c>
    </row>
    <row r="828" spans="1:8" x14ac:dyDescent="0.25">
      <c r="A828" s="36" t="s">
        <v>39</v>
      </c>
      <c r="B828" s="34">
        <v>611704</v>
      </c>
      <c r="C828" s="35">
        <v>41129</v>
      </c>
      <c r="D828" s="41">
        <v>85</v>
      </c>
      <c r="E828" s="41">
        <v>0</v>
      </c>
      <c r="F828" s="41">
        <v>0</v>
      </c>
      <c r="G828" s="41">
        <v>0</v>
      </c>
      <c r="H828" s="41">
        <v>0</v>
      </c>
    </row>
    <row r="829" spans="1:8" x14ac:dyDescent="0.25">
      <c r="A829" s="36" t="s">
        <v>39</v>
      </c>
      <c r="B829" s="34">
        <v>611704</v>
      </c>
      <c r="C829" s="35">
        <v>41129</v>
      </c>
      <c r="D829" s="41">
        <v>477</v>
      </c>
      <c r="E829" s="41">
        <v>51</v>
      </c>
      <c r="F829" s="41">
        <v>16196</v>
      </c>
      <c r="G829" s="41">
        <v>25</v>
      </c>
      <c r="H829" s="41">
        <v>20</v>
      </c>
    </row>
    <row r="830" spans="1:8" x14ac:dyDescent="0.25">
      <c r="A830" s="36" t="s">
        <v>39</v>
      </c>
      <c r="B830" s="34">
        <v>611704</v>
      </c>
      <c r="C830" s="35">
        <v>41129</v>
      </c>
      <c r="D830" s="41">
        <v>478</v>
      </c>
      <c r="E830" s="41">
        <v>1</v>
      </c>
      <c r="F830" s="41">
        <v>435</v>
      </c>
      <c r="G830" s="41">
        <v>0</v>
      </c>
      <c r="H830" s="41">
        <v>0</v>
      </c>
    </row>
    <row r="831" spans="1:8" x14ac:dyDescent="0.25">
      <c r="A831" s="36" t="s">
        <v>39</v>
      </c>
      <c r="B831" s="34">
        <v>611704</v>
      </c>
      <c r="C831" s="35">
        <v>41129</v>
      </c>
      <c r="D831" s="41">
        <v>481</v>
      </c>
      <c r="E831" s="41">
        <v>0</v>
      </c>
      <c r="F831" s="41">
        <v>0</v>
      </c>
      <c r="G831" s="41">
        <v>0</v>
      </c>
      <c r="H831" s="41">
        <v>0</v>
      </c>
    </row>
    <row r="832" spans="1:8" x14ac:dyDescent="0.25">
      <c r="A832" s="36" t="s">
        <v>39</v>
      </c>
      <c r="B832" s="34">
        <v>611704</v>
      </c>
      <c r="C832" s="35">
        <v>41129</v>
      </c>
      <c r="D832" s="41">
        <v>790</v>
      </c>
      <c r="E832" s="41">
        <v>0</v>
      </c>
      <c r="F832" s="41">
        <v>0</v>
      </c>
      <c r="G832" s="41">
        <v>0</v>
      </c>
      <c r="H832" s="41">
        <v>0</v>
      </c>
    </row>
    <row r="833" spans="1:8" x14ac:dyDescent="0.25">
      <c r="A833" s="36" t="s">
        <v>39</v>
      </c>
      <c r="B833" s="34">
        <v>611704</v>
      </c>
      <c r="C833" s="35">
        <v>41130</v>
      </c>
      <c r="D833" s="41">
        <v>85</v>
      </c>
      <c r="E833" s="41">
        <v>0</v>
      </c>
      <c r="F833" s="41">
        <v>0</v>
      </c>
      <c r="G833" s="41">
        <v>0</v>
      </c>
      <c r="H833" s="41">
        <v>0</v>
      </c>
    </row>
    <row r="834" spans="1:8" x14ac:dyDescent="0.25">
      <c r="A834" s="36" t="s">
        <v>39</v>
      </c>
      <c r="B834" s="34">
        <v>611704</v>
      </c>
      <c r="C834" s="35">
        <v>41130</v>
      </c>
      <c r="D834" s="41">
        <v>477</v>
      </c>
      <c r="E834" s="41">
        <v>52</v>
      </c>
      <c r="F834" s="41">
        <v>14626</v>
      </c>
      <c r="G834" s="41">
        <v>3</v>
      </c>
      <c r="H834" s="41">
        <v>51</v>
      </c>
    </row>
    <row r="835" spans="1:8" x14ac:dyDescent="0.25">
      <c r="A835" s="36" t="s">
        <v>39</v>
      </c>
      <c r="B835" s="34">
        <v>611704</v>
      </c>
      <c r="C835" s="35">
        <v>41130</v>
      </c>
      <c r="D835" s="41">
        <v>478</v>
      </c>
      <c r="E835" s="41">
        <v>7</v>
      </c>
      <c r="F835" s="41">
        <v>1561</v>
      </c>
      <c r="G835" s="41">
        <v>0</v>
      </c>
      <c r="H835" s="41">
        <v>0</v>
      </c>
    </row>
    <row r="836" spans="1:8" x14ac:dyDescent="0.25">
      <c r="A836" s="36" t="s">
        <v>39</v>
      </c>
      <c r="B836" s="34">
        <v>611704</v>
      </c>
      <c r="C836" s="35">
        <v>41130</v>
      </c>
      <c r="D836" s="41">
        <v>481</v>
      </c>
      <c r="E836" s="41">
        <v>0</v>
      </c>
      <c r="F836" s="41">
        <v>0</v>
      </c>
      <c r="G836" s="41">
        <v>0</v>
      </c>
      <c r="H836" s="41">
        <v>0</v>
      </c>
    </row>
    <row r="837" spans="1:8" x14ac:dyDescent="0.25">
      <c r="A837" s="36" t="s">
        <v>39</v>
      </c>
      <c r="B837" s="34">
        <v>611704</v>
      </c>
      <c r="C837" s="35">
        <v>41130</v>
      </c>
      <c r="D837" s="41">
        <v>790</v>
      </c>
      <c r="E837" s="41">
        <v>0</v>
      </c>
      <c r="F837" s="41">
        <v>0</v>
      </c>
      <c r="G837" s="41">
        <v>0</v>
      </c>
      <c r="H837" s="41">
        <v>0</v>
      </c>
    </row>
    <row r="838" spans="1:8" x14ac:dyDescent="0.25">
      <c r="A838" s="36" t="s">
        <v>39</v>
      </c>
      <c r="B838" s="34">
        <v>611704</v>
      </c>
      <c r="C838" s="35">
        <v>41131</v>
      </c>
      <c r="D838" s="41">
        <v>85</v>
      </c>
      <c r="E838" s="41">
        <v>0</v>
      </c>
      <c r="F838" s="41">
        <v>0</v>
      </c>
      <c r="G838" s="41">
        <v>0</v>
      </c>
      <c r="H838" s="41">
        <v>0</v>
      </c>
    </row>
    <row r="839" spans="1:8" x14ac:dyDescent="0.25">
      <c r="A839" s="36" t="s">
        <v>39</v>
      </c>
      <c r="B839" s="34">
        <v>611704</v>
      </c>
      <c r="C839" s="35">
        <v>41131</v>
      </c>
      <c r="D839" s="41">
        <v>477</v>
      </c>
      <c r="E839" s="41">
        <v>41</v>
      </c>
      <c r="F839" s="41">
        <v>13878</v>
      </c>
      <c r="G839" s="41">
        <v>18</v>
      </c>
      <c r="H839" s="41">
        <v>0</v>
      </c>
    </row>
    <row r="840" spans="1:8" x14ac:dyDescent="0.25">
      <c r="A840" s="36" t="s">
        <v>39</v>
      </c>
      <c r="B840" s="34">
        <v>611704</v>
      </c>
      <c r="C840" s="35">
        <v>41131</v>
      </c>
      <c r="D840" s="41">
        <v>478</v>
      </c>
      <c r="E840" s="41">
        <v>1</v>
      </c>
      <c r="F840" s="41">
        <v>248</v>
      </c>
      <c r="G840" s="41">
        <v>0</v>
      </c>
      <c r="H840" s="41">
        <v>0</v>
      </c>
    </row>
    <row r="841" spans="1:8" x14ac:dyDescent="0.25">
      <c r="A841" s="36" t="s">
        <v>39</v>
      </c>
      <c r="B841" s="34">
        <v>611704</v>
      </c>
      <c r="C841" s="35">
        <v>41131</v>
      </c>
      <c r="D841" s="41">
        <v>481</v>
      </c>
      <c r="E841" s="41">
        <v>0</v>
      </c>
      <c r="F841" s="41">
        <v>0</v>
      </c>
      <c r="G841" s="41">
        <v>0</v>
      </c>
      <c r="H841" s="41">
        <v>0</v>
      </c>
    </row>
    <row r="842" spans="1:8" x14ac:dyDescent="0.25">
      <c r="A842" s="36" t="s">
        <v>39</v>
      </c>
      <c r="B842" s="34">
        <v>611704</v>
      </c>
      <c r="C842" s="35">
        <v>41131</v>
      </c>
      <c r="D842" s="41">
        <v>790</v>
      </c>
      <c r="E842" s="41">
        <v>0</v>
      </c>
      <c r="F842" s="41">
        <v>0</v>
      </c>
      <c r="G842" s="41">
        <v>0</v>
      </c>
      <c r="H842" s="41">
        <v>0</v>
      </c>
    </row>
    <row r="843" spans="1:8" x14ac:dyDescent="0.25">
      <c r="A843" s="36" t="s">
        <v>39</v>
      </c>
      <c r="B843" s="34">
        <v>611704</v>
      </c>
      <c r="C843" s="35">
        <v>41133</v>
      </c>
      <c r="D843" s="41">
        <v>85</v>
      </c>
      <c r="E843" s="41">
        <v>0</v>
      </c>
      <c r="F843" s="41">
        <v>0</v>
      </c>
      <c r="G843" s="41">
        <v>0</v>
      </c>
      <c r="H843" s="41">
        <v>0</v>
      </c>
    </row>
    <row r="844" spans="1:8" x14ac:dyDescent="0.25">
      <c r="A844" s="36" t="s">
        <v>39</v>
      </c>
      <c r="B844" s="34">
        <v>611704</v>
      </c>
      <c r="C844" s="35">
        <v>41133</v>
      </c>
      <c r="D844" s="41">
        <v>477</v>
      </c>
      <c r="E844" s="41">
        <v>19</v>
      </c>
      <c r="F844" s="41">
        <v>7052</v>
      </c>
      <c r="G844" s="41">
        <v>0</v>
      </c>
      <c r="H844" s="41">
        <v>0</v>
      </c>
    </row>
    <row r="845" spans="1:8" x14ac:dyDescent="0.25">
      <c r="A845" s="36" t="s">
        <v>39</v>
      </c>
      <c r="B845" s="34">
        <v>611704</v>
      </c>
      <c r="C845" s="35">
        <v>41133</v>
      </c>
      <c r="D845" s="41">
        <v>478</v>
      </c>
      <c r="E845" s="41">
        <v>10</v>
      </c>
      <c r="F845" s="41">
        <v>2365</v>
      </c>
      <c r="G845" s="41">
        <v>0</v>
      </c>
      <c r="H845" s="41">
        <v>10</v>
      </c>
    </row>
    <row r="846" spans="1:8" x14ac:dyDescent="0.25">
      <c r="A846" s="36" t="s">
        <v>39</v>
      </c>
      <c r="B846" s="34">
        <v>611704</v>
      </c>
      <c r="C846" s="35">
        <v>41133</v>
      </c>
      <c r="D846" s="41">
        <v>481</v>
      </c>
      <c r="E846" s="41">
        <v>0</v>
      </c>
      <c r="F846" s="41">
        <v>0</v>
      </c>
      <c r="G846" s="41">
        <v>0</v>
      </c>
      <c r="H846" s="41">
        <v>0</v>
      </c>
    </row>
    <row r="847" spans="1:8" x14ac:dyDescent="0.25">
      <c r="A847" s="36" t="s">
        <v>39</v>
      </c>
      <c r="B847" s="34">
        <v>611704</v>
      </c>
      <c r="C847" s="35">
        <v>41133</v>
      </c>
      <c r="D847" s="41">
        <v>790</v>
      </c>
      <c r="E847" s="41">
        <v>0</v>
      </c>
      <c r="F847" s="41">
        <v>0</v>
      </c>
      <c r="G847" s="41">
        <v>0</v>
      </c>
      <c r="H847" s="41">
        <v>0</v>
      </c>
    </row>
    <row r="848" spans="1:8" x14ac:dyDescent="0.25">
      <c r="A848" s="36" t="s">
        <v>39</v>
      </c>
      <c r="B848" s="34">
        <v>611704</v>
      </c>
      <c r="C848" s="35">
        <v>41134</v>
      </c>
      <c r="D848" s="41">
        <v>85</v>
      </c>
      <c r="E848" s="41">
        <v>0</v>
      </c>
      <c r="F848" s="41">
        <v>0</v>
      </c>
      <c r="G848" s="41">
        <v>0</v>
      </c>
      <c r="H848" s="41">
        <v>0</v>
      </c>
    </row>
    <row r="849" spans="1:8" x14ac:dyDescent="0.25">
      <c r="A849" s="36" t="s">
        <v>39</v>
      </c>
      <c r="B849" s="34">
        <v>611704</v>
      </c>
      <c r="C849" s="35">
        <v>41134</v>
      </c>
      <c r="D849" s="41">
        <v>477</v>
      </c>
      <c r="E849" s="41">
        <v>41</v>
      </c>
      <c r="F849" s="41">
        <v>14088</v>
      </c>
      <c r="G849" s="41">
        <v>3</v>
      </c>
      <c r="H849" s="41">
        <v>0</v>
      </c>
    </row>
    <row r="850" spans="1:8" x14ac:dyDescent="0.25">
      <c r="A850" s="36" t="s">
        <v>39</v>
      </c>
      <c r="B850" s="34">
        <v>611704</v>
      </c>
      <c r="C850" s="35">
        <v>41134</v>
      </c>
      <c r="D850" s="41">
        <v>478</v>
      </c>
      <c r="E850" s="41">
        <v>11</v>
      </c>
      <c r="F850" s="41">
        <v>2743</v>
      </c>
      <c r="G850" s="41">
        <v>0</v>
      </c>
      <c r="H850" s="41">
        <v>9</v>
      </c>
    </row>
    <row r="851" spans="1:8" x14ac:dyDescent="0.25">
      <c r="A851" s="36" t="s">
        <v>39</v>
      </c>
      <c r="B851" s="34">
        <v>611704</v>
      </c>
      <c r="C851" s="35">
        <v>41134</v>
      </c>
      <c r="D851" s="41">
        <v>481</v>
      </c>
      <c r="E851" s="41">
        <v>0</v>
      </c>
      <c r="F851" s="41">
        <v>0</v>
      </c>
      <c r="G851" s="41">
        <v>0</v>
      </c>
      <c r="H851" s="41">
        <v>0</v>
      </c>
    </row>
    <row r="852" spans="1:8" x14ac:dyDescent="0.25">
      <c r="A852" s="36" t="s">
        <v>39</v>
      </c>
      <c r="B852" s="34">
        <v>611704</v>
      </c>
      <c r="C852" s="35">
        <v>41134</v>
      </c>
      <c r="D852" s="41">
        <v>790</v>
      </c>
      <c r="E852" s="41">
        <v>0</v>
      </c>
      <c r="F852" s="41">
        <v>0</v>
      </c>
      <c r="G852" s="41">
        <v>0</v>
      </c>
      <c r="H852" s="41">
        <v>0</v>
      </c>
    </row>
    <row r="853" spans="1:8" x14ac:dyDescent="0.25">
      <c r="A853" s="36" t="s">
        <v>39</v>
      </c>
      <c r="B853" s="34">
        <v>611704</v>
      </c>
      <c r="C853" s="35">
        <v>41135</v>
      </c>
      <c r="D853" s="41">
        <v>85</v>
      </c>
      <c r="E853" s="41">
        <v>0</v>
      </c>
      <c r="F853" s="41">
        <v>0</v>
      </c>
      <c r="G853" s="41">
        <v>0</v>
      </c>
      <c r="H853" s="41">
        <v>0</v>
      </c>
    </row>
    <row r="854" spans="1:8" x14ac:dyDescent="0.25">
      <c r="A854" s="36" t="s">
        <v>39</v>
      </c>
      <c r="B854" s="34">
        <v>611704</v>
      </c>
      <c r="C854" s="35">
        <v>41135</v>
      </c>
      <c r="D854" s="41">
        <v>466</v>
      </c>
      <c r="E854" s="41">
        <v>1</v>
      </c>
      <c r="F854" s="41">
        <v>283</v>
      </c>
      <c r="G854" s="41">
        <v>0</v>
      </c>
      <c r="H854" s="41">
        <v>0</v>
      </c>
    </row>
    <row r="855" spans="1:8" x14ac:dyDescent="0.25">
      <c r="A855" s="36" t="s">
        <v>39</v>
      </c>
      <c r="B855" s="34">
        <v>611704</v>
      </c>
      <c r="C855" s="35">
        <v>41135</v>
      </c>
      <c r="D855" s="41">
        <v>467</v>
      </c>
      <c r="E855" s="41">
        <v>0</v>
      </c>
      <c r="F855" s="41">
        <v>0</v>
      </c>
      <c r="G855" s="41">
        <v>0</v>
      </c>
      <c r="H855" s="41">
        <v>0</v>
      </c>
    </row>
    <row r="856" spans="1:8" x14ac:dyDescent="0.25">
      <c r="A856" s="36" t="s">
        <v>39</v>
      </c>
      <c r="B856" s="34">
        <v>611704</v>
      </c>
      <c r="C856" s="35">
        <v>41135</v>
      </c>
      <c r="D856" s="41">
        <v>477</v>
      </c>
      <c r="E856" s="41">
        <v>46</v>
      </c>
      <c r="F856" s="41">
        <v>13693</v>
      </c>
      <c r="G856" s="41">
        <v>4</v>
      </c>
      <c r="H856" s="41">
        <v>9</v>
      </c>
    </row>
    <row r="857" spans="1:8" x14ac:dyDescent="0.25">
      <c r="A857" s="36" t="s">
        <v>39</v>
      </c>
      <c r="B857" s="34">
        <v>611704</v>
      </c>
      <c r="C857" s="35">
        <v>41135</v>
      </c>
      <c r="D857" s="41">
        <v>478</v>
      </c>
      <c r="E857" s="41">
        <v>5</v>
      </c>
      <c r="F857" s="41">
        <v>2955</v>
      </c>
      <c r="G857" s="41">
        <v>0</v>
      </c>
      <c r="H857" s="41">
        <v>0</v>
      </c>
    </row>
    <row r="858" spans="1:8" x14ac:dyDescent="0.25">
      <c r="A858" s="36" t="s">
        <v>39</v>
      </c>
      <c r="B858" s="34">
        <v>611704</v>
      </c>
      <c r="C858" s="35">
        <v>41135</v>
      </c>
      <c r="D858" s="41">
        <v>481</v>
      </c>
      <c r="E858" s="41">
        <v>0</v>
      </c>
      <c r="F858" s="41">
        <v>0</v>
      </c>
      <c r="G858" s="41">
        <v>0</v>
      </c>
      <c r="H858" s="41">
        <v>0</v>
      </c>
    </row>
    <row r="859" spans="1:8" x14ac:dyDescent="0.25">
      <c r="A859" s="36" t="s">
        <v>39</v>
      </c>
      <c r="B859" s="34">
        <v>611704</v>
      </c>
      <c r="C859" s="35">
        <v>41135</v>
      </c>
      <c r="D859" s="41">
        <v>790</v>
      </c>
      <c r="E859" s="41">
        <v>0</v>
      </c>
      <c r="F859" s="41">
        <v>0</v>
      </c>
      <c r="G859" s="41">
        <v>0</v>
      </c>
      <c r="H859" s="41">
        <v>0</v>
      </c>
    </row>
    <row r="860" spans="1:8" x14ac:dyDescent="0.25">
      <c r="A860" s="36" t="s">
        <v>39</v>
      </c>
      <c r="B860" s="34">
        <v>611704</v>
      </c>
      <c r="C860" s="35">
        <v>41136</v>
      </c>
      <c r="D860" s="41">
        <v>85</v>
      </c>
      <c r="E860" s="41">
        <v>0</v>
      </c>
      <c r="F860" s="41">
        <v>0</v>
      </c>
      <c r="G860" s="41">
        <v>0</v>
      </c>
      <c r="H860" s="41">
        <v>0</v>
      </c>
    </row>
    <row r="861" spans="1:8" x14ac:dyDescent="0.25">
      <c r="A861" s="36" t="s">
        <v>39</v>
      </c>
      <c r="B861" s="34">
        <v>611704</v>
      </c>
      <c r="C861" s="35">
        <v>41136</v>
      </c>
      <c r="D861" s="41">
        <v>466</v>
      </c>
      <c r="E861" s="41">
        <v>29</v>
      </c>
      <c r="F861" s="41">
        <v>7362</v>
      </c>
      <c r="G861" s="41">
        <v>0</v>
      </c>
      <c r="H861" s="41">
        <v>52</v>
      </c>
    </row>
    <row r="862" spans="1:8" x14ac:dyDescent="0.25">
      <c r="A862" s="36" t="s">
        <v>39</v>
      </c>
      <c r="B862" s="34">
        <v>611704</v>
      </c>
      <c r="C862" s="35">
        <v>41136</v>
      </c>
      <c r="D862" s="41">
        <v>467</v>
      </c>
      <c r="E862" s="41">
        <v>0</v>
      </c>
      <c r="F862" s="41">
        <v>0</v>
      </c>
      <c r="G862" s="41">
        <v>0</v>
      </c>
      <c r="H862" s="41">
        <v>0</v>
      </c>
    </row>
    <row r="863" spans="1:8" x14ac:dyDescent="0.25">
      <c r="A863" s="36" t="s">
        <v>39</v>
      </c>
      <c r="B863" s="34">
        <v>611704</v>
      </c>
      <c r="C863" s="35">
        <v>41136</v>
      </c>
      <c r="D863" s="41">
        <v>477</v>
      </c>
      <c r="E863" s="41">
        <v>30</v>
      </c>
      <c r="F863" s="41">
        <v>9904</v>
      </c>
      <c r="G863" s="41">
        <v>0</v>
      </c>
      <c r="H863" s="41">
        <v>0</v>
      </c>
    </row>
    <row r="864" spans="1:8" x14ac:dyDescent="0.25">
      <c r="A864" s="36" t="s">
        <v>39</v>
      </c>
      <c r="B864" s="34">
        <v>611704</v>
      </c>
      <c r="C864" s="35">
        <v>41136</v>
      </c>
      <c r="D864" s="41">
        <v>478</v>
      </c>
      <c r="E864" s="41">
        <v>9</v>
      </c>
      <c r="F864" s="41">
        <v>1598</v>
      </c>
      <c r="G864" s="41">
        <v>10</v>
      </c>
      <c r="H864" s="41">
        <v>0</v>
      </c>
    </row>
    <row r="865" spans="1:8" x14ac:dyDescent="0.25">
      <c r="A865" s="36" t="s">
        <v>39</v>
      </c>
      <c r="B865" s="34">
        <v>611704</v>
      </c>
      <c r="C865" s="35">
        <v>41136</v>
      </c>
      <c r="D865" s="41">
        <v>481</v>
      </c>
      <c r="E865" s="41">
        <v>0</v>
      </c>
      <c r="F865" s="41">
        <v>0</v>
      </c>
      <c r="G865" s="41">
        <v>0</v>
      </c>
      <c r="H865" s="41">
        <v>0</v>
      </c>
    </row>
    <row r="866" spans="1:8" x14ac:dyDescent="0.25">
      <c r="A866" s="36" t="s">
        <v>39</v>
      </c>
      <c r="B866" s="34">
        <v>611704</v>
      </c>
      <c r="C866" s="35">
        <v>41136</v>
      </c>
      <c r="D866" s="41">
        <v>790</v>
      </c>
      <c r="E866" s="41">
        <v>0</v>
      </c>
      <c r="F866" s="41">
        <v>0</v>
      </c>
      <c r="G866" s="41">
        <v>0</v>
      </c>
      <c r="H866" s="41">
        <v>0</v>
      </c>
    </row>
    <row r="867" spans="1:8" x14ac:dyDescent="0.25">
      <c r="A867" s="36" t="s">
        <v>39</v>
      </c>
      <c r="B867" s="34">
        <v>611704</v>
      </c>
      <c r="C867" s="35">
        <v>41137</v>
      </c>
      <c r="D867" s="41">
        <v>85</v>
      </c>
      <c r="E867" s="41">
        <v>0</v>
      </c>
      <c r="F867" s="41">
        <v>0</v>
      </c>
      <c r="G867" s="41">
        <v>0</v>
      </c>
      <c r="H867" s="41">
        <v>0</v>
      </c>
    </row>
    <row r="868" spans="1:8" x14ac:dyDescent="0.25">
      <c r="A868" s="36" t="s">
        <v>39</v>
      </c>
      <c r="B868" s="34">
        <v>611704</v>
      </c>
      <c r="C868" s="35">
        <v>41137</v>
      </c>
      <c r="D868" s="41">
        <v>465</v>
      </c>
      <c r="E868" s="41">
        <v>0</v>
      </c>
      <c r="F868" s="41">
        <v>0</v>
      </c>
      <c r="G868" s="41">
        <v>0</v>
      </c>
      <c r="H868" s="41">
        <v>0</v>
      </c>
    </row>
    <row r="869" spans="1:8" x14ac:dyDescent="0.25">
      <c r="A869" s="36" t="s">
        <v>39</v>
      </c>
      <c r="B869" s="34">
        <v>611704</v>
      </c>
      <c r="C869" s="35">
        <v>41137</v>
      </c>
      <c r="D869" s="41">
        <v>466</v>
      </c>
      <c r="E869" s="41">
        <v>22</v>
      </c>
      <c r="F869" s="41">
        <v>6534</v>
      </c>
      <c r="G869" s="41">
        <v>6</v>
      </c>
      <c r="H869" s="41">
        <v>9</v>
      </c>
    </row>
    <row r="870" spans="1:8" x14ac:dyDescent="0.25">
      <c r="A870" s="36" t="s">
        <v>39</v>
      </c>
      <c r="B870" s="34">
        <v>611704</v>
      </c>
      <c r="C870" s="35">
        <v>41137</v>
      </c>
      <c r="D870" s="41">
        <v>467</v>
      </c>
      <c r="E870" s="41">
        <v>0</v>
      </c>
      <c r="F870" s="41">
        <v>0</v>
      </c>
      <c r="G870" s="41">
        <v>0</v>
      </c>
      <c r="H870" s="41">
        <v>0</v>
      </c>
    </row>
    <row r="871" spans="1:8" x14ac:dyDescent="0.25">
      <c r="A871" s="36" t="s">
        <v>39</v>
      </c>
      <c r="B871" s="34">
        <v>611704</v>
      </c>
      <c r="C871" s="35">
        <v>41137</v>
      </c>
      <c r="D871" s="41">
        <v>477</v>
      </c>
      <c r="E871" s="41">
        <v>8</v>
      </c>
      <c r="F871" s="41">
        <v>5215</v>
      </c>
      <c r="G871" s="41">
        <v>0</v>
      </c>
      <c r="H871" s="41">
        <v>0</v>
      </c>
    </row>
    <row r="872" spans="1:8" x14ac:dyDescent="0.25">
      <c r="A872" s="36" t="s">
        <v>39</v>
      </c>
      <c r="B872" s="34">
        <v>611704</v>
      </c>
      <c r="C872" s="35">
        <v>41137</v>
      </c>
      <c r="D872" s="41">
        <v>478</v>
      </c>
      <c r="E872" s="41">
        <v>0</v>
      </c>
      <c r="F872" s="41">
        <v>0</v>
      </c>
      <c r="G872" s="41">
        <v>0</v>
      </c>
      <c r="H872" s="41">
        <v>0</v>
      </c>
    </row>
    <row r="873" spans="1:8" x14ac:dyDescent="0.25">
      <c r="A873" s="36" t="s">
        <v>39</v>
      </c>
      <c r="B873" s="34">
        <v>611704</v>
      </c>
      <c r="C873" s="35">
        <v>41137</v>
      </c>
      <c r="D873" s="41">
        <v>480</v>
      </c>
      <c r="E873" s="41">
        <v>8</v>
      </c>
      <c r="F873" s="41">
        <v>3317</v>
      </c>
      <c r="G873" s="41">
        <v>0</v>
      </c>
      <c r="H873" s="41">
        <v>0</v>
      </c>
    </row>
    <row r="874" spans="1:8" x14ac:dyDescent="0.25">
      <c r="A874" s="36" t="s">
        <v>39</v>
      </c>
      <c r="B874" s="34">
        <v>611704</v>
      </c>
      <c r="C874" s="35">
        <v>41137</v>
      </c>
      <c r="D874" s="41">
        <v>481</v>
      </c>
      <c r="E874" s="41">
        <v>0</v>
      </c>
      <c r="F874" s="41">
        <v>0</v>
      </c>
      <c r="G874" s="41">
        <v>0</v>
      </c>
      <c r="H874" s="41">
        <v>0</v>
      </c>
    </row>
    <row r="875" spans="1:8" x14ac:dyDescent="0.25">
      <c r="A875" s="36" t="s">
        <v>39</v>
      </c>
      <c r="B875" s="34">
        <v>611704</v>
      </c>
      <c r="C875" s="35">
        <v>41137</v>
      </c>
      <c r="D875" s="41">
        <v>482</v>
      </c>
      <c r="E875" s="41">
        <v>11</v>
      </c>
      <c r="F875" s="41">
        <v>3869</v>
      </c>
      <c r="G875" s="41">
        <v>0</v>
      </c>
      <c r="H875" s="41">
        <v>0</v>
      </c>
    </row>
    <row r="876" spans="1:8" x14ac:dyDescent="0.25">
      <c r="A876" s="36" t="s">
        <v>39</v>
      </c>
      <c r="B876" s="34">
        <v>611704</v>
      </c>
      <c r="C876" s="35">
        <v>41137</v>
      </c>
      <c r="D876" s="41">
        <v>790</v>
      </c>
      <c r="E876" s="41">
        <v>0</v>
      </c>
      <c r="F876" s="41">
        <v>0</v>
      </c>
      <c r="G876" s="41">
        <v>0</v>
      </c>
      <c r="H876" s="41">
        <v>0</v>
      </c>
    </row>
    <row r="877" spans="1:8" x14ac:dyDescent="0.25">
      <c r="A877" s="36" t="s">
        <v>39</v>
      </c>
      <c r="B877" s="34">
        <v>611704</v>
      </c>
      <c r="C877" s="35">
        <v>41138</v>
      </c>
      <c r="D877" s="41">
        <v>85</v>
      </c>
      <c r="E877" s="41">
        <v>0</v>
      </c>
      <c r="F877" s="41">
        <v>0</v>
      </c>
      <c r="G877" s="41">
        <v>0</v>
      </c>
      <c r="H877" s="41">
        <v>0</v>
      </c>
    </row>
    <row r="878" spans="1:8" x14ac:dyDescent="0.25">
      <c r="A878" s="36" t="s">
        <v>39</v>
      </c>
      <c r="B878" s="34">
        <v>611704</v>
      </c>
      <c r="C878" s="35">
        <v>41138</v>
      </c>
      <c r="D878" s="41">
        <v>465</v>
      </c>
      <c r="E878" s="41">
        <v>0</v>
      </c>
      <c r="F878" s="41">
        <v>0</v>
      </c>
      <c r="G878" s="41">
        <v>0</v>
      </c>
      <c r="H878" s="41">
        <v>0</v>
      </c>
    </row>
    <row r="879" spans="1:8" x14ac:dyDescent="0.25">
      <c r="A879" s="36" t="s">
        <v>39</v>
      </c>
      <c r="B879" s="34">
        <v>611704</v>
      </c>
      <c r="C879" s="35">
        <v>41138</v>
      </c>
      <c r="D879" s="41">
        <v>466</v>
      </c>
      <c r="E879" s="41">
        <v>27</v>
      </c>
      <c r="F879" s="41">
        <v>10437</v>
      </c>
      <c r="G879" s="41">
        <v>9</v>
      </c>
      <c r="H879" s="41">
        <v>0</v>
      </c>
    </row>
    <row r="880" spans="1:8" x14ac:dyDescent="0.25">
      <c r="A880" s="36" t="s">
        <v>39</v>
      </c>
      <c r="B880" s="34">
        <v>611704</v>
      </c>
      <c r="C880" s="35">
        <v>41138</v>
      </c>
      <c r="D880" s="41">
        <v>467</v>
      </c>
      <c r="E880" s="41">
        <v>0</v>
      </c>
      <c r="F880" s="41">
        <v>0</v>
      </c>
      <c r="G880" s="41">
        <v>0</v>
      </c>
      <c r="H880" s="41">
        <v>0</v>
      </c>
    </row>
    <row r="881" spans="1:8" x14ac:dyDescent="0.25">
      <c r="A881" s="36" t="s">
        <v>39</v>
      </c>
      <c r="B881" s="34">
        <v>611704</v>
      </c>
      <c r="C881" s="35">
        <v>41138</v>
      </c>
      <c r="D881" s="41">
        <v>477</v>
      </c>
      <c r="E881" s="41">
        <v>6</v>
      </c>
      <c r="F881" s="41">
        <v>2736</v>
      </c>
      <c r="G881" s="41">
        <v>0</v>
      </c>
      <c r="H881" s="41">
        <v>0</v>
      </c>
    </row>
    <row r="882" spans="1:8" x14ac:dyDescent="0.25">
      <c r="A882" s="36" t="s">
        <v>39</v>
      </c>
      <c r="B882" s="34">
        <v>611704</v>
      </c>
      <c r="C882" s="35">
        <v>41138</v>
      </c>
      <c r="D882" s="41">
        <v>478</v>
      </c>
      <c r="E882" s="41">
        <v>0</v>
      </c>
      <c r="F882" s="41">
        <v>0</v>
      </c>
      <c r="G882" s="41">
        <v>0</v>
      </c>
      <c r="H882" s="41">
        <v>0</v>
      </c>
    </row>
    <row r="883" spans="1:8" x14ac:dyDescent="0.25">
      <c r="A883" s="36" t="s">
        <v>39</v>
      </c>
      <c r="B883" s="34">
        <v>611704</v>
      </c>
      <c r="C883" s="35">
        <v>41138</v>
      </c>
      <c r="D883" s="41">
        <v>480</v>
      </c>
      <c r="E883" s="41">
        <v>3</v>
      </c>
      <c r="F883" s="41">
        <v>1036</v>
      </c>
      <c r="G883" s="41">
        <v>0</v>
      </c>
      <c r="H883" s="41">
        <v>0</v>
      </c>
    </row>
    <row r="884" spans="1:8" x14ac:dyDescent="0.25">
      <c r="A884" s="36" t="s">
        <v>39</v>
      </c>
      <c r="B884" s="34">
        <v>611704</v>
      </c>
      <c r="C884" s="35">
        <v>41138</v>
      </c>
      <c r="D884" s="41">
        <v>481</v>
      </c>
      <c r="E884" s="41">
        <v>0</v>
      </c>
      <c r="F884" s="41">
        <v>0</v>
      </c>
      <c r="G884" s="41">
        <v>0</v>
      </c>
      <c r="H884" s="41">
        <v>0</v>
      </c>
    </row>
    <row r="885" spans="1:8" x14ac:dyDescent="0.25">
      <c r="A885" s="36" t="s">
        <v>39</v>
      </c>
      <c r="B885" s="34">
        <v>611704</v>
      </c>
      <c r="C885" s="35">
        <v>41138</v>
      </c>
      <c r="D885" s="41">
        <v>482</v>
      </c>
      <c r="E885" s="41">
        <v>15</v>
      </c>
      <c r="F885" s="41">
        <v>3391</v>
      </c>
      <c r="G885" s="41">
        <v>8</v>
      </c>
      <c r="H885" s="41">
        <v>9</v>
      </c>
    </row>
    <row r="886" spans="1:8" x14ac:dyDescent="0.25">
      <c r="A886" s="36" t="s">
        <v>39</v>
      </c>
      <c r="B886" s="34">
        <v>611704</v>
      </c>
      <c r="C886" s="35">
        <v>41138</v>
      </c>
      <c r="D886" s="41">
        <v>790</v>
      </c>
      <c r="E886" s="41">
        <v>0</v>
      </c>
      <c r="F886" s="41">
        <v>0</v>
      </c>
      <c r="G886" s="41">
        <v>0</v>
      </c>
      <c r="H886" s="41">
        <v>0</v>
      </c>
    </row>
    <row r="887" spans="1:8" x14ac:dyDescent="0.25">
      <c r="A887" s="36" t="s">
        <v>39</v>
      </c>
      <c r="B887" s="34">
        <v>611704</v>
      </c>
      <c r="C887" s="35">
        <v>41139</v>
      </c>
      <c r="D887" s="41">
        <v>465</v>
      </c>
      <c r="E887" s="41">
        <v>0</v>
      </c>
      <c r="F887" s="41">
        <v>0</v>
      </c>
      <c r="G887" s="41">
        <v>0</v>
      </c>
      <c r="H887" s="41">
        <v>0</v>
      </c>
    </row>
    <row r="888" spans="1:8" x14ac:dyDescent="0.25">
      <c r="A888" s="36" t="s">
        <v>39</v>
      </c>
      <c r="B888" s="34">
        <v>611704</v>
      </c>
      <c r="C888" s="35">
        <v>41139</v>
      </c>
      <c r="D888" s="41">
        <v>467</v>
      </c>
      <c r="E888" s="41">
        <v>2</v>
      </c>
      <c r="F888" s="41">
        <v>331</v>
      </c>
      <c r="G888" s="41">
        <v>0</v>
      </c>
      <c r="H888" s="41">
        <v>0</v>
      </c>
    </row>
    <row r="889" spans="1:8" x14ac:dyDescent="0.25">
      <c r="A889" s="36" t="s">
        <v>39</v>
      </c>
      <c r="B889" s="34">
        <v>611704</v>
      </c>
      <c r="C889" s="35">
        <v>41139</v>
      </c>
      <c r="D889" s="41">
        <v>478</v>
      </c>
      <c r="E889" s="41">
        <v>44</v>
      </c>
      <c r="F889" s="41">
        <v>12554</v>
      </c>
      <c r="G889" s="41">
        <v>0</v>
      </c>
      <c r="H889" s="41">
        <v>0</v>
      </c>
    </row>
    <row r="890" spans="1:8" x14ac:dyDescent="0.25">
      <c r="A890" s="36" t="s">
        <v>39</v>
      </c>
      <c r="B890" s="34">
        <v>611704</v>
      </c>
      <c r="C890" s="35">
        <v>41139</v>
      </c>
      <c r="D890" s="41">
        <v>480</v>
      </c>
      <c r="E890" s="41">
        <v>4</v>
      </c>
      <c r="F890" s="41">
        <v>864</v>
      </c>
      <c r="G890" s="41">
        <v>0</v>
      </c>
      <c r="H890" s="41">
        <v>23</v>
      </c>
    </row>
    <row r="891" spans="1:8" x14ac:dyDescent="0.25">
      <c r="A891" s="36" t="s">
        <v>39</v>
      </c>
      <c r="B891" s="34">
        <v>611704</v>
      </c>
      <c r="C891" s="35">
        <v>41139</v>
      </c>
      <c r="D891" s="41">
        <v>481</v>
      </c>
      <c r="E891" s="41">
        <v>0</v>
      </c>
      <c r="F891" s="41">
        <v>0</v>
      </c>
      <c r="G891" s="41">
        <v>0</v>
      </c>
      <c r="H891" s="41">
        <v>0</v>
      </c>
    </row>
    <row r="892" spans="1:8" x14ac:dyDescent="0.25">
      <c r="A892" s="36" t="s">
        <v>39</v>
      </c>
      <c r="B892" s="34">
        <v>611704</v>
      </c>
      <c r="C892" s="35">
        <v>41139</v>
      </c>
      <c r="D892" s="41">
        <v>482</v>
      </c>
      <c r="E892" s="41">
        <v>15</v>
      </c>
      <c r="F892" s="41">
        <v>6003</v>
      </c>
      <c r="G892" s="41">
        <v>4</v>
      </c>
      <c r="H892" s="41">
        <v>85</v>
      </c>
    </row>
    <row r="893" spans="1:8" x14ac:dyDescent="0.25">
      <c r="A893" s="36" t="s">
        <v>39</v>
      </c>
      <c r="B893" s="34">
        <v>611704</v>
      </c>
      <c r="C893" s="35">
        <v>41139</v>
      </c>
      <c r="D893" s="41">
        <v>790</v>
      </c>
      <c r="E893" s="41">
        <v>0</v>
      </c>
      <c r="F893" s="41">
        <v>0</v>
      </c>
      <c r="G893" s="41">
        <v>0</v>
      </c>
      <c r="H893" s="41">
        <v>0</v>
      </c>
    </row>
    <row r="894" spans="1:8" x14ac:dyDescent="0.25">
      <c r="A894" s="36" t="s">
        <v>39</v>
      </c>
      <c r="B894" s="34">
        <v>611704</v>
      </c>
      <c r="C894" s="35">
        <v>41141</v>
      </c>
      <c r="D894" s="41">
        <v>85</v>
      </c>
      <c r="E894" s="41">
        <v>0</v>
      </c>
      <c r="F894" s="41">
        <v>0</v>
      </c>
      <c r="G894" s="41">
        <v>0</v>
      </c>
      <c r="H894" s="41">
        <v>0</v>
      </c>
    </row>
    <row r="895" spans="1:8" x14ac:dyDescent="0.25">
      <c r="A895" s="36" t="s">
        <v>39</v>
      </c>
      <c r="B895" s="34">
        <v>611704</v>
      </c>
      <c r="C895" s="35">
        <v>41141</v>
      </c>
      <c r="D895" s="41">
        <v>465</v>
      </c>
      <c r="E895" s="41">
        <v>0</v>
      </c>
      <c r="F895" s="41">
        <v>0</v>
      </c>
      <c r="G895" s="41">
        <v>0</v>
      </c>
      <c r="H895" s="41">
        <v>0</v>
      </c>
    </row>
    <row r="896" spans="1:8" x14ac:dyDescent="0.25">
      <c r="A896" s="36" t="s">
        <v>39</v>
      </c>
      <c r="B896" s="34">
        <v>611704</v>
      </c>
      <c r="C896" s="35">
        <v>41141</v>
      </c>
      <c r="D896" s="41">
        <v>466</v>
      </c>
      <c r="E896" s="41">
        <v>17</v>
      </c>
      <c r="F896" s="41">
        <v>5497</v>
      </c>
      <c r="G896" s="41">
        <v>0</v>
      </c>
      <c r="H896" s="41">
        <v>5</v>
      </c>
    </row>
    <row r="897" spans="1:8" x14ac:dyDescent="0.25">
      <c r="A897" s="36" t="s">
        <v>39</v>
      </c>
      <c r="B897" s="34">
        <v>611704</v>
      </c>
      <c r="C897" s="35">
        <v>41141</v>
      </c>
      <c r="D897" s="41">
        <v>467</v>
      </c>
      <c r="E897" s="41">
        <v>0</v>
      </c>
      <c r="F897" s="41">
        <v>0</v>
      </c>
      <c r="G897" s="41">
        <v>0</v>
      </c>
      <c r="H897" s="41">
        <v>0</v>
      </c>
    </row>
    <row r="898" spans="1:8" x14ac:dyDescent="0.25">
      <c r="A898" s="36" t="s">
        <v>39</v>
      </c>
      <c r="B898" s="34">
        <v>611704</v>
      </c>
      <c r="C898" s="35">
        <v>41141</v>
      </c>
      <c r="D898" s="41">
        <v>477</v>
      </c>
      <c r="E898" s="41">
        <v>11</v>
      </c>
      <c r="F898" s="41">
        <v>5298</v>
      </c>
      <c r="G898" s="41">
        <v>0</v>
      </c>
      <c r="H898" s="41">
        <v>0</v>
      </c>
    </row>
    <row r="899" spans="1:8" x14ac:dyDescent="0.25">
      <c r="A899" s="36" t="s">
        <v>39</v>
      </c>
      <c r="B899" s="34">
        <v>611704</v>
      </c>
      <c r="C899" s="35">
        <v>41141</v>
      </c>
      <c r="D899" s="41">
        <v>478</v>
      </c>
      <c r="E899" s="41">
        <v>0</v>
      </c>
      <c r="F899" s="41">
        <v>0</v>
      </c>
      <c r="G899" s="41">
        <v>0</v>
      </c>
      <c r="H899" s="41">
        <v>0</v>
      </c>
    </row>
    <row r="900" spans="1:8" x14ac:dyDescent="0.25">
      <c r="A900" s="36" t="s">
        <v>39</v>
      </c>
      <c r="B900" s="34">
        <v>611704</v>
      </c>
      <c r="C900" s="35">
        <v>41141</v>
      </c>
      <c r="D900" s="41">
        <v>480</v>
      </c>
      <c r="E900" s="41">
        <v>5</v>
      </c>
      <c r="F900" s="41">
        <v>2237</v>
      </c>
      <c r="G900" s="41">
        <v>0</v>
      </c>
      <c r="H900" s="41">
        <v>0</v>
      </c>
    </row>
    <row r="901" spans="1:8" x14ac:dyDescent="0.25">
      <c r="A901" s="36" t="s">
        <v>39</v>
      </c>
      <c r="B901" s="34">
        <v>611704</v>
      </c>
      <c r="C901" s="35">
        <v>41141</v>
      </c>
      <c r="D901" s="41">
        <v>481</v>
      </c>
      <c r="E901" s="41">
        <v>0</v>
      </c>
      <c r="F901" s="41">
        <v>0</v>
      </c>
      <c r="G901" s="41">
        <v>0</v>
      </c>
      <c r="H901" s="41">
        <v>0</v>
      </c>
    </row>
    <row r="902" spans="1:8" x14ac:dyDescent="0.25">
      <c r="A902" s="36" t="s">
        <v>39</v>
      </c>
      <c r="B902" s="34">
        <v>611704</v>
      </c>
      <c r="C902" s="35">
        <v>41141</v>
      </c>
      <c r="D902" s="41">
        <v>482</v>
      </c>
      <c r="E902" s="41">
        <v>14</v>
      </c>
      <c r="F902" s="41">
        <v>4328</v>
      </c>
      <c r="G902" s="41">
        <v>0</v>
      </c>
      <c r="H902" s="41">
        <v>0</v>
      </c>
    </row>
    <row r="903" spans="1:8" x14ac:dyDescent="0.25">
      <c r="A903" s="36" t="s">
        <v>39</v>
      </c>
      <c r="B903" s="34">
        <v>611704</v>
      </c>
      <c r="C903" s="35">
        <v>41141</v>
      </c>
      <c r="D903" s="41">
        <v>790</v>
      </c>
      <c r="E903" s="41">
        <v>0</v>
      </c>
      <c r="F903" s="41">
        <v>0</v>
      </c>
      <c r="G903" s="41">
        <v>0</v>
      </c>
      <c r="H903" s="41">
        <v>0</v>
      </c>
    </row>
    <row r="904" spans="1:8" x14ac:dyDescent="0.25">
      <c r="A904" s="36" t="s">
        <v>39</v>
      </c>
      <c r="B904" s="34">
        <v>611704</v>
      </c>
      <c r="C904" s="35">
        <v>41142</v>
      </c>
      <c r="D904" s="41">
        <v>85</v>
      </c>
      <c r="E904" s="41">
        <v>0</v>
      </c>
      <c r="F904" s="41">
        <v>0</v>
      </c>
      <c r="G904" s="41">
        <v>0</v>
      </c>
      <c r="H904" s="41">
        <v>0</v>
      </c>
    </row>
    <row r="905" spans="1:8" x14ac:dyDescent="0.25">
      <c r="A905" s="36" t="s">
        <v>39</v>
      </c>
      <c r="B905" s="34">
        <v>611704</v>
      </c>
      <c r="C905" s="35">
        <v>41142</v>
      </c>
      <c r="D905" s="41">
        <v>465</v>
      </c>
      <c r="E905" s="41">
        <v>0</v>
      </c>
      <c r="F905" s="41">
        <v>0</v>
      </c>
      <c r="G905" s="41">
        <v>0</v>
      </c>
      <c r="H905" s="41">
        <v>0</v>
      </c>
    </row>
    <row r="906" spans="1:8" x14ac:dyDescent="0.25">
      <c r="A906" s="36" t="s">
        <v>39</v>
      </c>
      <c r="B906" s="34">
        <v>611704</v>
      </c>
      <c r="C906" s="35">
        <v>41142</v>
      </c>
      <c r="D906" s="41">
        <v>466</v>
      </c>
      <c r="E906" s="41">
        <v>20</v>
      </c>
      <c r="F906" s="41">
        <v>7610</v>
      </c>
      <c r="G906" s="41">
        <v>3</v>
      </c>
      <c r="H906" s="41">
        <v>10</v>
      </c>
    </row>
    <row r="907" spans="1:8" x14ac:dyDescent="0.25">
      <c r="A907" s="36" t="s">
        <v>39</v>
      </c>
      <c r="B907" s="34">
        <v>611704</v>
      </c>
      <c r="C907" s="35">
        <v>41142</v>
      </c>
      <c r="D907" s="41">
        <v>467</v>
      </c>
      <c r="E907" s="41">
        <v>0</v>
      </c>
      <c r="F907" s="41">
        <v>0</v>
      </c>
      <c r="G907" s="41">
        <v>0</v>
      </c>
      <c r="H907" s="41">
        <v>0</v>
      </c>
    </row>
    <row r="908" spans="1:8" x14ac:dyDescent="0.25">
      <c r="A908" s="36" t="s">
        <v>39</v>
      </c>
      <c r="B908" s="34">
        <v>611704</v>
      </c>
      <c r="C908" s="35">
        <v>41142</v>
      </c>
      <c r="D908" s="41">
        <v>477</v>
      </c>
      <c r="E908" s="41">
        <v>10</v>
      </c>
      <c r="F908" s="41">
        <v>4237</v>
      </c>
      <c r="G908" s="41">
        <v>0</v>
      </c>
      <c r="H908" s="41">
        <v>0</v>
      </c>
    </row>
    <row r="909" spans="1:8" x14ac:dyDescent="0.25">
      <c r="A909" s="36" t="s">
        <v>39</v>
      </c>
      <c r="B909" s="34">
        <v>611704</v>
      </c>
      <c r="C909" s="35">
        <v>41142</v>
      </c>
      <c r="D909" s="41">
        <v>478</v>
      </c>
      <c r="E909" s="41">
        <v>2</v>
      </c>
      <c r="F909" s="41">
        <v>996</v>
      </c>
      <c r="G909" s="41">
        <v>0</v>
      </c>
      <c r="H909" s="41">
        <v>0</v>
      </c>
    </row>
    <row r="910" spans="1:8" x14ac:dyDescent="0.25">
      <c r="A910" s="36" t="s">
        <v>39</v>
      </c>
      <c r="B910" s="34">
        <v>611704</v>
      </c>
      <c r="C910" s="35">
        <v>41142</v>
      </c>
      <c r="D910" s="41">
        <v>480</v>
      </c>
      <c r="E910" s="41">
        <v>5</v>
      </c>
      <c r="F910" s="41">
        <v>1190</v>
      </c>
      <c r="G910" s="41">
        <v>4</v>
      </c>
      <c r="H910" s="41">
        <v>0</v>
      </c>
    </row>
    <row r="911" spans="1:8" x14ac:dyDescent="0.25">
      <c r="A911" s="36" t="s">
        <v>39</v>
      </c>
      <c r="B911" s="34">
        <v>611704</v>
      </c>
      <c r="C911" s="35">
        <v>41142</v>
      </c>
      <c r="D911" s="41">
        <v>481</v>
      </c>
      <c r="E911" s="41">
        <v>0</v>
      </c>
      <c r="F911" s="41">
        <v>0</v>
      </c>
      <c r="G911" s="41">
        <v>0</v>
      </c>
      <c r="H911" s="41">
        <v>0</v>
      </c>
    </row>
    <row r="912" spans="1:8" x14ac:dyDescent="0.25">
      <c r="A912" s="36" t="s">
        <v>39</v>
      </c>
      <c r="B912" s="34">
        <v>611704</v>
      </c>
      <c r="C912" s="35">
        <v>41142</v>
      </c>
      <c r="D912" s="41">
        <v>482</v>
      </c>
      <c r="E912" s="41">
        <v>12</v>
      </c>
      <c r="F912" s="41">
        <v>4377</v>
      </c>
      <c r="G912" s="41">
        <v>5</v>
      </c>
      <c r="H912" s="41">
        <v>0</v>
      </c>
    </row>
    <row r="913" spans="1:8" x14ac:dyDescent="0.25">
      <c r="A913" s="36" t="s">
        <v>39</v>
      </c>
      <c r="B913" s="34">
        <v>611704</v>
      </c>
      <c r="C913" s="35">
        <v>41142</v>
      </c>
      <c r="D913" s="41">
        <v>790</v>
      </c>
      <c r="E913" s="41">
        <v>0</v>
      </c>
      <c r="F913" s="41">
        <v>0</v>
      </c>
      <c r="G913" s="41">
        <v>0</v>
      </c>
      <c r="H913" s="41">
        <v>0</v>
      </c>
    </row>
    <row r="914" spans="1:8" x14ac:dyDescent="0.25">
      <c r="A914" s="36" t="s">
        <v>39</v>
      </c>
      <c r="B914" s="34">
        <v>611704</v>
      </c>
      <c r="C914" s="35">
        <v>41143</v>
      </c>
      <c r="D914" s="41">
        <v>85</v>
      </c>
      <c r="E914" s="41">
        <v>0</v>
      </c>
      <c r="F914" s="41">
        <v>0</v>
      </c>
      <c r="G914" s="41">
        <v>0</v>
      </c>
      <c r="H914" s="41">
        <v>0</v>
      </c>
    </row>
    <row r="915" spans="1:8" x14ac:dyDescent="0.25">
      <c r="A915" s="36" t="s">
        <v>39</v>
      </c>
      <c r="B915" s="34">
        <v>611704</v>
      </c>
      <c r="C915" s="35">
        <v>41143</v>
      </c>
      <c r="D915" s="41">
        <v>465</v>
      </c>
      <c r="E915" s="41">
        <v>0</v>
      </c>
      <c r="F915" s="41">
        <v>0</v>
      </c>
      <c r="G915" s="41">
        <v>0</v>
      </c>
      <c r="H915" s="41">
        <v>0</v>
      </c>
    </row>
    <row r="916" spans="1:8" x14ac:dyDescent="0.25">
      <c r="A916" s="36" t="s">
        <v>39</v>
      </c>
      <c r="B916" s="34">
        <v>611704</v>
      </c>
      <c r="C916" s="35">
        <v>41143</v>
      </c>
      <c r="D916" s="41">
        <v>466</v>
      </c>
      <c r="E916" s="41">
        <v>23</v>
      </c>
      <c r="F916" s="41">
        <v>6964</v>
      </c>
      <c r="G916" s="41">
        <v>8</v>
      </c>
      <c r="H916" s="41">
        <v>6</v>
      </c>
    </row>
    <row r="917" spans="1:8" x14ac:dyDescent="0.25">
      <c r="A917" s="36" t="s">
        <v>39</v>
      </c>
      <c r="B917" s="34">
        <v>611704</v>
      </c>
      <c r="C917" s="35">
        <v>41143</v>
      </c>
      <c r="D917" s="41">
        <v>477</v>
      </c>
      <c r="E917" s="41">
        <v>8</v>
      </c>
      <c r="F917" s="41">
        <v>2591</v>
      </c>
      <c r="G917" s="41">
        <v>0</v>
      </c>
      <c r="H917" s="41">
        <v>0</v>
      </c>
    </row>
    <row r="918" spans="1:8" x14ac:dyDescent="0.25">
      <c r="A918" s="36" t="s">
        <v>39</v>
      </c>
      <c r="B918" s="34">
        <v>611704</v>
      </c>
      <c r="C918" s="35">
        <v>41143</v>
      </c>
      <c r="D918" s="41">
        <v>478</v>
      </c>
      <c r="E918" s="41">
        <v>0</v>
      </c>
      <c r="F918" s="41">
        <v>0</v>
      </c>
      <c r="G918" s="41">
        <v>0</v>
      </c>
      <c r="H918" s="41">
        <v>0</v>
      </c>
    </row>
    <row r="919" spans="1:8" x14ac:dyDescent="0.25">
      <c r="A919" s="36" t="s">
        <v>39</v>
      </c>
      <c r="B919" s="34">
        <v>611704</v>
      </c>
      <c r="C919" s="35">
        <v>41143</v>
      </c>
      <c r="D919" s="41">
        <v>480</v>
      </c>
      <c r="E919" s="41">
        <v>4</v>
      </c>
      <c r="F919" s="41">
        <v>1253</v>
      </c>
      <c r="G919" s="41">
        <v>0</v>
      </c>
      <c r="H919" s="41">
        <v>0</v>
      </c>
    </row>
    <row r="920" spans="1:8" x14ac:dyDescent="0.25">
      <c r="A920" s="36" t="s">
        <v>39</v>
      </c>
      <c r="B920" s="34">
        <v>611704</v>
      </c>
      <c r="C920" s="35">
        <v>41143</v>
      </c>
      <c r="D920" s="41">
        <v>481</v>
      </c>
      <c r="E920" s="41">
        <v>0</v>
      </c>
      <c r="F920" s="41">
        <v>0</v>
      </c>
      <c r="G920" s="41">
        <v>0</v>
      </c>
      <c r="H920" s="41">
        <v>0</v>
      </c>
    </row>
    <row r="921" spans="1:8" x14ac:dyDescent="0.25">
      <c r="A921" s="36" t="s">
        <v>39</v>
      </c>
      <c r="B921" s="34">
        <v>611704</v>
      </c>
      <c r="C921" s="35">
        <v>41143</v>
      </c>
      <c r="D921" s="41">
        <v>482</v>
      </c>
      <c r="E921" s="41">
        <v>18</v>
      </c>
      <c r="F921" s="41">
        <v>6121</v>
      </c>
      <c r="G921" s="41">
        <v>0</v>
      </c>
      <c r="H921" s="41">
        <v>0</v>
      </c>
    </row>
    <row r="922" spans="1:8" x14ac:dyDescent="0.25">
      <c r="A922" s="36" t="s">
        <v>39</v>
      </c>
      <c r="B922" s="34">
        <v>611704</v>
      </c>
      <c r="C922" s="35">
        <v>41143</v>
      </c>
      <c r="D922" s="41">
        <v>790</v>
      </c>
      <c r="E922" s="41">
        <v>0</v>
      </c>
      <c r="F922" s="41">
        <v>0</v>
      </c>
      <c r="G922" s="41">
        <v>0</v>
      </c>
      <c r="H922" s="41">
        <v>0</v>
      </c>
    </row>
    <row r="923" spans="1:8" x14ac:dyDescent="0.25">
      <c r="A923" s="36" t="s">
        <v>39</v>
      </c>
      <c r="B923" s="34">
        <v>611704</v>
      </c>
      <c r="C923" s="35">
        <v>41144</v>
      </c>
      <c r="D923" s="41">
        <v>85</v>
      </c>
      <c r="E923" s="41">
        <v>0</v>
      </c>
      <c r="F923" s="41">
        <v>0</v>
      </c>
      <c r="G923" s="41">
        <v>0</v>
      </c>
      <c r="H923" s="41">
        <v>0</v>
      </c>
    </row>
    <row r="924" spans="1:8" x14ac:dyDescent="0.25">
      <c r="A924" s="36" t="s">
        <v>39</v>
      </c>
      <c r="B924" s="34">
        <v>611704</v>
      </c>
      <c r="C924" s="35">
        <v>41144</v>
      </c>
      <c r="D924" s="41">
        <v>465</v>
      </c>
      <c r="E924" s="41">
        <v>0</v>
      </c>
      <c r="F924" s="41">
        <v>0</v>
      </c>
      <c r="G924" s="41">
        <v>0</v>
      </c>
      <c r="H924" s="41">
        <v>0</v>
      </c>
    </row>
    <row r="925" spans="1:8" x14ac:dyDescent="0.25">
      <c r="A925" s="36" t="s">
        <v>39</v>
      </c>
      <c r="B925" s="34">
        <v>611704</v>
      </c>
      <c r="C925" s="35">
        <v>41144</v>
      </c>
      <c r="D925" s="41">
        <v>466</v>
      </c>
      <c r="E925" s="41">
        <v>32</v>
      </c>
      <c r="F925" s="41">
        <v>10349</v>
      </c>
      <c r="G925" s="41">
        <v>0</v>
      </c>
      <c r="H925" s="41">
        <v>0</v>
      </c>
    </row>
    <row r="926" spans="1:8" x14ac:dyDescent="0.25">
      <c r="A926" s="36" t="s">
        <v>39</v>
      </c>
      <c r="B926" s="34">
        <v>611704</v>
      </c>
      <c r="C926" s="35">
        <v>41144</v>
      </c>
      <c r="D926" s="41">
        <v>467</v>
      </c>
      <c r="E926" s="41">
        <v>0</v>
      </c>
      <c r="F926" s="41">
        <v>0</v>
      </c>
      <c r="G926" s="41">
        <v>0</v>
      </c>
      <c r="H926" s="41">
        <v>0</v>
      </c>
    </row>
    <row r="927" spans="1:8" x14ac:dyDescent="0.25">
      <c r="A927" s="36" t="s">
        <v>39</v>
      </c>
      <c r="B927" s="34">
        <v>611704</v>
      </c>
      <c r="C927" s="35">
        <v>41144</v>
      </c>
      <c r="D927" s="41">
        <v>477</v>
      </c>
      <c r="E927" s="41">
        <v>14</v>
      </c>
      <c r="F927" s="41">
        <v>4383</v>
      </c>
      <c r="G927" s="41">
        <v>0</v>
      </c>
      <c r="H927" s="41">
        <v>4</v>
      </c>
    </row>
    <row r="928" spans="1:8" x14ac:dyDescent="0.25">
      <c r="A928" s="36" t="s">
        <v>39</v>
      </c>
      <c r="B928" s="34">
        <v>611704</v>
      </c>
      <c r="C928" s="35">
        <v>41144</v>
      </c>
      <c r="D928" s="41">
        <v>478</v>
      </c>
      <c r="E928" s="41">
        <v>1</v>
      </c>
      <c r="F928" s="41">
        <v>226</v>
      </c>
      <c r="G928" s="41">
        <v>0</v>
      </c>
      <c r="H928" s="41">
        <v>0</v>
      </c>
    </row>
    <row r="929" spans="1:8" x14ac:dyDescent="0.25">
      <c r="A929" s="36" t="s">
        <v>39</v>
      </c>
      <c r="B929" s="34">
        <v>611704</v>
      </c>
      <c r="C929" s="35">
        <v>41144</v>
      </c>
      <c r="D929" s="41">
        <v>480</v>
      </c>
      <c r="E929" s="41">
        <v>5</v>
      </c>
      <c r="F929" s="41">
        <v>1201</v>
      </c>
      <c r="G929" s="41">
        <v>0</v>
      </c>
      <c r="H929" s="41">
        <v>0</v>
      </c>
    </row>
    <row r="930" spans="1:8" x14ac:dyDescent="0.25">
      <c r="A930" s="36" t="s">
        <v>39</v>
      </c>
      <c r="B930" s="34">
        <v>611704</v>
      </c>
      <c r="C930" s="35">
        <v>41144</v>
      </c>
      <c r="D930" s="41">
        <v>481</v>
      </c>
      <c r="E930" s="41">
        <v>0</v>
      </c>
      <c r="F930" s="41">
        <v>0</v>
      </c>
      <c r="G930" s="41">
        <v>0</v>
      </c>
      <c r="H930" s="41">
        <v>0</v>
      </c>
    </row>
    <row r="931" spans="1:8" x14ac:dyDescent="0.25">
      <c r="A931" s="36" t="s">
        <v>39</v>
      </c>
      <c r="B931" s="34">
        <v>611704</v>
      </c>
      <c r="C931" s="35">
        <v>41144</v>
      </c>
      <c r="D931" s="41">
        <v>482</v>
      </c>
      <c r="E931" s="41">
        <v>9</v>
      </c>
      <c r="F931" s="41">
        <v>2590</v>
      </c>
      <c r="G931" s="41">
        <v>0</v>
      </c>
      <c r="H931" s="41">
        <v>0</v>
      </c>
    </row>
    <row r="932" spans="1:8" x14ac:dyDescent="0.25">
      <c r="A932" s="36" t="s">
        <v>39</v>
      </c>
      <c r="B932" s="34">
        <v>611704</v>
      </c>
      <c r="C932" s="35">
        <v>41144</v>
      </c>
      <c r="D932" s="41">
        <v>790</v>
      </c>
      <c r="E932" s="41">
        <v>0</v>
      </c>
      <c r="F932" s="41">
        <v>0</v>
      </c>
      <c r="G932" s="41">
        <v>0</v>
      </c>
      <c r="H932" s="41">
        <v>0</v>
      </c>
    </row>
    <row r="933" spans="1:8" x14ac:dyDescent="0.25">
      <c r="A933" s="36" t="s">
        <v>39</v>
      </c>
      <c r="B933" s="34">
        <v>611704</v>
      </c>
      <c r="C933" s="35">
        <v>41145</v>
      </c>
      <c r="D933" s="41">
        <v>85</v>
      </c>
      <c r="E933" s="41">
        <v>0</v>
      </c>
      <c r="F933" s="41">
        <v>0</v>
      </c>
      <c r="G933" s="41">
        <v>0</v>
      </c>
      <c r="H933" s="41">
        <v>0</v>
      </c>
    </row>
    <row r="934" spans="1:8" x14ac:dyDescent="0.25">
      <c r="A934" s="36" t="s">
        <v>39</v>
      </c>
      <c r="B934" s="34">
        <v>611704</v>
      </c>
      <c r="C934" s="35">
        <v>41145</v>
      </c>
      <c r="D934" s="41">
        <v>465</v>
      </c>
      <c r="E934" s="41">
        <v>0</v>
      </c>
      <c r="F934" s="41">
        <v>0</v>
      </c>
      <c r="G934" s="41">
        <v>0</v>
      </c>
      <c r="H934" s="41">
        <v>0</v>
      </c>
    </row>
    <row r="935" spans="1:8" x14ac:dyDescent="0.25">
      <c r="A935" s="36" t="s">
        <v>39</v>
      </c>
      <c r="B935" s="34">
        <v>611704</v>
      </c>
      <c r="C935" s="35">
        <v>41145</v>
      </c>
      <c r="D935" s="41">
        <v>466</v>
      </c>
      <c r="E935" s="41">
        <v>30</v>
      </c>
      <c r="F935" s="41">
        <v>9075</v>
      </c>
      <c r="G935" s="41">
        <v>21</v>
      </c>
      <c r="H935" s="41">
        <v>5</v>
      </c>
    </row>
    <row r="936" spans="1:8" x14ac:dyDescent="0.25">
      <c r="A936" s="36" t="s">
        <v>39</v>
      </c>
      <c r="B936" s="34">
        <v>611704</v>
      </c>
      <c r="C936" s="35">
        <v>41145</v>
      </c>
      <c r="D936" s="41">
        <v>467</v>
      </c>
      <c r="E936" s="41">
        <v>0</v>
      </c>
      <c r="F936" s="41">
        <v>0</v>
      </c>
      <c r="G936" s="41">
        <v>0</v>
      </c>
      <c r="H936" s="41">
        <v>0</v>
      </c>
    </row>
    <row r="937" spans="1:8" x14ac:dyDescent="0.25">
      <c r="A937" s="36" t="s">
        <v>39</v>
      </c>
      <c r="B937" s="34">
        <v>611704</v>
      </c>
      <c r="C937" s="35">
        <v>41145</v>
      </c>
      <c r="D937" s="41">
        <v>477</v>
      </c>
      <c r="E937" s="41">
        <v>5</v>
      </c>
      <c r="F937" s="41">
        <v>1409</v>
      </c>
      <c r="G937" s="41">
        <v>22</v>
      </c>
      <c r="H937" s="41">
        <v>0</v>
      </c>
    </row>
    <row r="938" spans="1:8" x14ac:dyDescent="0.25">
      <c r="A938" s="36" t="s">
        <v>39</v>
      </c>
      <c r="B938" s="34">
        <v>611704</v>
      </c>
      <c r="C938" s="35">
        <v>41145</v>
      </c>
      <c r="D938" s="41">
        <v>478</v>
      </c>
      <c r="E938" s="41">
        <v>0</v>
      </c>
      <c r="F938" s="41">
        <v>0</v>
      </c>
      <c r="G938" s="41">
        <v>0</v>
      </c>
      <c r="H938" s="41">
        <v>0</v>
      </c>
    </row>
    <row r="939" spans="1:8" x14ac:dyDescent="0.25">
      <c r="A939" s="36" t="s">
        <v>39</v>
      </c>
      <c r="B939" s="34">
        <v>611704</v>
      </c>
      <c r="C939" s="35">
        <v>41145</v>
      </c>
      <c r="D939" s="41">
        <v>480</v>
      </c>
      <c r="E939" s="41">
        <v>6</v>
      </c>
      <c r="F939" s="41">
        <v>1496</v>
      </c>
      <c r="G939" s="41">
        <v>0</v>
      </c>
      <c r="H939" s="41">
        <v>0</v>
      </c>
    </row>
    <row r="940" spans="1:8" x14ac:dyDescent="0.25">
      <c r="A940" s="36" t="s">
        <v>39</v>
      </c>
      <c r="B940" s="34">
        <v>611704</v>
      </c>
      <c r="C940" s="35">
        <v>41145</v>
      </c>
      <c r="D940" s="41">
        <v>481</v>
      </c>
      <c r="E940" s="41">
        <v>0</v>
      </c>
      <c r="F940" s="41">
        <v>0</v>
      </c>
      <c r="G940" s="41">
        <v>0</v>
      </c>
      <c r="H940" s="41">
        <v>0</v>
      </c>
    </row>
    <row r="941" spans="1:8" x14ac:dyDescent="0.25">
      <c r="A941" s="36" t="s">
        <v>39</v>
      </c>
      <c r="B941" s="34">
        <v>611704</v>
      </c>
      <c r="C941" s="35">
        <v>41145</v>
      </c>
      <c r="D941" s="41">
        <v>482</v>
      </c>
      <c r="E941" s="41">
        <v>17</v>
      </c>
      <c r="F941" s="41">
        <v>4644</v>
      </c>
      <c r="G941" s="41">
        <v>14</v>
      </c>
      <c r="H941" s="41">
        <v>0</v>
      </c>
    </row>
    <row r="942" spans="1:8" x14ac:dyDescent="0.25">
      <c r="A942" s="36" t="s">
        <v>39</v>
      </c>
      <c r="B942" s="34">
        <v>611704</v>
      </c>
      <c r="C942" s="35">
        <v>41145</v>
      </c>
      <c r="D942" s="41">
        <v>790</v>
      </c>
      <c r="E942" s="41">
        <v>0</v>
      </c>
      <c r="F942" s="41">
        <v>0</v>
      </c>
      <c r="G942" s="41">
        <v>0</v>
      </c>
      <c r="H942" s="41">
        <v>0</v>
      </c>
    </row>
    <row r="943" spans="1:8" x14ac:dyDescent="0.25">
      <c r="A943" s="36" t="s">
        <v>39</v>
      </c>
      <c r="B943" s="34">
        <v>611704</v>
      </c>
      <c r="C943" s="35">
        <v>41148</v>
      </c>
      <c r="D943" s="41">
        <v>85</v>
      </c>
      <c r="E943" s="41">
        <v>0</v>
      </c>
      <c r="F943" s="41">
        <v>0</v>
      </c>
      <c r="G943" s="41">
        <v>0</v>
      </c>
      <c r="H943" s="41">
        <v>0</v>
      </c>
    </row>
    <row r="944" spans="1:8" x14ac:dyDescent="0.25">
      <c r="A944" s="36" t="s">
        <v>39</v>
      </c>
      <c r="B944" s="34">
        <v>611704</v>
      </c>
      <c r="C944" s="35">
        <v>41148</v>
      </c>
      <c r="D944" s="41">
        <v>465</v>
      </c>
      <c r="E944" s="41">
        <v>0</v>
      </c>
      <c r="F944" s="41">
        <v>0</v>
      </c>
      <c r="G944" s="41">
        <v>0</v>
      </c>
      <c r="H944" s="41">
        <v>0</v>
      </c>
    </row>
    <row r="945" spans="1:8" x14ac:dyDescent="0.25">
      <c r="A945" s="36" t="s">
        <v>39</v>
      </c>
      <c r="B945" s="34">
        <v>611704</v>
      </c>
      <c r="C945" s="35">
        <v>41148</v>
      </c>
      <c r="D945" s="41">
        <v>466</v>
      </c>
      <c r="E945" s="41">
        <v>18</v>
      </c>
      <c r="F945" s="41">
        <v>5169</v>
      </c>
      <c r="G945" s="41">
        <v>3</v>
      </c>
      <c r="H945" s="41">
        <v>0</v>
      </c>
    </row>
    <row r="946" spans="1:8" x14ac:dyDescent="0.25">
      <c r="A946" s="36" t="s">
        <v>39</v>
      </c>
      <c r="B946" s="34">
        <v>611704</v>
      </c>
      <c r="C946" s="35">
        <v>41148</v>
      </c>
      <c r="D946" s="41">
        <v>467</v>
      </c>
      <c r="E946" s="41">
        <v>0</v>
      </c>
      <c r="F946" s="41">
        <v>0</v>
      </c>
      <c r="G946" s="41">
        <v>0</v>
      </c>
      <c r="H946" s="41">
        <v>0</v>
      </c>
    </row>
    <row r="947" spans="1:8" x14ac:dyDescent="0.25">
      <c r="A947" s="36" t="s">
        <v>39</v>
      </c>
      <c r="B947" s="34">
        <v>611704</v>
      </c>
      <c r="C947" s="35">
        <v>41148</v>
      </c>
      <c r="D947" s="41">
        <v>477</v>
      </c>
      <c r="E947" s="41">
        <v>0</v>
      </c>
      <c r="F947" s="41">
        <v>0</v>
      </c>
      <c r="G947" s="41">
        <v>0</v>
      </c>
      <c r="H947" s="41">
        <v>0</v>
      </c>
    </row>
    <row r="948" spans="1:8" x14ac:dyDescent="0.25">
      <c r="A948" s="36" t="s">
        <v>39</v>
      </c>
      <c r="B948" s="34">
        <v>611704</v>
      </c>
      <c r="C948" s="35">
        <v>41148</v>
      </c>
      <c r="D948" s="41">
        <v>478</v>
      </c>
      <c r="E948" s="41">
        <v>16</v>
      </c>
      <c r="F948" s="41">
        <v>5460</v>
      </c>
      <c r="G948" s="41">
        <v>11</v>
      </c>
      <c r="H948" s="41">
        <v>800</v>
      </c>
    </row>
    <row r="949" spans="1:8" x14ac:dyDescent="0.25">
      <c r="A949" s="36" t="s">
        <v>39</v>
      </c>
      <c r="B949" s="34">
        <v>611704</v>
      </c>
      <c r="C949" s="35">
        <v>41148</v>
      </c>
      <c r="D949" s="41">
        <v>480</v>
      </c>
      <c r="E949" s="41">
        <v>7</v>
      </c>
      <c r="F949" s="41">
        <v>2324</v>
      </c>
      <c r="G949" s="41">
        <v>7</v>
      </c>
      <c r="H949" s="41">
        <v>0</v>
      </c>
    </row>
    <row r="950" spans="1:8" x14ac:dyDescent="0.25">
      <c r="A950" s="36" t="s">
        <v>39</v>
      </c>
      <c r="B950" s="34">
        <v>611704</v>
      </c>
      <c r="C950" s="35">
        <v>41148</v>
      </c>
      <c r="D950" s="41">
        <v>481</v>
      </c>
      <c r="E950" s="41">
        <v>0</v>
      </c>
      <c r="F950" s="41">
        <v>0</v>
      </c>
      <c r="G950" s="41">
        <v>0</v>
      </c>
      <c r="H950" s="41">
        <v>0</v>
      </c>
    </row>
    <row r="951" spans="1:8" x14ac:dyDescent="0.25">
      <c r="A951" s="36" t="s">
        <v>39</v>
      </c>
      <c r="B951" s="34">
        <v>611704</v>
      </c>
      <c r="C951" s="35">
        <v>41148</v>
      </c>
      <c r="D951" s="41">
        <v>482</v>
      </c>
      <c r="E951" s="41">
        <v>8</v>
      </c>
      <c r="F951" s="41">
        <v>2899</v>
      </c>
      <c r="G951" s="41">
        <v>0</v>
      </c>
      <c r="H951" s="41">
        <v>0</v>
      </c>
    </row>
    <row r="952" spans="1:8" x14ac:dyDescent="0.25">
      <c r="A952" s="36" t="s">
        <v>39</v>
      </c>
      <c r="B952" s="34">
        <v>611704</v>
      </c>
      <c r="C952" s="35">
        <v>41148</v>
      </c>
      <c r="D952" s="41">
        <v>790</v>
      </c>
      <c r="E952" s="41">
        <v>0</v>
      </c>
      <c r="F952" s="41">
        <v>0</v>
      </c>
      <c r="G952" s="41">
        <v>0</v>
      </c>
      <c r="H952" s="41">
        <v>0</v>
      </c>
    </row>
    <row r="953" spans="1:8" x14ac:dyDescent="0.25">
      <c r="A953" s="36" t="s">
        <v>39</v>
      </c>
      <c r="B953" s="34">
        <v>611704</v>
      </c>
      <c r="C953" s="35">
        <v>41149</v>
      </c>
      <c r="D953" s="41">
        <v>85</v>
      </c>
      <c r="E953" s="41">
        <v>0</v>
      </c>
      <c r="F953" s="41">
        <v>0</v>
      </c>
      <c r="G953" s="41">
        <v>0</v>
      </c>
      <c r="H953" s="41">
        <v>0</v>
      </c>
    </row>
    <row r="954" spans="1:8" x14ac:dyDescent="0.25">
      <c r="A954" s="36" t="s">
        <v>39</v>
      </c>
      <c r="B954" s="34">
        <v>611704</v>
      </c>
      <c r="C954" s="35">
        <v>41149</v>
      </c>
      <c r="D954" s="41">
        <v>465</v>
      </c>
      <c r="E954" s="41">
        <v>0</v>
      </c>
      <c r="F954" s="41">
        <v>0</v>
      </c>
      <c r="G954" s="41">
        <v>0</v>
      </c>
      <c r="H954" s="41">
        <v>0</v>
      </c>
    </row>
    <row r="955" spans="1:8" x14ac:dyDescent="0.25">
      <c r="A955" s="36" t="s">
        <v>39</v>
      </c>
      <c r="B955" s="34">
        <v>611704</v>
      </c>
      <c r="C955" s="35">
        <v>41149</v>
      </c>
      <c r="D955" s="41">
        <v>466</v>
      </c>
      <c r="E955" s="41">
        <v>29</v>
      </c>
      <c r="F955" s="41">
        <v>7693</v>
      </c>
      <c r="G955" s="41">
        <v>15</v>
      </c>
      <c r="H955" s="41">
        <v>6</v>
      </c>
    </row>
    <row r="956" spans="1:8" x14ac:dyDescent="0.25">
      <c r="A956" s="36" t="s">
        <v>39</v>
      </c>
      <c r="B956" s="34">
        <v>611704</v>
      </c>
      <c r="C956" s="35">
        <v>41149</v>
      </c>
      <c r="D956" s="41">
        <v>467</v>
      </c>
      <c r="E956" s="41">
        <v>0</v>
      </c>
      <c r="F956" s="41">
        <v>0</v>
      </c>
      <c r="G956" s="41">
        <v>0</v>
      </c>
      <c r="H956" s="41">
        <v>0</v>
      </c>
    </row>
    <row r="957" spans="1:8" x14ac:dyDescent="0.25">
      <c r="A957" s="36" t="s">
        <v>39</v>
      </c>
      <c r="B957" s="34">
        <v>611704</v>
      </c>
      <c r="C957" s="35">
        <v>41149</v>
      </c>
      <c r="D957" s="41">
        <v>477</v>
      </c>
      <c r="E957" s="41">
        <v>5</v>
      </c>
      <c r="F957" s="41">
        <v>1834</v>
      </c>
      <c r="G957" s="41">
        <v>0</v>
      </c>
      <c r="H957" s="41">
        <v>0</v>
      </c>
    </row>
    <row r="958" spans="1:8" x14ac:dyDescent="0.25">
      <c r="A958" s="36" t="s">
        <v>39</v>
      </c>
      <c r="B958" s="34">
        <v>611704</v>
      </c>
      <c r="C958" s="35">
        <v>41149</v>
      </c>
      <c r="D958" s="41">
        <v>478</v>
      </c>
      <c r="E958" s="41">
        <v>17</v>
      </c>
      <c r="F958" s="41">
        <v>4045</v>
      </c>
      <c r="G958" s="41">
        <v>4</v>
      </c>
      <c r="H958" s="41">
        <v>0</v>
      </c>
    </row>
    <row r="959" spans="1:8" x14ac:dyDescent="0.25">
      <c r="A959" s="36" t="s">
        <v>39</v>
      </c>
      <c r="B959" s="34">
        <v>611704</v>
      </c>
      <c r="C959" s="35">
        <v>41149</v>
      </c>
      <c r="D959" s="41">
        <v>480</v>
      </c>
      <c r="E959" s="41">
        <v>5</v>
      </c>
      <c r="F959" s="41">
        <v>2832</v>
      </c>
      <c r="G959" s="41">
        <v>0</v>
      </c>
      <c r="H959" s="41">
        <v>0</v>
      </c>
    </row>
    <row r="960" spans="1:8" x14ac:dyDescent="0.25">
      <c r="A960" s="36" t="s">
        <v>39</v>
      </c>
      <c r="B960" s="34">
        <v>611704</v>
      </c>
      <c r="C960" s="35">
        <v>41149</v>
      </c>
      <c r="D960" s="41">
        <v>481</v>
      </c>
      <c r="E960" s="41">
        <v>2</v>
      </c>
      <c r="F960" s="41">
        <v>566</v>
      </c>
      <c r="G960" s="41">
        <v>12</v>
      </c>
      <c r="H960" s="41">
        <v>0</v>
      </c>
    </row>
    <row r="961" spans="1:8" x14ac:dyDescent="0.25">
      <c r="A961" s="36" t="s">
        <v>39</v>
      </c>
      <c r="B961" s="34">
        <v>611704</v>
      </c>
      <c r="C961" s="35">
        <v>41149</v>
      </c>
      <c r="D961" s="41">
        <v>482</v>
      </c>
      <c r="E961" s="41">
        <v>7</v>
      </c>
      <c r="F961" s="41">
        <v>2117</v>
      </c>
      <c r="G961" s="41">
        <v>0</v>
      </c>
      <c r="H961" s="41">
        <v>0</v>
      </c>
    </row>
    <row r="962" spans="1:8" x14ac:dyDescent="0.25">
      <c r="A962" s="36" t="s">
        <v>39</v>
      </c>
      <c r="B962" s="34">
        <v>611704</v>
      </c>
      <c r="C962" s="35">
        <v>41149</v>
      </c>
      <c r="D962" s="41">
        <v>790</v>
      </c>
      <c r="E962" s="41">
        <v>0</v>
      </c>
      <c r="F962" s="41">
        <v>0</v>
      </c>
      <c r="G962" s="41">
        <v>0</v>
      </c>
      <c r="H962" s="41">
        <v>0</v>
      </c>
    </row>
    <row r="963" spans="1:8" x14ac:dyDescent="0.25">
      <c r="A963" s="36" t="s">
        <v>39</v>
      </c>
      <c r="B963" s="34">
        <v>611704</v>
      </c>
      <c r="C963" s="35">
        <v>41150</v>
      </c>
      <c r="D963" s="41">
        <v>85</v>
      </c>
      <c r="E963" s="41">
        <v>0</v>
      </c>
      <c r="F963" s="41">
        <v>0</v>
      </c>
      <c r="G963" s="41">
        <v>0</v>
      </c>
      <c r="H963" s="41">
        <v>0</v>
      </c>
    </row>
    <row r="964" spans="1:8" x14ac:dyDescent="0.25">
      <c r="A964" s="36" t="s">
        <v>39</v>
      </c>
      <c r="B964" s="34">
        <v>611704</v>
      </c>
      <c r="C964" s="35">
        <v>41150</v>
      </c>
      <c r="D964" s="41">
        <v>465</v>
      </c>
      <c r="E964" s="41">
        <v>0</v>
      </c>
      <c r="F964" s="41">
        <v>0</v>
      </c>
      <c r="G964" s="41">
        <v>0</v>
      </c>
      <c r="H964" s="41">
        <v>0</v>
      </c>
    </row>
    <row r="965" spans="1:8" x14ac:dyDescent="0.25">
      <c r="A965" s="36" t="s">
        <v>39</v>
      </c>
      <c r="B965" s="34">
        <v>611704</v>
      </c>
      <c r="C965" s="35">
        <v>41150</v>
      </c>
      <c r="D965" s="41">
        <v>466</v>
      </c>
      <c r="E965" s="41">
        <v>33</v>
      </c>
      <c r="F965" s="41">
        <v>12882</v>
      </c>
      <c r="G965" s="41">
        <v>8</v>
      </c>
      <c r="H965" s="41">
        <v>0</v>
      </c>
    </row>
    <row r="966" spans="1:8" x14ac:dyDescent="0.25">
      <c r="A966" s="36" t="s">
        <v>39</v>
      </c>
      <c r="B966" s="34">
        <v>611704</v>
      </c>
      <c r="C966" s="35">
        <v>41150</v>
      </c>
      <c r="D966" s="41">
        <v>467</v>
      </c>
      <c r="E966" s="41">
        <v>0</v>
      </c>
      <c r="F966" s="41">
        <v>0</v>
      </c>
      <c r="G966" s="41">
        <v>0</v>
      </c>
      <c r="H966" s="41">
        <v>0</v>
      </c>
    </row>
    <row r="967" spans="1:8" x14ac:dyDescent="0.25">
      <c r="A967" s="36" t="s">
        <v>39</v>
      </c>
      <c r="B967" s="34">
        <v>611704</v>
      </c>
      <c r="C967" s="35">
        <v>41150</v>
      </c>
      <c r="D967" s="41">
        <v>477</v>
      </c>
      <c r="E967" s="41">
        <v>6</v>
      </c>
      <c r="F967" s="41">
        <v>2570</v>
      </c>
      <c r="G967" s="41">
        <v>0</v>
      </c>
      <c r="H967" s="41">
        <v>0</v>
      </c>
    </row>
    <row r="968" spans="1:8" x14ac:dyDescent="0.25">
      <c r="A968" s="36" t="s">
        <v>39</v>
      </c>
      <c r="B968" s="34">
        <v>611704</v>
      </c>
      <c r="C968" s="35">
        <v>41150</v>
      </c>
      <c r="D968" s="41">
        <v>478</v>
      </c>
      <c r="E968" s="41">
        <v>5</v>
      </c>
      <c r="F968" s="41">
        <v>2076</v>
      </c>
      <c r="G968" s="41">
        <v>84</v>
      </c>
      <c r="H968" s="41">
        <v>0</v>
      </c>
    </row>
    <row r="969" spans="1:8" x14ac:dyDescent="0.25">
      <c r="A969" s="36" t="s">
        <v>39</v>
      </c>
      <c r="B969" s="34">
        <v>611704</v>
      </c>
      <c r="C969" s="35">
        <v>41150</v>
      </c>
      <c r="D969" s="41">
        <v>480</v>
      </c>
      <c r="E969" s="41">
        <v>5</v>
      </c>
      <c r="F969" s="41">
        <v>1605</v>
      </c>
      <c r="G969" s="41">
        <v>0</v>
      </c>
      <c r="H969" s="41">
        <v>0</v>
      </c>
    </row>
    <row r="970" spans="1:8" x14ac:dyDescent="0.25">
      <c r="A970" s="36" t="s">
        <v>39</v>
      </c>
      <c r="B970" s="34">
        <v>611704</v>
      </c>
      <c r="C970" s="35">
        <v>41150</v>
      </c>
      <c r="D970" s="41">
        <v>481</v>
      </c>
      <c r="E970" s="41">
        <v>0</v>
      </c>
      <c r="F970" s="41">
        <v>0</v>
      </c>
      <c r="G970" s="41">
        <v>0</v>
      </c>
      <c r="H970" s="41">
        <v>0</v>
      </c>
    </row>
    <row r="971" spans="1:8" x14ac:dyDescent="0.25">
      <c r="A971" s="36" t="s">
        <v>39</v>
      </c>
      <c r="B971" s="34">
        <v>611704</v>
      </c>
      <c r="C971" s="35">
        <v>41150</v>
      </c>
      <c r="D971" s="41">
        <v>790</v>
      </c>
      <c r="E971" s="41">
        <v>0</v>
      </c>
      <c r="F971" s="41">
        <v>0</v>
      </c>
      <c r="G971" s="41">
        <v>0</v>
      </c>
      <c r="H971" s="41">
        <v>0</v>
      </c>
    </row>
    <row r="972" spans="1:8" x14ac:dyDescent="0.25">
      <c r="A972" s="36" t="s">
        <v>39</v>
      </c>
      <c r="B972" s="34">
        <v>611704</v>
      </c>
      <c r="C972" s="35">
        <v>41151</v>
      </c>
      <c r="D972" s="41">
        <v>85</v>
      </c>
      <c r="E972" s="41">
        <v>0</v>
      </c>
      <c r="F972" s="41">
        <v>0</v>
      </c>
      <c r="G972" s="41">
        <v>0</v>
      </c>
      <c r="H972" s="41">
        <v>0</v>
      </c>
    </row>
    <row r="973" spans="1:8" x14ac:dyDescent="0.25">
      <c r="A973" s="36" t="s">
        <v>39</v>
      </c>
      <c r="B973" s="34">
        <v>611704</v>
      </c>
      <c r="C973" s="35">
        <v>41151</v>
      </c>
      <c r="D973" s="41">
        <v>465</v>
      </c>
      <c r="E973" s="41">
        <v>0</v>
      </c>
      <c r="F973" s="41">
        <v>0</v>
      </c>
      <c r="G973" s="41">
        <v>0</v>
      </c>
      <c r="H973" s="41">
        <v>0</v>
      </c>
    </row>
    <row r="974" spans="1:8" x14ac:dyDescent="0.25">
      <c r="A974" s="36" t="s">
        <v>39</v>
      </c>
      <c r="B974" s="34">
        <v>611704</v>
      </c>
      <c r="C974" s="35">
        <v>41151</v>
      </c>
      <c r="D974" s="41">
        <v>466</v>
      </c>
      <c r="E974" s="41">
        <v>17</v>
      </c>
      <c r="F974" s="41">
        <v>4748</v>
      </c>
      <c r="G974" s="41">
        <v>2</v>
      </c>
      <c r="H974" s="41">
        <v>0</v>
      </c>
    </row>
    <row r="975" spans="1:8" x14ac:dyDescent="0.25">
      <c r="A975" s="36" t="s">
        <v>39</v>
      </c>
      <c r="B975" s="34">
        <v>611704</v>
      </c>
      <c r="C975" s="35">
        <v>41151</v>
      </c>
      <c r="D975" s="41">
        <v>467</v>
      </c>
      <c r="E975" s="41">
        <v>0</v>
      </c>
      <c r="F975" s="41">
        <v>0</v>
      </c>
      <c r="G975" s="41">
        <v>0</v>
      </c>
      <c r="H975" s="41">
        <v>0</v>
      </c>
    </row>
    <row r="976" spans="1:8" x14ac:dyDescent="0.25">
      <c r="A976" s="36" t="s">
        <v>39</v>
      </c>
      <c r="B976" s="34">
        <v>611704</v>
      </c>
      <c r="C976" s="35">
        <v>41151</v>
      </c>
      <c r="D976" s="41">
        <v>477</v>
      </c>
      <c r="E976" s="41">
        <v>11</v>
      </c>
      <c r="F976" s="41">
        <v>2693</v>
      </c>
      <c r="G976" s="41">
        <v>0</v>
      </c>
      <c r="H976" s="41">
        <v>0</v>
      </c>
    </row>
    <row r="977" spans="1:8" x14ac:dyDescent="0.25">
      <c r="A977" s="36" t="s">
        <v>39</v>
      </c>
      <c r="B977" s="34">
        <v>611704</v>
      </c>
      <c r="C977" s="35">
        <v>41151</v>
      </c>
      <c r="D977" s="41">
        <v>478</v>
      </c>
      <c r="E977" s="41">
        <v>1</v>
      </c>
      <c r="F977" s="41">
        <v>56</v>
      </c>
      <c r="G977" s="41">
        <v>0</v>
      </c>
      <c r="H977" s="41">
        <v>0</v>
      </c>
    </row>
    <row r="978" spans="1:8" x14ac:dyDescent="0.25">
      <c r="A978" s="36" t="s">
        <v>39</v>
      </c>
      <c r="B978" s="34">
        <v>611704</v>
      </c>
      <c r="C978" s="35">
        <v>41151</v>
      </c>
      <c r="D978" s="41">
        <v>480</v>
      </c>
      <c r="E978" s="41">
        <v>5</v>
      </c>
      <c r="F978" s="41">
        <v>1504</v>
      </c>
      <c r="G978" s="41">
        <v>9</v>
      </c>
      <c r="H978" s="41">
        <v>42</v>
      </c>
    </row>
    <row r="979" spans="1:8" x14ac:dyDescent="0.25">
      <c r="A979" s="36" t="s">
        <v>39</v>
      </c>
      <c r="B979" s="34">
        <v>611704</v>
      </c>
      <c r="C979" s="35">
        <v>41151</v>
      </c>
      <c r="D979" s="41">
        <v>481</v>
      </c>
      <c r="E979" s="41">
        <v>0</v>
      </c>
      <c r="F979" s="41">
        <v>0</v>
      </c>
      <c r="G979" s="41">
        <v>0</v>
      </c>
      <c r="H979" s="41">
        <v>0</v>
      </c>
    </row>
    <row r="980" spans="1:8" x14ac:dyDescent="0.25">
      <c r="A980" s="36" t="s">
        <v>39</v>
      </c>
      <c r="B980" s="34">
        <v>611704</v>
      </c>
      <c r="C980" s="35">
        <v>41151</v>
      </c>
      <c r="D980" s="41">
        <v>482</v>
      </c>
      <c r="E980" s="41">
        <v>28</v>
      </c>
      <c r="F980" s="41">
        <v>10292</v>
      </c>
      <c r="G980" s="41">
        <v>4</v>
      </c>
      <c r="H980" s="41">
        <v>0</v>
      </c>
    </row>
    <row r="981" spans="1:8" x14ac:dyDescent="0.25">
      <c r="A981" s="36" t="s">
        <v>39</v>
      </c>
      <c r="B981" s="34">
        <v>611704</v>
      </c>
      <c r="C981" s="35">
        <v>41151</v>
      </c>
      <c r="D981" s="41">
        <v>790</v>
      </c>
      <c r="E981" s="41">
        <v>0</v>
      </c>
      <c r="F981" s="41">
        <v>0</v>
      </c>
      <c r="G981" s="41">
        <v>0</v>
      </c>
      <c r="H981" s="41">
        <v>0</v>
      </c>
    </row>
    <row r="982" spans="1:8" x14ac:dyDescent="0.25">
      <c r="A982" s="36" t="s">
        <v>39</v>
      </c>
      <c r="B982" s="34">
        <v>611704</v>
      </c>
      <c r="C982" s="35">
        <v>41152</v>
      </c>
      <c r="D982" s="41">
        <v>85</v>
      </c>
      <c r="E982" s="41">
        <v>0</v>
      </c>
      <c r="F982" s="41">
        <v>0</v>
      </c>
      <c r="G982" s="41">
        <v>0</v>
      </c>
      <c r="H982" s="41">
        <v>0</v>
      </c>
    </row>
    <row r="983" spans="1:8" x14ac:dyDescent="0.25">
      <c r="A983" s="36" t="s">
        <v>39</v>
      </c>
      <c r="B983" s="34">
        <v>611704</v>
      </c>
      <c r="C983" s="35">
        <v>41152</v>
      </c>
      <c r="D983" s="41">
        <v>465</v>
      </c>
      <c r="E983" s="41">
        <v>0</v>
      </c>
      <c r="F983" s="41">
        <v>0</v>
      </c>
      <c r="G983" s="41">
        <v>0</v>
      </c>
      <c r="H983" s="41">
        <v>0</v>
      </c>
    </row>
    <row r="984" spans="1:8" x14ac:dyDescent="0.25">
      <c r="A984" s="36" t="s">
        <v>39</v>
      </c>
      <c r="B984" s="34">
        <v>611704</v>
      </c>
      <c r="C984" s="35">
        <v>41152</v>
      </c>
      <c r="D984" s="41">
        <v>466</v>
      </c>
      <c r="E984" s="41">
        <v>0</v>
      </c>
      <c r="F984" s="41">
        <v>0</v>
      </c>
      <c r="G984" s="41">
        <v>0</v>
      </c>
      <c r="H984" s="41">
        <v>0</v>
      </c>
    </row>
    <row r="985" spans="1:8" x14ac:dyDescent="0.25">
      <c r="A985" s="36" t="s">
        <v>39</v>
      </c>
      <c r="B985" s="34">
        <v>611704</v>
      </c>
      <c r="C985" s="35">
        <v>41152</v>
      </c>
      <c r="D985" s="41">
        <v>467</v>
      </c>
      <c r="E985" s="41">
        <v>0</v>
      </c>
      <c r="F985" s="41">
        <v>0</v>
      </c>
      <c r="G985" s="41">
        <v>0</v>
      </c>
      <c r="H985" s="41">
        <v>0</v>
      </c>
    </row>
    <row r="986" spans="1:8" x14ac:dyDescent="0.25">
      <c r="A986" s="36" t="s">
        <v>39</v>
      </c>
      <c r="B986" s="34">
        <v>611704</v>
      </c>
      <c r="C986" s="35">
        <v>41152</v>
      </c>
      <c r="D986" s="41">
        <v>477</v>
      </c>
      <c r="E986" s="41">
        <v>8</v>
      </c>
      <c r="F986" s="41">
        <v>2974</v>
      </c>
      <c r="G986" s="41">
        <v>0</v>
      </c>
      <c r="H986" s="41">
        <v>0</v>
      </c>
    </row>
    <row r="987" spans="1:8" x14ac:dyDescent="0.25">
      <c r="A987" s="36" t="s">
        <v>39</v>
      </c>
      <c r="B987" s="34">
        <v>611704</v>
      </c>
      <c r="C987" s="35">
        <v>41152</v>
      </c>
      <c r="D987" s="41">
        <v>478</v>
      </c>
      <c r="E987" s="41">
        <v>3</v>
      </c>
      <c r="F987" s="41">
        <v>1107</v>
      </c>
      <c r="G987" s="41">
        <v>0</v>
      </c>
      <c r="H987" s="41">
        <v>40</v>
      </c>
    </row>
    <row r="988" spans="1:8" x14ac:dyDescent="0.25">
      <c r="A988" s="36" t="s">
        <v>39</v>
      </c>
      <c r="B988" s="34">
        <v>611704</v>
      </c>
      <c r="C988" s="35">
        <v>41152</v>
      </c>
      <c r="D988" s="41">
        <v>480</v>
      </c>
      <c r="E988" s="41">
        <v>7</v>
      </c>
      <c r="F988" s="41">
        <v>2083</v>
      </c>
      <c r="G988" s="41">
        <v>0</v>
      </c>
      <c r="H988" s="41">
        <v>0</v>
      </c>
    </row>
    <row r="989" spans="1:8" x14ac:dyDescent="0.25">
      <c r="A989" s="36" t="s">
        <v>39</v>
      </c>
      <c r="B989" s="34">
        <v>611704</v>
      </c>
      <c r="C989" s="35">
        <v>41152</v>
      </c>
      <c r="D989" s="41">
        <v>481</v>
      </c>
      <c r="E989" s="41">
        <v>0</v>
      </c>
      <c r="F989" s="41">
        <v>0</v>
      </c>
      <c r="G989" s="41">
        <v>0</v>
      </c>
      <c r="H989" s="41">
        <v>0</v>
      </c>
    </row>
    <row r="990" spans="1:8" x14ac:dyDescent="0.25">
      <c r="A990" s="36" t="s">
        <v>39</v>
      </c>
      <c r="B990" s="34">
        <v>611704</v>
      </c>
      <c r="C990" s="35">
        <v>41152</v>
      </c>
      <c r="D990" s="41">
        <v>482</v>
      </c>
      <c r="E990" s="41">
        <v>15</v>
      </c>
      <c r="F990" s="41">
        <v>4026</v>
      </c>
      <c r="G990" s="41">
        <v>2</v>
      </c>
      <c r="H990" s="41">
        <v>0</v>
      </c>
    </row>
    <row r="991" spans="1:8" x14ac:dyDescent="0.25">
      <c r="A991" s="36" t="s">
        <v>39</v>
      </c>
      <c r="B991" s="34">
        <v>611704</v>
      </c>
      <c r="C991" s="35">
        <v>41152</v>
      </c>
      <c r="D991" s="41">
        <v>790</v>
      </c>
      <c r="E991" s="41">
        <v>0</v>
      </c>
      <c r="F991" s="41">
        <v>0</v>
      </c>
      <c r="G991" s="41">
        <v>0</v>
      </c>
      <c r="H991" s="41">
        <v>0</v>
      </c>
    </row>
    <row r="992" spans="1:8" x14ac:dyDescent="0.25">
      <c r="A992" s="40" t="s">
        <v>34</v>
      </c>
      <c r="B992" s="34">
        <v>613447</v>
      </c>
      <c r="C992" s="35">
        <v>41122</v>
      </c>
      <c r="D992" s="41">
        <v>85</v>
      </c>
      <c r="E992" s="41">
        <v>0</v>
      </c>
      <c r="F992" s="41">
        <v>0</v>
      </c>
      <c r="G992" s="41">
        <v>0</v>
      </c>
      <c r="H992" s="41">
        <v>0</v>
      </c>
    </row>
    <row r="993" spans="1:8" x14ac:dyDescent="0.25">
      <c r="A993" s="40" t="s">
        <v>34</v>
      </c>
      <c r="B993" s="34">
        <v>613447</v>
      </c>
      <c r="C993" s="35">
        <v>41122</v>
      </c>
      <c r="D993" s="41">
        <v>477</v>
      </c>
      <c r="E993" s="41">
        <v>49</v>
      </c>
      <c r="F993" s="41">
        <v>16090</v>
      </c>
      <c r="G993" s="41">
        <v>14</v>
      </c>
      <c r="H993" s="41">
        <v>520</v>
      </c>
    </row>
    <row r="994" spans="1:8" x14ac:dyDescent="0.25">
      <c r="A994" s="40" t="s">
        <v>34</v>
      </c>
      <c r="B994" s="34">
        <v>613447</v>
      </c>
      <c r="C994" s="35">
        <v>41122</v>
      </c>
      <c r="D994" s="41">
        <v>478</v>
      </c>
      <c r="E994" s="41">
        <v>8</v>
      </c>
      <c r="F994" s="41">
        <v>3290</v>
      </c>
      <c r="G994" s="41">
        <v>0</v>
      </c>
      <c r="H994" s="41">
        <v>60</v>
      </c>
    </row>
    <row r="995" spans="1:8" x14ac:dyDescent="0.25">
      <c r="A995" s="40" t="s">
        <v>34</v>
      </c>
      <c r="B995" s="34">
        <v>613447</v>
      </c>
      <c r="C995" s="35">
        <v>41122</v>
      </c>
      <c r="D995" s="41">
        <v>481</v>
      </c>
      <c r="E995" s="41">
        <v>0</v>
      </c>
      <c r="F995" s="41">
        <v>0</v>
      </c>
      <c r="G995" s="41">
        <v>0</v>
      </c>
      <c r="H995" s="41">
        <v>0</v>
      </c>
    </row>
    <row r="996" spans="1:8" x14ac:dyDescent="0.25">
      <c r="A996" s="40" t="s">
        <v>34</v>
      </c>
      <c r="B996" s="34">
        <v>613447</v>
      </c>
      <c r="C996" s="35">
        <v>41122</v>
      </c>
      <c r="D996" s="41">
        <v>790</v>
      </c>
      <c r="E996" s="41">
        <v>0</v>
      </c>
      <c r="F996" s="41">
        <v>0</v>
      </c>
      <c r="G996" s="41">
        <v>0</v>
      </c>
      <c r="H996" s="41">
        <v>0</v>
      </c>
    </row>
    <row r="997" spans="1:8" x14ac:dyDescent="0.25">
      <c r="A997" s="40" t="s">
        <v>34</v>
      </c>
      <c r="B997" s="34">
        <v>613447</v>
      </c>
      <c r="C997" s="35">
        <v>41123</v>
      </c>
      <c r="D997" s="41">
        <v>85</v>
      </c>
      <c r="E997" s="41">
        <v>0</v>
      </c>
      <c r="F997" s="41">
        <v>0</v>
      </c>
      <c r="G997" s="41">
        <v>0</v>
      </c>
      <c r="H997" s="41">
        <v>0</v>
      </c>
    </row>
    <row r="998" spans="1:8" x14ac:dyDescent="0.25">
      <c r="A998" s="40" t="s">
        <v>34</v>
      </c>
      <c r="B998" s="34">
        <v>613447</v>
      </c>
      <c r="C998" s="35">
        <v>41123</v>
      </c>
      <c r="D998" s="41">
        <v>477</v>
      </c>
      <c r="E998" s="41">
        <v>40</v>
      </c>
      <c r="F998" s="41">
        <v>16812</v>
      </c>
      <c r="G998" s="41">
        <v>2</v>
      </c>
      <c r="H998" s="41">
        <v>390</v>
      </c>
    </row>
    <row r="999" spans="1:8" x14ac:dyDescent="0.25">
      <c r="A999" s="40" t="s">
        <v>34</v>
      </c>
      <c r="B999" s="34">
        <v>613447</v>
      </c>
      <c r="C999" s="35">
        <v>41123</v>
      </c>
      <c r="D999" s="41">
        <v>478</v>
      </c>
      <c r="E999" s="41">
        <v>7</v>
      </c>
      <c r="F999" s="41">
        <v>2442</v>
      </c>
      <c r="G999" s="41">
        <v>0</v>
      </c>
      <c r="H999" s="41">
        <v>38</v>
      </c>
    </row>
    <row r="1000" spans="1:8" x14ac:dyDescent="0.25">
      <c r="A1000" s="40" t="s">
        <v>34</v>
      </c>
      <c r="B1000" s="34">
        <v>613447</v>
      </c>
      <c r="C1000" s="35">
        <v>41123</v>
      </c>
      <c r="D1000" s="41">
        <v>481</v>
      </c>
      <c r="E1000" s="41">
        <v>0</v>
      </c>
      <c r="F1000" s="41">
        <v>0</v>
      </c>
      <c r="G1000" s="41">
        <v>0</v>
      </c>
      <c r="H1000" s="41">
        <v>0</v>
      </c>
    </row>
    <row r="1001" spans="1:8" x14ac:dyDescent="0.25">
      <c r="A1001" s="40" t="s">
        <v>34</v>
      </c>
      <c r="B1001" s="34">
        <v>613447</v>
      </c>
      <c r="C1001" s="35">
        <v>41123</v>
      </c>
      <c r="D1001" s="41">
        <v>790</v>
      </c>
      <c r="E1001" s="41">
        <v>0</v>
      </c>
      <c r="F1001" s="41">
        <v>0</v>
      </c>
      <c r="G1001" s="41">
        <v>0</v>
      </c>
      <c r="H1001" s="41">
        <v>0</v>
      </c>
    </row>
    <row r="1002" spans="1:8" x14ac:dyDescent="0.25">
      <c r="A1002" s="40" t="s">
        <v>34</v>
      </c>
      <c r="B1002" s="34">
        <v>613447</v>
      </c>
      <c r="C1002" s="35">
        <v>41124</v>
      </c>
      <c r="D1002" s="41">
        <v>85</v>
      </c>
      <c r="E1002" s="41">
        <v>0</v>
      </c>
      <c r="F1002" s="41">
        <v>0</v>
      </c>
      <c r="G1002" s="41">
        <v>0</v>
      </c>
      <c r="H1002" s="41">
        <v>0</v>
      </c>
    </row>
    <row r="1003" spans="1:8" x14ac:dyDescent="0.25">
      <c r="A1003" s="40" t="s">
        <v>34</v>
      </c>
      <c r="B1003" s="34">
        <v>613447</v>
      </c>
      <c r="C1003" s="35">
        <v>41124</v>
      </c>
      <c r="D1003" s="41">
        <v>477</v>
      </c>
      <c r="E1003" s="41">
        <v>20</v>
      </c>
      <c r="F1003" s="41">
        <v>8092</v>
      </c>
      <c r="G1003" s="41">
        <v>3</v>
      </c>
      <c r="H1003" s="41">
        <v>151</v>
      </c>
    </row>
    <row r="1004" spans="1:8" x14ac:dyDescent="0.25">
      <c r="A1004" s="40" t="s">
        <v>34</v>
      </c>
      <c r="B1004" s="34">
        <v>613447</v>
      </c>
      <c r="C1004" s="35">
        <v>41124</v>
      </c>
      <c r="D1004" s="41">
        <v>478</v>
      </c>
      <c r="E1004" s="41">
        <v>8</v>
      </c>
      <c r="F1004" s="41">
        <v>1755</v>
      </c>
      <c r="G1004" s="41">
        <v>0</v>
      </c>
      <c r="H1004" s="41">
        <v>81</v>
      </c>
    </row>
    <row r="1005" spans="1:8" x14ac:dyDescent="0.25">
      <c r="A1005" s="40" t="s">
        <v>34</v>
      </c>
      <c r="B1005" s="34">
        <v>613447</v>
      </c>
      <c r="C1005" s="35">
        <v>41124</v>
      </c>
      <c r="D1005" s="41">
        <v>481</v>
      </c>
      <c r="E1005" s="41">
        <v>30</v>
      </c>
      <c r="F1005" s="41">
        <v>9647</v>
      </c>
      <c r="G1005" s="41">
        <v>2</v>
      </c>
      <c r="H1005" s="41">
        <v>84</v>
      </c>
    </row>
    <row r="1006" spans="1:8" x14ac:dyDescent="0.25">
      <c r="A1006" s="40" t="s">
        <v>34</v>
      </c>
      <c r="B1006" s="34">
        <v>613447</v>
      </c>
      <c r="C1006" s="35">
        <v>41124</v>
      </c>
      <c r="D1006" s="41">
        <v>790</v>
      </c>
      <c r="E1006" s="41">
        <v>0</v>
      </c>
      <c r="F1006" s="41">
        <v>0</v>
      </c>
      <c r="G1006" s="41">
        <v>0</v>
      </c>
      <c r="H1006" s="41">
        <v>0</v>
      </c>
    </row>
    <row r="1007" spans="1:8" x14ac:dyDescent="0.25">
      <c r="A1007" s="40" t="s">
        <v>34</v>
      </c>
      <c r="B1007" s="34">
        <v>613447</v>
      </c>
      <c r="C1007" s="35">
        <v>41126</v>
      </c>
      <c r="D1007" s="41">
        <v>85</v>
      </c>
      <c r="E1007" s="41">
        <v>0</v>
      </c>
      <c r="F1007" s="41">
        <v>0</v>
      </c>
      <c r="G1007" s="41">
        <v>0</v>
      </c>
      <c r="H1007" s="41">
        <v>0</v>
      </c>
    </row>
    <row r="1008" spans="1:8" x14ac:dyDescent="0.25">
      <c r="A1008" s="40" t="s">
        <v>34</v>
      </c>
      <c r="B1008" s="34">
        <v>613447</v>
      </c>
      <c r="C1008" s="35">
        <v>41126</v>
      </c>
      <c r="D1008" s="41">
        <v>477</v>
      </c>
      <c r="E1008" s="41">
        <v>46</v>
      </c>
      <c r="F1008" s="41">
        <v>16275</v>
      </c>
      <c r="G1008" s="41">
        <v>3</v>
      </c>
      <c r="H1008" s="41">
        <v>0</v>
      </c>
    </row>
    <row r="1009" spans="1:8" x14ac:dyDescent="0.25">
      <c r="A1009" s="40" t="s">
        <v>34</v>
      </c>
      <c r="B1009" s="34">
        <v>613447</v>
      </c>
      <c r="C1009" s="35">
        <v>41126</v>
      </c>
      <c r="D1009" s="41">
        <v>478</v>
      </c>
      <c r="E1009" s="41">
        <v>0</v>
      </c>
      <c r="F1009" s="41">
        <v>0</v>
      </c>
      <c r="G1009" s="41">
        <v>0</v>
      </c>
      <c r="H1009" s="41">
        <v>0</v>
      </c>
    </row>
    <row r="1010" spans="1:8" x14ac:dyDescent="0.25">
      <c r="A1010" s="40" t="s">
        <v>34</v>
      </c>
      <c r="B1010" s="34">
        <v>613447</v>
      </c>
      <c r="C1010" s="35">
        <v>41126</v>
      </c>
      <c r="D1010" s="41">
        <v>480</v>
      </c>
      <c r="E1010" s="41">
        <v>40</v>
      </c>
      <c r="F1010" s="41">
        <v>11535</v>
      </c>
      <c r="G1010" s="41">
        <v>5</v>
      </c>
      <c r="H1010" s="41">
        <v>0</v>
      </c>
    </row>
    <row r="1011" spans="1:8" x14ac:dyDescent="0.25">
      <c r="A1011" s="40" t="s">
        <v>34</v>
      </c>
      <c r="B1011" s="34">
        <v>613447</v>
      </c>
      <c r="C1011" s="35">
        <v>41126</v>
      </c>
      <c r="D1011" s="41">
        <v>481</v>
      </c>
      <c r="E1011" s="41">
        <v>0</v>
      </c>
      <c r="F1011" s="41">
        <v>0</v>
      </c>
      <c r="G1011" s="41">
        <v>0</v>
      </c>
      <c r="H1011" s="41">
        <v>0</v>
      </c>
    </row>
    <row r="1012" spans="1:8" x14ac:dyDescent="0.25">
      <c r="A1012" s="40" t="s">
        <v>34</v>
      </c>
      <c r="B1012" s="34">
        <v>613447</v>
      </c>
      <c r="C1012" s="35">
        <v>41126</v>
      </c>
      <c r="D1012" s="41">
        <v>482</v>
      </c>
      <c r="E1012" s="41">
        <v>0</v>
      </c>
      <c r="F1012" s="41">
        <v>0</v>
      </c>
      <c r="G1012" s="41">
        <v>0</v>
      </c>
      <c r="H1012" s="41">
        <v>0</v>
      </c>
    </row>
    <row r="1013" spans="1:8" x14ac:dyDescent="0.25">
      <c r="A1013" s="40" t="s">
        <v>34</v>
      </c>
      <c r="B1013" s="34">
        <v>613447</v>
      </c>
      <c r="C1013" s="35">
        <v>41126</v>
      </c>
      <c r="D1013" s="41">
        <v>790</v>
      </c>
      <c r="E1013" s="41">
        <v>0</v>
      </c>
      <c r="F1013" s="41">
        <v>0</v>
      </c>
      <c r="G1013" s="41">
        <v>0</v>
      </c>
      <c r="H1013" s="41">
        <v>0</v>
      </c>
    </row>
    <row r="1014" spans="1:8" x14ac:dyDescent="0.25">
      <c r="A1014" s="40" t="s">
        <v>34</v>
      </c>
      <c r="B1014" s="34">
        <v>613447</v>
      </c>
      <c r="C1014" s="35">
        <v>41127</v>
      </c>
      <c r="D1014" s="41">
        <v>85</v>
      </c>
      <c r="E1014" s="41">
        <v>0</v>
      </c>
      <c r="F1014" s="41">
        <v>0</v>
      </c>
      <c r="G1014" s="41">
        <v>0</v>
      </c>
      <c r="H1014" s="41">
        <v>0</v>
      </c>
    </row>
    <row r="1015" spans="1:8" x14ac:dyDescent="0.25">
      <c r="A1015" s="40" t="s">
        <v>34</v>
      </c>
      <c r="B1015" s="34">
        <v>613447</v>
      </c>
      <c r="C1015" s="35">
        <v>41127</v>
      </c>
      <c r="D1015" s="41">
        <v>477</v>
      </c>
      <c r="E1015" s="41">
        <v>32</v>
      </c>
      <c r="F1015" s="41">
        <v>11128</v>
      </c>
      <c r="G1015" s="41">
        <v>0</v>
      </c>
      <c r="H1015" s="41">
        <v>436</v>
      </c>
    </row>
    <row r="1016" spans="1:8" x14ac:dyDescent="0.25">
      <c r="A1016" s="40" t="s">
        <v>34</v>
      </c>
      <c r="B1016" s="34">
        <v>613447</v>
      </c>
      <c r="C1016" s="35">
        <v>41127</v>
      </c>
      <c r="D1016" s="41">
        <v>478</v>
      </c>
      <c r="E1016" s="41">
        <v>11</v>
      </c>
      <c r="F1016" s="41">
        <v>3095</v>
      </c>
      <c r="G1016" s="41">
        <v>0</v>
      </c>
      <c r="H1016" s="41">
        <v>212</v>
      </c>
    </row>
    <row r="1017" spans="1:8" x14ac:dyDescent="0.25">
      <c r="A1017" s="40" t="s">
        <v>34</v>
      </c>
      <c r="B1017" s="34">
        <v>613447</v>
      </c>
      <c r="C1017" s="35">
        <v>41127</v>
      </c>
      <c r="D1017" s="41">
        <v>481</v>
      </c>
      <c r="E1017" s="41">
        <v>20</v>
      </c>
      <c r="F1017" s="41">
        <v>4649</v>
      </c>
      <c r="G1017" s="41">
        <v>0</v>
      </c>
      <c r="H1017" s="41">
        <v>238</v>
      </c>
    </row>
    <row r="1018" spans="1:8" x14ac:dyDescent="0.25">
      <c r="A1018" s="40" t="s">
        <v>34</v>
      </c>
      <c r="B1018" s="34">
        <v>613447</v>
      </c>
      <c r="C1018" s="35">
        <v>41127</v>
      </c>
      <c r="D1018" s="41">
        <v>790</v>
      </c>
      <c r="E1018" s="41">
        <v>0</v>
      </c>
      <c r="F1018" s="41">
        <v>0</v>
      </c>
      <c r="G1018" s="41">
        <v>0</v>
      </c>
      <c r="H1018" s="41">
        <v>0</v>
      </c>
    </row>
    <row r="1019" spans="1:8" x14ac:dyDescent="0.25">
      <c r="A1019" s="40" t="s">
        <v>34</v>
      </c>
      <c r="B1019" s="34">
        <v>613447</v>
      </c>
      <c r="C1019" s="35">
        <v>41128</v>
      </c>
      <c r="D1019" s="41">
        <v>85</v>
      </c>
      <c r="E1019" s="41">
        <v>0</v>
      </c>
      <c r="F1019" s="41">
        <v>0</v>
      </c>
      <c r="G1019" s="41">
        <v>0</v>
      </c>
      <c r="H1019" s="41">
        <v>0</v>
      </c>
    </row>
    <row r="1020" spans="1:8" x14ac:dyDescent="0.25">
      <c r="A1020" s="40" t="s">
        <v>34</v>
      </c>
      <c r="B1020" s="34">
        <v>613447</v>
      </c>
      <c r="C1020" s="35">
        <v>41128</v>
      </c>
      <c r="D1020" s="41">
        <v>477</v>
      </c>
      <c r="E1020" s="41">
        <v>39</v>
      </c>
      <c r="F1020" s="41">
        <v>13103</v>
      </c>
      <c r="G1020" s="41">
        <v>20</v>
      </c>
      <c r="H1020" s="41">
        <v>50</v>
      </c>
    </row>
    <row r="1021" spans="1:8" x14ac:dyDescent="0.25">
      <c r="A1021" s="40" t="s">
        <v>34</v>
      </c>
      <c r="B1021" s="34">
        <v>613447</v>
      </c>
      <c r="C1021" s="35">
        <v>41128</v>
      </c>
      <c r="D1021" s="41">
        <v>478</v>
      </c>
      <c r="E1021" s="41">
        <v>9</v>
      </c>
      <c r="F1021" s="41">
        <v>4134</v>
      </c>
      <c r="G1021" s="41">
        <v>2</v>
      </c>
      <c r="H1021" s="41">
        <v>58</v>
      </c>
    </row>
    <row r="1022" spans="1:8" x14ac:dyDescent="0.25">
      <c r="A1022" s="40" t="s">
        <v>34</v>
      </c>
      <c r="B1022" s="34">
        <v>613447</v>
      </c>
      <c r="C1022" s="35">
        <v>41128</v>
      </c>
      <c r="D1022" s="41">
        <v>481</v>
      </c>
      <c r="E1022" s="41">
        <v>9</v>
      </c>
      <c r="F1022" s="41">
        <v>2386</v>
      </c>
      <c r="G1022" s="41">
        <v>0</v>
      </c>
      <c r="H1022" s="41">
        <v>61</v>
      </c>
    </row>
    <row r="1023" spans="1:8" x14ac:dyDescent="0.25">
      <c r="A1023" s="40" t="s">
        <v>34</v>
      </c>
      <c r="B1023" s="34">
        <v>613447</v>
      </c>
      <c r="C1023" s="35">
        <v>41128</v>
      </c>
      <c r="D1023" s="41">
        <v>790</v>
      </c>
      <c r="E1023" s="41">
        <v>0</v>
      </c>
      <c r="F1023" s="41">
        <v>0</v>
      </c>
      <c r="G1023" s="41">
        <v>0</v>
      </c>
      <c r="H1023" s="41">
        <v>0</v>
      </c>
    </row>
    <row r="1024" spans="1:8" x14ac:dyDescent="0.25">
      <c r="A1024" s="40" t="s">
        <v>34</v>
      </c>
      <c r="B1024" s="34">
        <v>613447</v>
      </c>
      <c r="C1024" s="35">
        <v>41129</v>
      </c>
      <c r="D1024" s="41">
        <v>85</v>
      </c>
      <c r="E1024" s="41">
        <v>0</v>
      </c>
      <c r="F1024" s="41">
        <v>0</v>
      </c>
      <c r="G1024" s="41">
        <v>0</v>
      </c>
      <c r="H1024" s="41">
        <v>0</v>
      </c>
    </row>
    <row r="1025" spans="1:8" x14ac:dyDescent="0.25">
      <c r="A1025" s="40" t="s">
        <v>34</v>
      </c>
      <c r="B1025" s="34">
        <v>613447</v>
      </c>
      <c r="C1025" s="35">
        <v>41129</v>
      </c>
      <c r="D1025" s="41">
        <v>477</v>
      </c>
      <c r="E1025" s="41">
        <v>33</v>
      </c>
      <c r="F1025" s="41">
        <v>11695</v>
      </c>
      <c r="G1025" s="41">
        <v>0</v>
      </c>
      <c r="H1025" s="41">
        <v>520</v>
      </c>
    </row>
    <row r="1026" spans="1:8" x14ac:dyDescent="0.25">
      <c r="A1026" s="40" t="s">
        <v>34</v>
      </c>
      <c r="B1026" s="34">
        <v>613447</v>
      </c>
      <c r="C1026" s="35">
        <v>41129</v>
      </c>
      <c r="D1026" s="41">
        <v>478</v>
      </c>
      <c r="E1026" s="41">
        <v>9</v>
      </c>
      <c r="F1026" s="41">
        <v>2331</v>
      </c>
      <c r="G1026" s="41">
        <v>30</v>
      </c>
      <c r="H1026" s="41">
        <v>65</v>
      </c>
    </row>
    <row r="1027" spans="1:8" x14ac:dyDescent="0.25">
      <c r="A1027" s="40" t="s">
        <v>34</v>
      </c>
      <c r="B1027" s="34">
        <v>613447</v>
      </c>
      <c r="C1027" s="35">
        <v>41129</v>
      </c>
      <c r="D1027" s="41">
        <v>481</v>
      </c>
      <c r="E1027" s="41">
        <v>12</v>
      </c>
      <c r="F1027" s="41">
        <v>4306</v>
      </c>
      <c r="G1027" s="41">
        <v>2</v>
      </c>
      <c r="H1027" s="41">
        <v>260</v>
      </c>
    </row>
    <row r="1028" spans="1:8" x14ac:dyDescent="0.25">
      <c r="A1028" s="40" t="s">
        <v>34</v>
      </c>
      <c r="B1028" s="34">
        <v>613447</v>
      </c>
      <c r="C1028" s="35">
        <v>41129</v>
      </c>
      <c r="D1028" s="41">
        <v>790</v>
      </c>
      <c r="E1028" s="41">
        <v>0</v>
      </c>
      <c r="F1028" s="41">
        <v>0</v>
      </c>
      <c r="G1028" s="41">
        <v>0</v>
      </c>
      <c r="H1028" s="41">
        <v>0</v>
      </c>
    </row>
    <row r="1029" spans="1:8" x14ac:dyDescent="0.25">
      <c r="A1029" s="40" t="s">
        <v>34</v>
      </c>
      <c r="B1029" s="34">
        <v>613447</v>
      </c>
      <c r="C1029" s="35">
        <v>41130</v>
      </c>
      <c r="D1029" s="41">
        <v>85</v>
      </c>
      <c r="E1029" s="41">
        <v>0</v>
      </c>
      <c r="F1029" s="41">
        <v>0</v>
      </c>
      <c r="G1029" s="41">
        <v>0</v>
      </c>
      <c r="H1029" s="41">
        <v>0</v>
      </c>
    </row>
    <row r="1030" spans="1:8" x14ac:dyDescent="0.25">
      <c r="A1030" s="40" t="s">
        <v>34</v>
      </c>
      <c r="B1030" s="34">
        <v>613447</v>
      </c>
      <c r="C1030" s="35">
        <v>41130</v>
      </c>
      <c r="D1030" s="41">
        <v>477</v>
      </c>
      <c r="E1030" s="41">
        <v>46</v>
      </c>
      <c r="F1030" s="41">
        <v>14463</v>
      </c>
      <c r="G1030" s="41">
        <v>2</v>
      </c>
      <c r="H1030" s="41">
        <v>623</v>
      </c>
    </row>
    <row r="1031" spans="1:8" x14ac:dyDescent="0.25">
      <c r="A1031" s="40" t="s">
        <v>34</v>
      </c>
      <c r="B1031" s="34">
        <v>613447</v>
      </c>
      <c r="C1031" s="35">
        <v>41130</v>
      </c>
      <c r="D1031" s="41">
        <v>478</v>
      </c>
      <c r="E1031" s="41">
        <v>9</v>
      </c>
      <c r="F1031" s="41">
        <v>2936</v>
      </c>
      <c r="G1031" s="41">
        <v>0</v>
      </c>
      <c r="H1031" s="41">
        <v>26</v>
      </c>
    </row>
    <row r="1032" spans="1:8" x14ac:dyDescent="0.25">
      <c r="A1032" s="40" t="s">
        <v>34</v>
      </c>
      <c r="B1032" s="34">
        <v>613447</v>
      </c>
      <c r="C1032" s="35">
        <v>41130</v>
      </c>
      <c r="D1032" s="41">
        <v>481</v>
      </c>
      <c r="E1032" s="41">
        <v>2</v>
      </c>
      <c r="F1032" s="41">
        <v>920</v>
      </c>
      <c r="G1032" s="41">
        <v>0</v>
      </c>
      <c r="H1032" s="41">
        <v>0</v>
      </c>
    </row>
    <row r="1033" spans="1:8" x14ac:dyDescent="0.25">
      <c r="A1033" s="40" t="s">
        <v>34</v>
      </c>
      <c r="B1033" s="34">
        <v>613447</v>
      </c>
      <c r="C1033" s="35">
        <v>41130</v>
      </c>
      <c r="D1033" s="41">
        <v>790</v>
      </c>
      <c r="E1033" s="41">
        <v>0</v>
      </c>
      <c r="F1033" s="41">
        <v>0</v>
      </c>
      <c r="G1033" s="41">
        <v>0</v>
      </c>
      <c r="H1033" s="41">
        <v>0</v>
      </c>
    </row>
    <row r="1034" spans="1:8" x14ac:dyDescent="0.25">
      <c r="A1034" s="40" t="s">
        <v>34</v>
      </c>
      <c r="B1034" s="34">
        <v>613447</v>
      </c>
      <c r="C1034" s="35">
        <v>41131</v>
      </c>
      <c r="D1034" s="41">
        <v>85</v>
      </c>
      <c r="E1034" s="41">
        <v>0</v>
      </c>
      <c r="F1034" s="41">
        <v>0</v>
      </c>
      <c r="G1034" s="41">
        <v>0</v>
      </c>
      <c r="H1034" s="41">
        <v>0</v>
      </c>
    </row>
    <row r="1035" spans="1:8" x14ac:dyDescent="0.25">
      <c r="A1035" s="40" t="s">
        <v>34</v>
      </c>
      <c r="B1035" s="34">
        <v>613447</v>
      </c>
      <c r="C1035" s="35">
        <v>41131</v>
      </c>
      <c r="D1035" s="41">
        <v>477</v>
      </c>
      <c r="E1035" s="41">
        <v>52</v>
      </c>
      <c r="F1035" s="41">
        <v>16137</v>
      </c>
      <c r="G1035" s="41">
        <v>8</v>
      </c>
      <c r="H1035" s="41">
        <v>1377</v>
      </c>
    </row>
    <row r="1036" spans="1:8" x14ac:dyDescent="0.25">
      <c r="A1036" s="40" t="s">
        <v>34</v>
      </c>
      <c r="B1036" s="34">
        <v>613447</v>
      </c>
      <c r="C1036" s="35">
        <v>41131</v>
      </c>
      <c r="D1036" s="41">
        <v>478</v>
      </c>
      <c r="E1036" s="41">
        <v>7</v>
      </c>
      <c r="F1036" s="41">
        <v>2297</v>
      </c>
      <c r="G1036" s="41">
        <v>11</v>
      </c>
      <c r="H1036" s="41">
        <v>198</v>
      </c>
    </row>
    <row r="1037" spans="1:8" x14ac:dyDescent="0.25">
      <c r="A1037" s="40" t="s">
        <v>34</v>
      </c>
      <c r="B1037" s="34">
        <v>613447</v>
      </c>
      <c r="C1037" s="35">
        <v>41131</v>
      </c>
      <c r="D1037" s="41">
        <v>481</v>
      </c>
      <c r="E1037" s="41">
        <v>0</v>
      </c>
      <c r="F1037" s="41">
        <v>0</v>
      </c>
      <c r="G1037" s="41">
        <v>0</v>
      </c>
      <c r="H1037" s="41">
        <v>0</v>
      </c>
    </row>
    <row r="1038" spans="1:8" x14ac:dyDescent="0.25">
      <c r="A1038" s="40" t="s">
        <v>34</v>
      </c>
      <c r="B1038" s="34">
        <v>613447</v>
      </c>
      <c r="C1038" s="35">
        <v>41131</v>
      </c>
      <c r="D1038" s="41">
        <v>790</v>
      </c>
      <c r="E1038" s="41">
        <v>0</v>
      </c>
      <c r="F1038" s="41">
        <v>0</v>
      </c>
      <c r="G1038" s="41">
        <v>0</v>
      </c>
      <c r="H1038" s="41">
        <v>0</v>
      </c>
    </row>
    <row r="1039" spans="1:8" x14ac:dyDescent="0.25">
      <c r="A1039" s="40" t="s">
        <v>34</v>
      </c>
      <c r="B1039" s="34">
        <v>613447</v>
      </c>
      <c r="C1039" s="35">
        <v>41132</v>
      </c>
      <c r="D1039" s="41">
        <v>85</v>
      </c>
      <c r="E1039" s="41">
        <v>0</v>
      </c>
      <c r="F1039" s="41">
        <v>0</v>
      </c>
      <c r="G1039" s="41">
        <v>0</v>
      </c>
      <c r="H1039" s="41">
        <v>0</v>
      </c>
    </row>
    <row r="1040" spans="1:8" x14ac:dyDescent="0.25">
      <c r="A1040" s="40" t="s">
        <v>34</v>
      </c>
      <c r="B1040" s="34">
        <v>613447</v>
      </c>
      <c r="C1040" s="35">
        <v>41132</v>
      </c>
      <c r="D1040" s="41">
        <v>477</v>
      </c>
      <c r="E1040" s="41">
        <v>61</v>
      </c>
      <c r="F1040" s="41">
        <v>17879</v>
      </c>
      <c r="G1040" s="41">
        <v>11</v>
      </c>
      <c r="H1040" s="41">
        <v>103</v>
      </c>
    </row>
    <row r="1041" spans="1:8" x14ac:dyDescent="0.25">
      <c r="A1041" s="40" t="s">
        <v>34</v>
      </c>
      <c r="B1041" s="34">
        <v>613447</v>
      </c>
      <c r="C1041" s="35">
        <v>41132</v>
      </c>
      <c r="D1041" s="41">
        <v>478</v>
      </c>
      <c r="E1041" s="41">
        <v>23</v>
      </c>
      <c r="F1041" s="41">
        <v>7120</v>
      </c>
      <c r="G1041" s="41">
        <v>3</v>
      </c>
      <c r="H1041" s="41">
        <v>22</v>
      </c>
    </row>
    <row r="1042" spans="1:8" x14ac:dyDescent="0.25">
      <c r="A1042" s="40" t="s">
        <v>34</v>
      </c>
      <c r="B1042" s="34">
        <v>613447</v>
      </c>
      <c r="C1042" s="35">
        <v>41132</v>
      </c>
      <c r="D1042" s="41">
        <v>481</v>
      </c>
      <c r="E1042" s="41">
        <v>0</v>
      </c>
      <c r="F1042" s="41">
        <v>0</v>
      </c>
      <c r="G1042" s="41">
        <v>0</v>
      </c>
      <c r="H1042" s="41">
        <v>0</v>
      </c>
    </row>
    <row r="1043" spans="1:8" x14ac:dyDescent="0.25">
      <c r="A1043" s="40" t="s">
        <v>34</v>
      </c>
      <c r="B1043" s="34">
        <v>613447</v>
      </c>
      <c r="C1043" s="35">
        <v>41132</v>
      </c>
      <c r="D1043" s="41">
        <v>790</v>
      </c>
      <c r="E1043" s="41">
        <v>0</v>
      </c>
      <c r="F1043" s="41">
        <v>0</v>
      </c>
      <c r="G1043" s="41">
        <v>0</v>
      </c>
      <c r="H1043" s="41">
        <v>0</v>
      </c>
    </row>
    <row r="1044" spans="1:8" x14ac:dyDescent="0.25">
      <c r="A1044" s="40" t="s">
        <v>34</v>
      </c>
      <c r="B1044" s="34">
        <v>613447</v>
      </c>
      <c r="C1044" s="35">
        <v>41134</v>
      </c>
      <c r="D1044" s="41">
        <v>85</v>
      </c>
      <c r="E1044" s="41">
        <v>0</v>
      </c>
      <c r="F1044" s="41">
        <v>0</v>
      </c>
      <c r="G1044" s="41">
        <v>0</v>
      </c>
      <c r="H1044" s="41">
        <v>0</v>
      </c>
    </row>
    <row r="1045" spans="1:8" x14ac:dyDescent="0.25">
      <c r="A1045" s="40" t="s">
        <v>34</v>
      </c>
      <c r="B1045" s="34">
        <v>613447</v>
      </c>
      <c r="C1045" s="35">
        <v>41134</v>
      </c>
      <c r="D1045" s="41">
        <v>477</v>
      </c>
      <c r="E1045" s="41">
        <v>48</v>
      </c>
      <c r="F1045" s="41">
        <v>13956</v>
      </c>
      <c r="G1045" s="41">
        <v>3</v>
      </c>
      <c r="H1045" s="41">
        <v>838</v>
      </c>
    </row>
    <row r="1046" spans="1:8" x14ac:dyDescent="0.25">
      <c r="A1046" s="40" t="s">
        <v>34</v>
      </c>
      <c r="B1046" s="34">
        <v>613447</v>
      </c>
      <c r="C1046" s="35">
        <v>41134</v>
      </c>
      <c r="D1046" s="41">
        <v>478</v>
      </c>
      <c r="E1046" s="41">
        <v>15</v>
      </c>
      <c r="F1046" s="41">
        <v>4255</v>
      </c>
      <c r="G1046" s="41">
        <v>0</v>
      </c>
      <c r="H1046" s="41">
        <v>32</v>
      </c>
    </row>
    <row r="1047" spans="1:8" x14ac:dyDescent="0.25">
      <c r="A1047" s="40" t="s">
        <v>34</v>
      </c>
      <c r="B1047" s="34">
        <v>613447</v>
      </c>
      <c r="C1047" s="35">
        <v>41134</v>
      </c>
      <c r="D1047" s="41">
        <v>481</v>
      </c>
      <c r="E1047" s="41">
        <v>0</v>
      </c>
      <c r="F1047" s="41">
        <v>0</v>
      </c>
      <c r="G1047" s="41">
        <v>0</v>
      </c>
      <c r="H1047" s="41">
        <v>0</v>
      </c>
    </row>
    <row r="1048" spans="1:8" x14ac:dyDescent="0.25">
      <c r="A1048" s="40" t="s">
        <v>34</v>
      </c>
      <c r="B1048" s="34">
        <v>613447</v>
      </c>
      <c r="C1048" s="35">
        <v>41134</v>
      </c>
      <c r="D1048" s="41">
        <v>790</v>
      </c>
      <c r="E1048" s="41">
        <v>0</v>
      </c>
      <c r="F1048" s="41">
        <v>0</v>
      </c>
      <c r="G1048" s="41">
        <v>0</v>
      </c>
      <c r="H1048" s="41">
        <v>0</v>
      </c>
    </row>
    <row r="1049" spans="1:8" x14ac:dyDescent="0.25">
      <c r="A1049" s="40" t="s">
        <v>34</v>
      </c>
      <c r="B1049" s="34">
        <v>613447</v>
      </c>
      <c r="C1049" s="35">
        <v>41135</v>
      </c>
      <c r="D1049" s="41">
        <v>85</v>
      </c>
      <c r="E1049" s="41">
        <v>0</v>
      </c>
      <c r="F1049" s="41">
        <v>0</v>
      </c>
      <c r="G1049" s="41">
        <v>0</v>
      </c>
      <c r="H1049" s="41">
        <v>0</v>
      </c>
    </row>
    <row r="1050" spans="1:8" x14ac:dyDescent="0.25">
      <c r="A1050" s="40" t="s">
        <v>34</v>
      </c>
      <c r="B1050" s="34">
        <v>613447</v>
      </c>
      <c r="C1050" s="35">
        <v>41135</v>
      </c>
      <c r="D1050" s="41">
        <v>466</v>
      </c>
      <c r="E1050" s="41">
        <v>1</v>
      </c>
      <c r="F1050" s="41">
        <v>251</v>
      </c>
      <c r="G1050" s="41">
        <v>0</v>
      </c>
      <c r="H1050" s="41">
        <v>0</v>
      </c>
    </row>
    <row r="1051" spans="1:8" x14ac:dyDescent="0.25">
      <c r="A1051" s="40" t="s">
        <v>34</v>
      </c>
      <c r="B1051" s="34">
        <v>613447</v>
      </c>
      <c r="C1051" s="35">
        <v>41135</v>
      </c>
      <c r="D1051" s="41">
        <v>467</v>
      </c>
      <c r="E1051" s="41">
        <v>0</v>
      </c>
      <c r="F1051" s="41">
        <v>0</v>
      </c>
      <c r="G1051" s="41">
        <v>0</v>
      </c>
      <c r="H1051" s="41">
        <v>0</v>
      </c>
    </row>
    <row r="1052" spans="1:8" x14ac:dyDescent="0.25">
      <c r="A1052" s="40" t="s">
        <v>34</v>
      </c>
      <c r="B1052" s="34">
        <v>613447</v>
      </c>
      <c r="C1052" s="35">
        <v>41135</v>
      </c>
      <c r="D1052" s="41">
        <v>477</v>
      </c>
      <c r="E1052" s="41">
        <v>26</v>
      </c>
      <c r="F1052" s="41">
        <v>5326</v>
      </c>
      <c r="G1052" s="41">
        <v>1</v>
      </c>
      <c r="H1052" s="41">
        <v>82</v>
      </c>
    </row>
    <row r="1053" spans="1:8" x14ac:dyDescent="0.25">
      <c r="A1053" s="40" t="s">
        <v>34</v>
      </c>
      <c r="B1053" s="34">
        <v>613447</v>
      </c>
      <c r="C1053" s="35">
        <v>41135</v>
      </c>
      <c r="D1053" s="41">
        <v>478</v>
      </c>
      <c r="E1053" s="41">
        <v>38</v>
      </c>
      <c r="F1053" s="41">
        <v>12243</v>
      </c>
      <c r="G1053" s="41">
        <v>7</v>
      </c>
      <c r="H1053" s="41">
        <v>360</v>
      </c>
    </row>
    <row r="1054" spans="1:8" x14ac:dyDescent="0.25">
      <c r="A1054" s="40" t="s">
        <v>34</v>
      </c>
      <c r="B1054" s="34">
        <v>613447</v>
      </c>
      <c r="C1054" s="35">
        <v>41135</v>
      </c>
      <c r="D1054" s="41">
        <v>481</v>
      </c>
      <c r="E1054" s="41">
        <v>0</v>
      </c>
      <c r="F1054" s="41">
        <v>0</v>
      </c>
      <c r="G1054" s="41">
        <v>0</v>
      </c>
      <c r="H1054" s="41">
        <v>0</v>
      </c>
    </row>
    <row r="1055" spans="1:8" x14ac:dyDescent="0.25">
      <c r="A1055" s="40" t="s">
        <v>34</v>
      </c>
      <c r="B1055" s="34">
        <v>613447</v>
      </c>
      <c r="C1055" s="35">
        <v>41135</v>
      </c>
      <c r="D1055" s="41">
        <v>790</v>
      </c>
      <c r="E1055" s="41">
        <v>0</v>
      </c>
      <c r="F1055" s="41">
        <v>0</v>
      </c>
      <c r="G1055" s="41">
        <v>0</v>
      </c>
      <c r="H1055" s="41">
        <v>0</v>
      </c>
    </row>
    <row r="1056" spans="1:8" x14ac:dyDescent="0.25">
      <c r="A1056" s="40" t="s">
        <v>34</v>
      </c>
      <c r="B1056" s="34">
        <v>613447</v>
      </c>
      <c r="C1056" s="35">
        <v>41136</v>
      </c>
      <c r="D1056" s="41">
        <v>85</v>
      </c>
      <c r="E1056" s="41">
        <v>0</v>
      </c>
      <c r="F1056" s="41">
        <v>0</v>
      </c>
      <c r="G1056" s="41">
        <v>0</v>
      </c>
      <c r="H1056" s="41">
        <v>0</v>
      </c>
    </row>
    <row r="1057" spans="1:8" x14ac:dyDescent="0.25">
      <c r="A1057" s="40" t="s">
        <v>34</v>
      </c>
      <c r="B1057" s="34">
        <v>613447</v>
      </c>
      <c r="C1057" s="35">
        <v>41136</v>
      </c>
      <c r="D1057" s="41">
        <v>465</v>
      </c>
      <c r="E1057" s="41">
        <v>0</v>
      </c>
      <c r="F1057" s="41">
        <v>0</v>
      </c>
      <c r="G1057" s="41">
        <v>0</v>
      </c>
      <c r="H1057" s="41">
        <v>0</v>
      </c>
    </row>
    <row r="1058" spans="1:8" x14ac:dyDescent="0.25">
      <c r="A1058" s="40" t="s">
        <v>34</v>
      </c>
      <c r="B1058" s="34">
        <v>613447</v>
      </c>
      <c r="C1058" s="35">
        <v>41136</v>
      </c>
      <c r="D1058" s="41">
        <v>466</v>
      </c>
      <c r="E1058" s="41">
        <v>1</v>
      </c>
      <c r="F1058" s="41">
        <v>170</v>
      </c>
      <c r="G1058" s="41">
        <v>3</v>
      </c>
      <c r="H1058" s="41">
        <v>0</v>
      </c>
    </row>
    <row r="1059" spans="1:8" x14ac:dyDescent="0.25">
      <c r="A1059" s="40" t="s">
        <v>34</v>
      </c>
      <c r="B1059" s="34">
        <v>613447</v>
      </c>
      <c r="C1059" s="35">
        <v>41136</v>
      </c>
      <c r="D1059" s="41">
        <v>467</v>
      </c>
      <c r="E1059" s="41">
        <v>0</v>
      </c>
      <c r="F1059" s="41">
        <v>0</v>
      </c>
      <c r="G1059" s="41">
        <v>0</v>
      </c>
      <c r="H1059" s="41">
        <v>0</v>
      </c>
    </row>
    <row r="1060" spans="1:8" x14ac:dyDescent="0.25">
      <c r="A1060" s="40" t="s">
        <v>34</v>
      </c>
      <c r="B1060" s="34">
        <v>613447</v>
      </c>
      <c r="C1060" s="35">
        <v>41136</v>
      </c>
      <c r="D1060" s="41">
        <v>477</v>
      </c>
      <c r="E1060" s="41">
        <v>1</v>
      </c>
      <c r="F1060" s="41">
        <v>234</v>
      </c>
      <c r="G1060" s="41">
        <v>4</v>
      </c>
      <c r="H1060" s="41">
        <v>0</v>
      </c>
    </row>
    <row r="1061" spans="1:8" x14ac:dyDescent="0.25">
      <c r="A1061" s="40" t="s">
        <v>34</v>
      </c>
      <c r="B1061" s="34">
        <v>613447</v>
      </c>
      <c r="C1061" s="35">
        <v>41136</v>
      </c>
      <c r="D1061" s="41">
        <v>478</v>
      </c>
      <c r="E1061" s="41">
        <v>9</v>
      </c>
      <c r="F1061" s="41">
        <v>1937</v>
      </c>
      <c r="G1061" s="41">
        <v>0</v>
      </c>
      <c r="H1061" s="41">
        <v>61</v>
      </c>
    </row>
    <row r="1062" spans="1:8" x14ac:dyDescent="0.25">
      <c r="A1062" s="40" t="s">
        <v>34</v>
      </c>
      <c r="B1062" s="34">
        <v>613447</v>
      </c>
      <c r="C1062" s="35">
        <v>41136</v>
      </c>
      <c r="D1062" s="41">
        <v>480</v>
      </c>
      <c r="E1062" s="41">
        <v>13</v>
      </c>
      <c r="F1062" s="41">
        <v>3823</v>
      </c>
      <c r="G1062" s="41">
        <v>0</v>
      </c>
      <c r="H1062" s="41">
        <v>64</v>
      </c>
    </row>
    <row r="1063" spans="1:8" x14ac:dyDescent="0.25">
      <c r="A1063" s="40" t="s">
        <v>34</v>
      </c>
      <c r="B1063" s="34">
        <v>613447</v>
      </c>
      <c r="C1063" s="35">
        <v>41136</v>
      </c>
      <c r="D1063" s="41">
        <v>481</v>
      </c>
      <c r="E1063" s="41">
        <v>3</v>
      </c>
      <c r="F1063" s="41">
        <v>749</v>
      </c>
      <c r="G1063" s="41">
        <v>0</v>
      </c>
      <c r="H1063" s="41">
        <v>32</v>
      </c>
    </row>
    <row r="1064" spans="1:8" x14ac:dyDescent="0.25">
      <c r="A1064" s="40" t="s">
        <v>34</v>
      </c>
      <c r="B1064" s="34">
        <v>613447</v>
      </c>
      <c r="C1064" s="35">
        <v>41136</v>
      </c>
      <c r="D1064" s="41">
        <v>482</v>
      </c>
      <c r="E1064" s="41">
        <v>32</v>
      </c>
      <c r="F1064" s="41">
        <v>12320</v>
      </c>
      <c r="G1064" s="41">
        <v>0</v>
      </c>
      <c r="H1064" s="41">
        <v>481</v>
      </c>
    </row>
    <row r="1065" spans="1:8" x14ac:dyDescent="0.25">
      <c r="A1065" s="40" t="s">
        <v>34</v>
      </c>
      <c r="B1065" s="34">
        <v>613447</v>
      </c>
      <c r="C1065" s="35">
        <v>41136</v>
      </c>
      <c r="D1065" s="41">
        <v>790</v>
      </c>
      <c r="E1065" s="41">
        <v>0</v>
      </c>
      <c r="F1065" s="41">
        <v>0</v>
      </c>
      <c r="G1065" s="41">
        <v>0</v>
      </c>
      <c r="H1065" s="41">
        <v>0</v>
      </c>
    </row>
    <row r="1066" spans="1:8" x14ac:dyDescent="0.25">
      <c r="A1066" s="40" t="s">
        <v>34</v>
      </c>
      <c r="B1066" s="34">
        <v>613447</v>
      </c>
      <c r="C1066" s="35">
        <v>41137</v>
      </c>
      <c r="D1066" s="41">
        <v>85</v>
      </c>
      <c r="E1066" s="41">
        <v>0</v>
      </c>
      <c r="F1066" s="41">
        <v>0</v>
      </c>
      <c r="G1066" s="41">
        <v>0</v>
      </c>
      <c r="H1066" s="41">
        <v>0</v>
      </c>
    </row>
    <row r="1067" spans="1:8" x14ac:dyDescent="0.25">
      <c r="A1067" s="40" t="s">
        <v>34</v>
      </c>
      <c r="B1067" s="34">
        <v>613447</v>
      </c>
      <c r="C1067" s="35">
        <v>41137</v>
      </c>
      <c r="D1067" s="41">
        <v>465</v>
      </c>
      <c r="E1067" s="41">
        <v>0</v>
      </c>
      <c r="F1067" s="41">
        <v>0</v>
      </c>
      <c r="G1067" s="41">
        <v>0</v>
      </c>
      <c r="H1067" s="41">
        <v>0</v>
      </c>
    </row>
    <row r="1068" spans="1:8" x14ac:dyDescent="0.25">
      <c r="A1068" s="40" t="s">
        <v>34</v>
      </c>
      <c r="B1068" s="34">
        <v>613447</v>
      </c>
      <c r="C1068" s="35">
        <v>41137</v>
      </c>
      <c r="D1068" s="41">
        <v>466</v>
      </c>
      <c r="E1068" s="41">
        <v>31</v>
      </c>
      <c r="F1068" s="41">
        <v>9708</v>
      </c>
      <c r="G1068" s="41">
        <v>1</v>
      </c>
      <c r="H1068" s="41">
        <v>338</v>
      </c>
    </row>
    <row r="1069" spans="1:8" x14ac:dyDescent="0.25">
      <c r="A1069" s="40" t="s">
        <v>34</v>
      </c>
      <c r="B1069" s="34">
        <v>613447</v>
      </c>
      <c r="C1069" s="35">
        <v>41137</v>
      </c>
      <c r="D1069" s="41">
        <v>467</v>
      </c>
      <c r="E1069" s="41">
        <v>0</v>
      </c>
      <c r="F1069" s="41">
        <v>0</v>
      </c>
      <c r="G1069" s="41">
        <v>0</v>
      </c>
      <c r="H1069" s="41">
        <v>0</v>
      </c>
    </row>
    <row r="1070" spans="1:8" x14ac:dyDescent="0.25">
      <c r="A1070" s="40" t="s">
        <v>34</v>
      </c>
      <c r="B1070" s="34">
        <v>613447</v>
      </c>
      <c r="C1070" s="35">
        <v>41137</v>
      </c>
      <c r="D1070" s="41">
        <v>477</v>
      </c>
      <c r="E1070" s="41">
        <v>12</v>
      </c>
      <c r="F1070" s="41">
        <v>4529</v>
      </c>
      <c r="G1070" s="41">
        <v>0</v>
      </c>
      <c r="H1070" s="41">
        <v>147</v>
      </c>
    </row>
    <row r="1071" spans="1:8" x14ac:dyDescent="0.25">
      <c r="A1071" s="40" t="s">
        <v>34</v>
      </c>
      <c r="B1071" s="34">
        <v>613447</v>
      </c>
      <c r="C1071" s="35">
        <v>41137</v>
      </c>
      <c r="D1071" s="41">
        <v>478</v>
      </c>
      <c r="E1071" s="41">
        <v>2</v>
      </c>
      <c r="F1071" s="41">
        <v>430</v>
      </c>
      <c r="G1071" s="41">
        <v>0</v>
      </c>
      <c r="H1071" s="41">
        <v>70</v>
      </c>
    </row>
    <row r="1072" spans="1:8" x14ac:dyDescent="0.25">
      <c r="A1072" s="40" t="s">
        <v>34</v>
      </c>
      <c r="B1072" s="34">
        <v>613447</v>
      </c>
      <c r="C1072" s="35">
        <v>41137</v>
      </c>
      <c r="D1072" s="41">
        <v>480</v>
      </c>
      <c r="E1072" s="41">
        <v>9</v>
      </c>
      <c r="F1072" s="41">
        <v>1722</v>
      </c>
      <c r="G1072" s="41">
        <v>0</v>
      </c>
      <c r="H1072" s="41">
        <v>59</v>
      </c>
    </row>
    <row r="1073" spans="1:8" x14ac:dyDescent="0.25">
      <c r="A1073" s="40" t="s">
        <v>34</v>
      </c>
      <c r="B1073" s="34">
        <v>613447</v>
      </c>
      <c r="C1073" s="35">
        <v>41137</v>
      </c>
      <c r="D1073" s="41">
        <v>481</v>
      </c>
      <c r="E1073" s="41">
        <v>0</v>
      </c>
      <c r="F1073" s="41">
        <v>0</v>
      </c>
      <c r="G1073" s="41">
        <v>0</v>
      </c>
      <c r="H1073" s="41">
        <v>0</v>
      </c>
    </row>
    <row r="1074" spans="1:8" x14ac:dyDescent="0.25">
      <c r="A1074" s="40" t="s">
        <v>34</v>
      </c>
      <c r="B1074" s="34">
        <v>613447</v>
      </c>
      <c r="C1074" s="35">
        <v>41137</v>
      </c>
      <c r="D1074" s="41">
        <v>482</v>
      </c>
      <c r="E1074" s="41">
        <v>8</v>
      </c>
      <c r="F1074" s="41">
        <v>1870</v>
      </c>
      <c r="G1074" s="41">
        <v>3</v>
      </c>
      <c r="H1074" s="41">
        <v>122</v>
      </c>
    </row>
    <row r="1075" spans="1:8" x14ac:dyDescent="0.25">
      <c r="A1075" s="40" t="s">
        <v>34</v>
      </c>
      <c r="B1075" s="34">
        <v>613447</v>
      </c>
      <c r="C1075" s="35">
        <v>41137</v>
      </c>
      <c r="D1075" s="41">
        <v>790</v>
      </c>
      <c r="E1075" s="41">
        <v>0</v>
      </c>
      <c r="F1075" s="41">
        <v>0</v>
      </c>
      <c r="G1075" s="41">
        <v>0</v>
      </c>
      <c r="H1075" s="41">
        <v>0</v>
      </c>
    </row>
    <row r="1076" spans="1:8" x14ac:dyDescent="0.25">
      <c r="A1076" s="40" t="s">
        <v>34</v>
      </c>
      <c r="B1076" s="34">
        <v>613447</v>
      </c>
      <c r="C1076" s="35">
        <v>41138</v>
      </c>
      <c r="D1076" s="41">
        <v>85</v>
      </c>
      <c r="E1076" s="41">
        <v>0</v>
      </c>
      <c r="F1076" s="41">
        <v>0</v>
      </c>
      <c r="G1076" s="41">
        <v>0</v>
      </c>
      <c r="H1076" s="41">
        <v>0</v>
      </c>
    </row>
    <row r="1077" spans="1:8" x14ac:dyDescent="0.25">
      <c r="A1077" s="40" t="s">
        <v>34</v>
      </c>
      <c r="B1077" s="34">
        <v>613447</v>
      </c>
      <c r="C1077" s="35">
        <v>41138</v>
      </c>
      <c r="D1077" s="41">
        <v>465</v>
      </c>
      <c r="E1077" s="41">
        <v>0</v>
      </c>
      <c r="F1077" s="41">
        <v>0</v>
      </c>
      <c r="G1077" s="41">
        <v>0</v>
      </c>
      <c r="H1077" s="41">
        <v>0</v>
      </c>
    </row>
    <row r="1078" spans="1:8" x14ac:dyDescent="0.25">
      <c r="A1078" s="40" t="s">
        <v>34</v>
      </c>
      <c r="B1078" s="34">
        <v>613447</v>
      </c>
      <c r="C1078" s="35">
        <v>41138</v>
      </c>
      <c r="D1078" s="41">
        <v>466</v>
      </c>
      <c r="E1078" s="41">
        <v>23</v>
      </c>
      <c r="F1078" s="41">
        <v>6872</v>
      </c>
      <c r="G1078" s="41">
        <v>0</v>
      </c>
      <c r="H1078" s="41">
        <v>505</v>
      </c>
    </row>
    <row r="1079" spans="1:8" x14ac:dyDescent="0.25">
      <c r="A1079" s="40" t="s">
        <v>34</v>
      </c>
      <c r="B1079" s="34">
        <v>613447</v>
      </c>
      <c r="C1079" s="35">
        <v>41138</v>
      </c>
      <c r="D1079" s="41">
        <v>467</v>
      </c>
      <c r="E1079" s="41">
        <v>0</v>
      </c>
      <c r="F1079" s="41">
        <v>0</v>
      </c>
      <c r="G1079" s="41">
        <v>0</v>
      </c>
      <c r="H1079" s="41">
        <v>0</v>
      </c>
    </row>
    <row r="1080" spans="1:8" x14ac:dyDescent="0.25">
      <c r="A1080" s="40" t="s">
        <v>34</v>
      </c>
      <c r="B1080" s="34">
        <v>613447</v>
      </c>
      <c r="C1080" s="35">
        <v>41138</v>
      </c>
      <c r="D1080" s="41">
        <v>477</v>
      </c>
      <c r="E1080" s="41">
        <v>10</v>
      </c>
      <c r="F1080" s="41">
        <v>2572</v>
      </c>
      <c r="G1080" s="41">
        <v>15</v>
      </c>
      <c r="H1080" s="41">
        <v>141</v>
      </c>
    </row>
    <row r="1081" spans="1:8" x14ac:dyDescent="0.25">
      <c r="A1081" s="40" t="s">
        <v>34</v>
      </c>
      <c r="B1081" s="34">
        <v>613447</v>
      </c>
      <c r="C1081" s="35">
        <v>41138</v>
      </c>
      <c r="D1081" s="41">
        <v>478</v>
      </c>
      <c r="E1081" s="41">
        <v>4</v>
      </c>
      <c r="F1081" s="41">
        <v>1139</v>
      </c>
      <c r="G1081" s="41">
        <v>0</v>
      </c>
      <c r="H1081" s="41">
        <v>108</v>
      </c>
    </row>
    <row r="1082" spans="1:8" x14ac:dyDescent="0.25">
      <c r="A1082" s="40" t="s">
        <v>34</v>
      </c>
      <c r="B1082" s="34">
        <v>613447</v>
      </c>
      <c r="C1082" s="35">
        <v>41138</v>
      </c>
      <c r="D1082" s="41">
        <v>480</v>
      </c>
      <c r="E1082" s="41">
        <v>8</v>
      </c>
      <c r="F1082" s="41">
        <v>2271</v>
      </c>
      <c r="G1082" s="41">
        <v>0</v>
      </c>
      <c r="H1082" s="41">
        <v>40</v>
      </c>
    </row>
    <row r="1083" spans="1:8" x14ac:dyDescent="0.25">
      <c r="A1083" s="40" t="s">
        <v>34</v>
      </c>
      <c r="B1083" s="34">
        <v>613447</v>
      </c>
      <c r="C1083" s="35">
        <v>41138</v>
      </c>
      <c r="D1083" s="41">
        <v>481</v>
      </c>
      <c r="E1083" s="41">
        <v>0</v>
      </c>
      <c r="F1083" s="41">
        <v>0</v>
      </c>
      <c r="G1083" s="41">
        <v>0</v>
      </c>
      <c r="H1083" s="41">
        <v>0</v>
      </c>
    </row>
    <row r="1084" spans="1:8" x14ac:dyDescent="0.25">
      <c r="A1084" s="40" t="s">
        <v>34</v>
      </c>
      <c r="B1084" s="34">
        <v>613447</v>
      </c>
      <c r="C1084" s="35">
        <v>41138</v>
      </c>
      <c r="D1084" s="41">
        <v>482</v>
      </c>
      <c r="E1084" s="41">
        <v>9</v>
      </c>
      <c r="F1084" s="41">
        <v>3869</v>
      </c>
      <c r="G1084" s="41">
        <v>2</v>
      </c>
      <c r="H1084" s="41">
        <v>193</v>
      </c>
    </row>
    <row r="1085" spans="1:8" x14ac:dyDescent="0.25">
      <c r="A1085" s="40" t="s">
        <v>34</v>
      </c>
      <c r="B1085" s="34">
        <v>613447</v>
      </c>
      <c r="C1085" s="35">
        <v>41138</v>
      </c>
      <c r="D1085" s="41">
        <v>790</v>
      </c>
      <c r="E1085" s="41">
        <v>0</v>
      </c>
      <c r="F1085" s="41">
        <v>0</v>
      </c>
      <c r="G1085" s="41">
        <v>0</v>
      </c>
      <c r="H1085" s="41">
        <v>0</v>
      </c>
    </row>
    <row r="1086" spans="1:8" x14ac:dyDescent="0.25">
      <c r="A1086" s="40" t="s">
        <v>34</v>
      </c>
      <c r="B1086" s="34">
        <v>613447</v>
      </c>
      <c r="C1086" s="35">
        <v>41140</v>
      </c>
      <c r="D1086" s="41">
        <v>85</v>
      </c>
      <c r="E1086" s="41">
        <v>0</v>
      </c>
      <c r="F1086" s="41">
        <v>0</v>
      </c>
      <c r="G1086" s="41">
        <v>0</v>
      </c>
      <c r="H1086" s="41">
        <v>0</v>
      </c>
    </row>
    <row r="1087" spans="1:8" x14ac:dyDescent="0.25">
      <c r="A1087" s="40" t="s">
        <v>34</v>
      </c>
      <c r="B1087" s="34">
        <v>613447</v>
      </c>
      <c r="C1087" s="35">
        <v>41140</v>
      </c>
      <c r="D1087" s="41">
        <v>465</v>
      </c>
      <c r="E1087" s="41">
        <v>0</v>
      </c>
      <c r="F1087" s="41">
        <v>0</v>
      </c>
      <c r="G1087" s="41">
        <v>0</v>
      </c>
      <c r="H1087" s="41">
        <v>0</v>
      </c>
    </row>
    <row r="1088" spans="1:8" x14ac:dyDescent="0.25">
      <c r="A1088" s="40" t="s">
        <v>34</v>
      </c>
      <c r="B1088" s="34">
        <v>613447</v>
      </c>
      <c r="C1088" s="35">
        <v>41140</v>
      </c>
      <c r="D1088" s="41">
        <v>466</v>
      </c>
      <c r="E1088" s="41">
        <v>10</v>
      </c>
      <c r="F1088" s="41">
        <v>4078</v>
      </c>
      <c r="G1088" s="41">
        <v>0</v>
      </c>
      <c r="H1088" s="41">
        <v>0</v>
      </c>
    </row>
    <row r="1089" spans="1:8" x14ac:dyDescent="0.25">
      <c r="A1089" s="40" t="s">
        <v>34</v>
      </c>
      <c r="B1089" s="34">
        <v>613447</v>
      </c>
      <c r="C1089" s="35">
        <v>41140</v>
      </c>
      <c r="D1089" s="41">
        <v>467</v>
      </c>
      <c r="E1089" s="41">
        <v>0</v>
      </c>
      <c r="F1089" s="41">
        <v>0</v>
      </c>
      <c r="G1089" s="41">
        <v>0</v>
      </c>
      <c r="H1089" s="41">
        <v>0</v>
      </c>
    </row>
    <row r="1090" spans="1:8" x14ac:dyDescent="0.25">
      <c r="A1090" s="40" t="s">
        <v>34</v>
      </c>
      <c r="B1090" s="34">
        <v>613447</v>
      </c>
      <c r="C1090" s="35">
        <v>41140</v>
      </c>
      <c r="D1090" s="41">
        <v>477</v>
      </c>
      <c r="E1090" s="41">
        <v>30</v>
      </c>
      <c r="F1090" s="41">
        <v>8154</v>
      </c>
      <c r="G1090" s="41">
        <v>0</v>
      </c>
      <c r="H1090" s="41">
        <v>0</v>
      </c>
    </row>
    <row r="1091" spans="1:8" x14ac:dyDescent="0.25">
      <c r="A1091" s="40" t="s">
        <v>34</v>
      </c>
      <c r="B1091" s="34">
        <v>613447</v>
      </c>
      <c r="C1091" s="35">
        <v>41140</v>
      </c>
      <c r="D1091" s="41">
        <v>478</v>
      </c>
      <c r="E1091" s="41">
        <v>2</v>
      </c>
      <c r="F1091" s="41">
        <v>814</v>
      </c>
      <c r="G1091" s="41">
        <v>0</v>
      </c>
      <c r="H1091" s="41">
        <v>137</v>
      </c>
    </row>
    <row r="1092" spans="1:8" x14ac:dyDescent="0.25">
      <c r="A1092" s="40" t="s">
        <v>34</v>
      </c>
      <c r="B1092" s="34">
        <v>613447</v>
      </c>
      <c r="C1092" s="35">
        <v>41140</v>
      </c>
      <c r="D1092" s="41">
        <v>480</v>
      </c>
      <c r="E1092" s="41">
        <v>9</v>
      </c>
      <c r="F1092" s="41">
        <v>2153</v>
      </c>
      <c r="G1092" s="41">
        <v>3</v>
      </c>
      <c r="H1092" s="41">
        <v>22</v>
      </c>
    </row>
    <row r="1093" spans="1:8" x14ac:dyDescent="0.25">
      <c r="A1093" s="40" t="s">
        <v>34</v>
      </c>
      <c r="B1093" s="34">
        <v>613447</v>
      </c>
      <c r="C1093" s="35">
        <v>41140</v>
      </c>
      <c r="D1093" s="41">
        <v>481</v>
      </c>
      <c r="E1093" s="41">
        <v>0</v>
      </c>
      <c r="F1093" s="41">
        <v>0</v>
      </c>
      <c r="G1093" s="41">
        <v>0</v>
      </c>
      <c r="H1093" s="41">
        <v>0</v>
      </c>
    </row>
    <row r="1094" spans="1:8" x14ac:dyDescent="0.25">
      <c r="A1094" s="40" t="s">
        <v>34</v>
      </c>
      <c r="B1094" s="34">
        <v>613447</v>
      </c>
      <c r="C1094" s="35">
        <v>41140</v>
      </c>
      <c r="D1094" s="41">
        <v>482</v>
      </c>
      <c r="E1094" s="41">
        <v>12</v>
      </c>
      <c r="F1094" s="41">
        <v>3408</v>
      </c>
      <c r="G1094" s="41">
        <v>0</v>
      </c>
      <c r="H1094" s="41">
        <v>0</v>
      </c>
    </row>
    <row r="1095" spans="1:8" x14ac:dyDescent="0.25">
      <c r="A1095" s="40" t="s">
        <v>34</v>
      </c>
      <c r="B1095" s="34">
        <v>613447</v>
      </c>
      <c r="C1095" s="35">
        <v>41140</v>
      </c>
      <c r="D1095" s="41">
        <v>790</v>
      </c>
      <c r="E1095" s="41">
        <v>0</v>
      </c>
      <c r="F1095" s="41">
        <v>0</v>
      </c>
      <c r="G1095" s="41">
        <v>0</v>
      </c>
      <c r="H1095" s="41">
        <v>0</v>
      </c>
    </row>
    <row r="1096" spans="1:8" x14ac:dyDescent="0.25">
      <c r="A1096" s="40" t="s">
        <v>34</v>
      </c>
      <c r="B1096" s="34">
        <v>613447</v>
      </c>
      <c r="C1096" s="35">
        <v>41141</v>
      </c>
      <c r="D1096" s="41">
        <v>85</v>
      </c>
      <c r="E1096" s="41">
        <v>0</v>
      </c>
      <c r="F1096" s="41">
        <v>0</v>
      </c>
      <c r="G1096" s="41">
        <v>0</v>
      </c>
      <c r="H1096" s="41">
        <v>0</v>
      </c>
    </row>
    <row r="1097" spans="1:8" x14ac:dyDescent="0.25">
      <c r="A1097" s="40" t="s">
        <v>34</v>
      </c>
      <c r="B1097" s="34">
        <v>613447</v>
      </c>
      <c r="C1097" s="35">
        <v>41141</v>
      </c>
      <c r="D1097" s="41">
        <v>465</v>
      </c>
      <c r="E1097" s="41">
        <v>0</v>
      </c>
      <c r="F1097" s="41">
        <v>0</v>
      </c>
      <c r="G1097" s="41">
        <v>0</v>
      </c>
      <c r="H1097" s="41">
        <v>0</v>
      </c>
    </row>
    <row r="1098" spans="1:8" x14ac:dyDescent="0.25">
      <c r="A1098" s="40" t="s">
        <v>34</v>
      </c>
      <c r="B1098" s="34">
        <v>613447</v>
      </c>
      <c r="C1098" s="35">
        <v>41141</v>
      </c>
      <c r="D1098" s="41">
        <v>466</v>
      </c>
      <c r="E1098" s="41">
        <v>25</v>
      </c>
      <c r="F1098" s="41">
        <v>8464</v>
      </c>
      <c r="G1098" s="41">
        <v>5</v>
      </c>
      <c r="H1098" s="41">
        <v>309</v>
      </c>
    </row>
    <row r="1099" spans="1:8" x14ac:dyDescent="0.25">
      <c r="A1099" s="40" t="s">
        <v>34</v>
      </c>
      <c r="B1099" s="34">
        <v>613447</v>
      </c>
      <c r="C1099" s="35">
        <v>41141</v>
      </c>
      <c r="D1099" s="41">
        <v>467</v>
      </c>
      <c r="E1099" s="41">
        <v>0</v>
      </c>
      <c r="F1099" s="41">
        <v>0</v>
      </c>
      <c r="G1099" s="41">
        <v>0</v>
      </c>
      <c r="H1099" s="41">
        <v>0</v>
      </c>
    </row>
    <row r="1100" spans="1:8" x14ac:dyDescent="0.25">
      <c r="A1100" s="40" t="s">
        <v>34</v>
      </c>
      <c r="B1100" s="34">
        <v>613447</v>
      </c>
      <c r="C1100" s="35">
        <v>41141</v>
      </c>
      <c r="D1100" s="41">
        <v>477</v>
      </c>
      <c r="E1100" s="41">
        <v>15</v>
      </c>
      <c r="F1100" s="41">
        <v>5803</v>
      </c>
      <c r="G1100" s="41">
        <v>0</v>
      </c>
      <c r="H1100" s="41">
        <v>264</v>
      </c>
    </row>
    <row r="1101" spans="1:8" x14ac:dyDescent="0.25">
      <c r="A1101" s="40" t="s">
        <v>34</v>
      </c>
      <c r="B1101" s="34">
        <v>613447</v>
      </c>
      <c r="C1101" s="35">
        <v>41141</v>
      </c>
      <c r="D1101" s="41">
        <v>478</v>
      </c>
      <c r="E1101" s="41">
        <v>2</v>
      </c>
      <c r="F1101" s="41">
        <v>635</v>
      </c>
      <c r="G1101" s="41">
        <v>0</v>
      </c>
      <c r="H1101" s="41">
        <v>49</v>
      </c>
    </row>
    <row r="1102" spans="1:8" x14ac:dyDescent="0.25">
      <c r="A1102" s="40" t="s">
        <v>34</v>
      </c>
      <c r="B1102" s="34">
        <v>613447</v>
      </c>
      <c r="C1102" s="35">
        <v>41141</v>
      </c>
      <c r="D1102" s="41">
        <v>480</v>
      </c>
      <c r="E1102" s="41">
        <v>7</v>
      </c>
      <c r="F1102" s="41">
        <v>1607</v>
      </c>
      <c r="G1102" s="41">
        <v>0</v>
      </c>
      <c r="H1102" s="41">
        <v>115</v>
      </c>
    </row>
    <row r="1103" spans="1:8" x14ac:dyDescent="0.25">
      <c r="A1103" s="40" t="s">
        <v>34</v>
      </c>
      <c r="B1103" s="34">
        <v>613447</v>
      </c>
      <c r="C1103" s="35">
        <v>41141</v>
      </c>
      <c r="D1103" s="41">
        <v>481</v>
      </c>
      <c r="E1103" s="41">
        <v>0</v>
      </c>
      <c r="F1103" s="41">
        <v>0</v>
      </c>
      <c r="G1103" s="41">
        <v>0</v>
      </c>
      <c r="H1103" s="41">
        <v>0</v>
      </c>
    </row>
    <row r="1104" spans="1:8" x14ac:dyDescent="0.25">
      <c r="A1104" s="40" t="s">
        <v>34</v>
      </c>
      <c r="B1104" s="34">
        <v>613447</v>
      </c>
      <c r="C1104" s="35">
        <v>41141</v>
      </c>
      <c r="D1104" s="41">
        <v>482</v>
      </c>
      <c r="E1104" s="41">
        <v>5</v>
      </c>
      <c r="F1104" s="41">
        <v>1760</v>
      </c>
      <c r="G1104" s="41">
        <v>2</v>
      </c>
      <c r="H1104" s="41">
        <v>34</v>
      </c>
    </row>
    <row r="1105" spans="1:8" x14ac:dyDescent="0.25">
      <c r="A1105" s="40" t="s">
        <v>34</v>
      </c>
      <c r="B1105" s="34">
        <v>613447</v>
      </c>
      <c r="C1105" s="35">
        <v>41141</v>
      </c>
      <c r="D1105" s="41">
        <v>790</v>
      </c>
      <c r="E1105" s="41">
        <v>0</v>
      </c>
      <c r="F1105" s="41">
        <v>0</v>
      </c>
      <c r="G1105" s="41">
        <v>0</v>
      </c>
      <c r="H1105" s="41">
        <v>0</v>
      </c>
    </row>
    <row r="1106" spans="1:8" x14ac:dyDescent="0.25">
      <c r="A1106" s="40" t="s">
        <v>34</v>
      </c>
      <c r="B1106" s="34">
        <v>613447</v>
      </c>
      <c r="C1106" s="35">
        <v>41142</v>
      </c>
      <c r="D1106" s="41">
        <v>85</v>
      </c>
      <c r="E1106" s="41">
        <v>0</v>
      </c>
      <c r="F1106" s="41">
        <v>0</v>
      </c>
      <c r="G1106" s="41">
        <v>0</v>
      </c>
      <c r="H1106" s="41">
        <v>0</v>
      </c>
    </row>
    <row r="1107" spans="1:8" x14ac:dyDescent="0.25">
      <c r="A1107" s="40" t="s">
        <v>34</v>
      </c>
      <c r="B1107" s="34">
        <v>613447</v>
      </c>
      <c r="C1107" s="35">
        <v>41142</v>
      </c>
      <c r="D1107" s="41">
        <v>465</v>
      </c>
      <c r="E1107" s="41">
        <v>0</v>
      </c>
      <c r="F1107" s="41">
        <v>0</v>
      </c>
      <c r="G1107" s="41">
        <v>0</v>
      </c>
      <c r="H1107" s="41">
        <v>0</v>
      </c>
    </row>
    <row r="1108" spans="1:8" x14ac:dyDescent="0.25">
      <c r="A1108" s="40" t="s">
        <v>34</v>
      </c>
      <c r="B1108" s="34">
        <v>613447</v>
      </c>
      <c r="C1108" s="35">
        <v>41142</v>
      </c>
      <c r="D1108" s="41">
        <v>466</v>
      </c>
      <c r="E1108" s="41">
        <v>21</v>
      </c>
      <c r="F1108" s="41">
        <v>6714</v>
      </c>
      <c r="G1108" s="41">
        <v>0</v>
      </c>
      <c r="H1108" s="41">
        <v>275</v>
      </c>
    </row>
    <row r="1109" spans="1:8" x14ac:dyDescent="0.25">
      <c r="A1109" s="40" t="s">
        <v>34</v>
      </c>
      <c r="B1109" s="34">
        <v>613447</v>
      </c>
      <c r="C1109" s="35">
        <v>41142</v>
      </c>
      <c r="D1109" s="41">
        <v>467</v>
      </c>
      <c r="E1109" s="41">
        <v>0</v>
      </c>
      <c r="F1109" s="41">
        <v>0</v>
      </c>
      <c r="G1109" s="41">
        <v>0</v>
      </c>
      <c r="H1109" s="41">
        <v>0</v>
      </c>
    </row>
    <row r="1110" spans="1:8" x14ac:dyDescent="0.25">
      <c r="A1110" s="40" t="s">
        <v>34</v>
      </c>
      <c r="B1110" s="34">
        <v>613447</v>
      </c>
      <c r="C1110" s="35">
        <v>41142</v>
      </c>
      <c r="D1110" s="41">
        <v>477</v>
      </c>
      <c r="E1110" s="41">
        <v>27</v>
      </c>
      <c r="F1110" s="41">
        <v>8502</v>
      </c>
      <c r="G1110" s="41">
        <v>5</v>
      </c>
      <c r="H1110" s="41">
        <v>103</v>
      </c>
    </row>
    <row r="1111" spans="1:8" x14ac:dyDescent="0.25">
      <c r="A1111" s="40" t="s">
        <v>34</v>
      </c>
      <c r="B1111" s="34">
        <v>613447</v>
      </c>
      <c r="C1111" s="35">
        <v>41142</v>
      </c>
      <c r="D1111" s="41">
        <v>478</v>
      </c>
      <c r="E1111" s="41">
        <v>2</v>
      </c>
      <c r="F1111" s="41">
        <v>1260</v>
      </c>
      <c r="G1111" s="41">
        <v>0</v>
      </c>
      <c r="H1111" s="41">
        <v>0</v>
      </c>
    </row>
    <row r="1112" spans="1:8" x14ac:dyDescent="0.25">
      <c r="A1112" s="40" t="s">
        <v>34</v>
      </c>
      <c r="B1112" s="34">
        <v>613447</v>
      </c>
      <c r="C1112" s="35">
        <v>41142</v>
      </c>
      <c r="D1112" s="41">
        <v>480</v>
      </c>
      <c r="E1112" s="41">
        <v>6</v>
      </c>
      <c r="F1112" s="41">
        <v>1678</v>
      </c>
      <c r="G1112" s="41">
        <v>0</v>
      </c>
      <c r="H1112" s="41">
        <v>42</v>
      </c>
    </row>
    <row r="1113" spans="1:8" x14ac:dyDescent="0.25">
      <c r="A1113" s="40" t="s">
        <v>34</v>
      </c>
      <c r="B1113" s="34">
        <v>613447</v>
      </c>
      <c r="C1113" s="35">
        <v>41142</v>
      </c>
      <c r="D1113" s="41">
        <v>481</v>
      </c>
      <c r="E1113" s="41">
        <v>0</v>
      </c>
      <c r="F1113" s="41">
        <v>0</v>
      </c>
      <c r="G1113" s="41">
        <v>0</v>
      </c>
      <c r="H1113" s="41">
        <v>0</v>
      </c>
    </row>
    <row r="1114" spans="1:8" x14ac:dyDescent="0.25">
      <c r="A1114" s="40" t="s">
        <v>34</v>
      </c>
      <c r="B1114" s="34">
        <v>613447</v>
      </c>
      <c r="C1114" s="35">
        <v>41142</v>
      </c>
      <c r="D1114" s="41">
        <v>482</v>
      </c>
      <c r="E1114" s="41">
        <v>4</v>
      </c>
      <c r="F1114" s="41">
        <v>1387</v>
      </c>
      <c r="G1114" s="41">
        <v>2</v>
      </c>
      <c r="H1114" s="41">
        <v>18</v>
      </c>
    </row>
    <row r="1115" spans="1:8" x14ac:dyDescent="0.25">
      <c r="A1115" s="40" t="s">
        <v>34</v>
      </c>
      <c r="B1115" s="34">
        <v>613447</v>
      </c>
      <c r="C1115" s="35">
        <v>41142</v>
      </c>
      <c r="D1115" s="41">
        <v>790</v>
      </c>
      <c r="E1115" s="41">
        <v>0</v>
      </c>
      <c r="F1115" s="41">
        <v>0</v>
      </c>
      <c r="G1115" s="41">
        <v>0</v>
      </c>
      <c r="H1115" s="41">
        <v>0</v>
      </c>
    </row>
    <row r="1116" spans="1:8" x14ac:dyDescent="0.25">
      <c r="A1116" s="40" t="s">
        <v>34</v>
      </c>
      <c r="B1116" s="34">
        <v>613447</v>
      </c>
      <c r="C1116" s="35">
        <v>41143</v>
      </c>
      <c r="D1116" s="41">
        <v>85</v>
      </c>
      <c r="E1116" s="41">
        <v>1</v>
      </c>
      <c r="F1116" s="41">
        <v>149</v>
      </c>
      <c r="G1116" s="41">
        <v>0</v>
      </c>
      <c r="H1116" s="41">
        <v>0</v>
      </c>
    </row>
    <row r="1117" spans="1:8" x14ac:dyDescent="0.25">
      <c r="A1117" s="40" t="s">
        <v>34</v>
      </c>
      <c r="B1117" s="34">
        <v>613447</v>
      </c>
      <c r="C1117" s="35">
        <v>41143</v>
      </c>
      <c r="D1117" s="41">
        <v>465</v>
      </c>
      <c r="E1117" s="41">
        <v>0</v>
      </c>
      <c r="F1117" s="41">
        <v>0</v>
      </c>
      <c r="G1117" s="41">
        <v>0</v>
      </c>
      <c r="H1117" s="41">
        <v>0</v>
      </c>
    </row>
    <row r="1118" spans="1:8" x14ac:dyDescent="0.25">
      <c r="A1118" s="40" t="s">
        <v>34</v>
      </c>
      <c r="B1118" s="34">
        <v>613447</v>
      </c>
      <c r="C1118" s="35">
        <v>41143</v>
      </c>
      <c r="D1118" s="41">
        <v>466</v>
      </c>
      <c r="E1118" s="41">
        <v>13</v>
      </c>
      <c r="F1118" s="41">
        <v>2890</v>
      </c>
      <c r="G1118" s="41">
        <v>0</v>
      </c>
      <c r="H1118" s="41">
        <v>59</v>
      </c>
    </row>
    <row r="1119" spans="1:8" x14ac:dyDescent="0.25">
      <c r="A1119" s="40" t="s">
        <v>34</v>
      </c>
      <c r="B1119" s="34">
        <v>613447</v>
      </c>
      <c r="C1119" s="35">
        <v>41143</v>
      </c>
      <c r="D1119" s="41">
        <v>477</v>
      </c>
      <c r="E1119" s="41">
        <v>26</v>
      </c>
      <c r="F1119" s="41">
        <v>8579</v>
      </c>
      <c r="G1119" s="41">
        <v>3</v>
      </c>
      <c r="H1119" s="41">
        <v>703</v>
      </c>
    </row>
    <row r="1120" spans="1:8" x14ac:dyDescent="0.25">
      <c r="A1120" s="40" t="s">
        <v>34</v>
      </c>
      <c r="B1120" s="34">
        <v>613447</v>
      </c>
      <c r="C1120" s="35">
        <v>41143</v>
      </c>
      <c r="D1120" s="41">
        <v>478</v>
      </c>
      <c r="E1120" s="41">
        <v>4</v>
      </c>
      <c r="F1120" s="41">
        <v>1232</v>
      </c>
      <c r="G1120" s="41">
        <v>0</v>
      </c>
      <c r="H1120" s="41">
        <v>0</v>
      </c>
    </row>
    <row r="1121" spans="1:8" x14ac:dyDescent="0.25">
      <c r="A1121" s="40" t="s">
        <v>34</v>
      </c>
      <c r="B1121" s="34">
        <v>613447</v>
      </c>
      <c r="C1121" s="35">
        <v>41143</v>
      </c>
      <c r="D1121" s="41">
        <v>480</v>
      </c>
      <c r="E1121" s="41">
        <v>6</v>
      </c>
      <c r="F1121" s="41">
        <v>2683</v>
      </c>
      <c r="G1121" s="41">
        <v>0</v>
      </c>
      <c r="H1121" s="41">
        <v>53</v>
      </c>
    </row>
    <row r="1122" spans="1:8" x14ac:dyDescent="0.25">
      <c r="A1122" s="40" t="s">
        <v>34</v>
      </c>
      <c r="B1122" s="34">
        <v>613447</v>
      </c>
      <c r="C1122" s="35">
        <v>41143</v>
      </c>
      <c r="D1122" s="41">
        <v>481</v>
      </c>
      <c r="E1122" s="41">
        <v>1</v>
      </c>
      <c r="F1122" s="41">
        <v>252</v>
      </c>
      <c r="G1122" s="41">
        <v>0</v>
      </c>
      <c r="H1122" s="41">
        <v>58</v>
      </c>
    </row>
    <row r="1123" spans="1:8" x14ac:dyDescent="0.25">
      <c r="A1123" s="40" t="s">
        <v>34</v>
      </c>
      <c r="B1123" s="34">
        <v>613447</v>
      </c>
      <c r="C1123" s="35">
        <v>41143</v>
      </c>
      <c r="D1123" s="41">
        <v>482</v>
      </c>
      <c r="E1123" s="41">
        <v>8</v>
      </c>
      <c r="F1123" s="41">
        <v>1904</v>
      </c>
      <c r="G1123" s="41">
        <v>0</v>
      </c>
      <c r="H1123" s="41">
        <v>76</v>
      </c>
    </row>
    <row r="1124" spans="1:8" x14ac:dyDescent="0.25">
      <c r="A1124" s="40" t="s">
        <v>34</v>
      </c>
      <c r="B1124" s="34">
        <v>613447</v>
      </c>
      <c r="C1124" s="35">
        <v>41143</v>
      </c>
      <c r="D1124" s="41">
        <v>790</v>
      </c>
      <c r="E1124" s="41">
        <v>0</v>
      </c>
      <c r="F1124" s="41">
        <v>0</v>
      </c>
      <c r="G1124" s="41">
        <v>0</v>
      </c>
      <c r="H1124" s="41">
        <v>0</v>
      </c>
    </row>
    <row r="1125" spans="1:8" x14ac:dyDescent="0.25">
      <c r="A1125" s="40" t="s">
        <v>34</v>
      </c>
      <c r="B1125" s="34">
        <v>613447</v>
      </c>
      <c r="C1125" s="35">
        <v>41144</v>
      </c>
      <c r="D1125" s="41">
        <v>85</v>
      </c>
      <c r="E1125" s="41">
        <v>0</v>
      </c>
      <c r="F1125" s="41">
        <v>0</v>
      </c>
      <c r="G1125" s="41">
        <v>0</v>
      </c>
      <c r="H1125" s="41">
        <v>0</v>
      </c>
    </row>
    <row r="1126" spans="1:8" x14ac:dyDescent="0.25">
      <c r="A1126" s="40" t="s">
        <v>34</v>
      </c>
      <c r="B1126" s="34">
        <v>613447</v>
      </c>
      <c r="C1126" s="35">
        <v>41144</v>
      </c>
      <c r="D1126" s="41">
        <v>465</v>
      </c>
      <c r="E1126" s="41">
        <v>0</v>
      </c>
      <c r="F1126" s="41">
        <v>0</v>
      </c>
      <c r="G1126" s="41">
        <v>0</v>
      </c>
      <c r="H1126" s="41">
        <v>0</v>
      </c>
    </row>
    <row r="1127" spans="1:8" x14ac:dyDescent="0.25">
      <c r="A1127" s="40" t="s">
        <v>34</v>
      </c>
      <c r="B1127" s="34">
        <v>613447</v>
      </c>
      <c r="C1127" s="35">
        <v>41144</v>
      </c>
      <c r="D1127" s="41">
        <v>466</v>
      </c>
      <c r="E1127" s="41">
        <v>28</v>
      </c>
      <c r="F1127" s="41">
        <v>8775</v>
      </c>
      <c r="G1127" s="41">
        <v>10</v>
      </c>
      <c r="H1127" s="41">
        <v>565</v>
      </c>
    </row>
    <row r="1128" spans="1:8" x14ac:dyDescent="0.25">
      <c r="A1128" s="40" t="s">
        <v>34</v>
      </c>
      <c r="B1128" s="34">
        <v>613447</v>
      </c>
      <c r="C1128" s="35">
        <v>41144</v>
      </c>
      <c r="D1128" s="41">
        <v>477</v>
      </c>
      <c r="E1128" s="41">
        <v>14</v>
      </c>
      <c r="F1128" s="41">
        <v>3239</v>
      </c>
      <c r="G1128" s="41">
        <v>0</v>
      </c>
      <c r="H1128" s="41">
        <v>121</v>
      </c>
    </row>
    <row r="1129" spans="1:8" x14ac:dyDescent="0.25">
      <c r="A1129" s="40" t="s">
        <v>34</v>
      </c>
      <c r="B1129" s="34">
        <v>613447</v>
      </c>
      <c r="C1129" s="35">
        <v>41144</v>
      </c>
      <c r="D1129" s="41">
        <v>478</v>
      </c>
      <c r="E1129" s="41">
        <v>4</v>
      </c>
      <c r="F1129" s="41">
        <v>1276</v>
      </c>
      <c r="G1129" s="41">
        <v>0</v>
      </c>
      <c r="H1129" s="41">
        <v>24</v>
      </c>
    </row>
    <row r="1130" spans="1:8" x14ac:dyDescent="0.25">
      <c r="A1130" s="40" t="s">
        <v>34</v>
      </c>
      <c r="B1130" s="34">
        <v>613447</v>
      </c>
      <c r="C1130" s="35">
        <v>41144</v>
      </c>
      <c r="D1130" s="41">
        <v>480</v>
      </c>
      <c r="E1130" s="41">
        <v>5</v>
      </c>
      <c r="F1130" s="41">
        <v>1244</v>
      </c>
      <c r="G1130" s="41">
        <v>0</v>
      </c>
      <c r="H1130" s="41">
        <v>130</v>
      </c>
    </row>
    <row r="1131" spans="1:8" x14ac:dyDescent="0.25">
      <c r="A1131" s="40" t="s">
        <v>34</v>
      </c>
      <c r="B1131" s="34">
        <v>613447</v>
      </c>
      <c r="C1131" s="35">
        <v>41144</v>
      </c>
      <c r="D1131" s="41">
        <v>481</v>
      </c>
      <c r="E1131" s="41">
        <v>0</v>
      </c>
      <c r="F1131" s="41">
        <v>0</v>
      </c>
      <c r="G1131" s="41">
        <v>0</v>
      </c>
      <c r="H1131" s="41">
        <v>0</v>
      </c>
    </row>
    <row r="1132" spans="1:8" x14ac:dyDescent="0.25">
      <c r="A1132" s="40" t="s">
        <v>34</v>
      </c>
      <c r="B1132" s="34">
        <v>613447</v>
      </c>
      <c r="C1132" s="35">
        <v>41144</v>
      </c>
      <c r="D1132" s="41">
        <v>482</v>
      </c>
      <c r="E1132" s="41">
        <v>11</v>
      </c>
      <c r="F1132" s="41">
        <v>2736</v>
      </c>
      <c r="G1132" s="41">
        <v>0</v>
      </c>
      <c r="H1132" s="41">
        <v>94</v>
      </c>
    </row>
    <row r="1133" spans="1:8" x14ac:dyDescent="0.25">
      <c r="A1133" s="40" t="s">
        <v>34</v>
      </c>
      <c r="B1133" s="34">
        <v>613447</v>
      </c>
      <c r="C1133" s="35">
        <v>41144</v>
      </c>
      <c r="D1133" s="41">
        <v>790</v>
      </c>
      <c r="E1133" s="41">
        <v>0</v>
      </c>
      <c r="F1133" s="41">
        <v>0</v>
      </c>
      <c r="G1133" s="41">
        <v>0</v>
      </c>
      <c r="H1133" s="41">
        <v>0</v>
      </c>
    </row>
    <row r="1134" spans="1:8" x14ac:dyDescent="0.25">
      <c r="A1134" s="40" t="s">
        <v>34</v>
      </c>
      <c r="B1134" s="34">
        <v>613447</v>
      </c>
      <c r="C1134" s="35">
        <v>41145</v>
      </c>
      <c r="D1134" s="41">
        <v>85</v>
      </c>
      <c r="E1134" s="41">
        <v>0</v>
      </c>
      <c r="F1134" s="41">
        <v>0</v>
      </c>
      <c r="G1134" s="41">
        <v>0</v>
      </c>
      <c r="H1134" s="41">
        <v>0</v>
      </c>
    </row>
    <row r="1135" spans="1:8" x14ac:dyDescent="0.25">
      <c r="A1135" s="40" t="s">
        <v>34</v>
      </c>
      <c r="B1135" s="34">
        <v>613447</v>
      </c>
      <c r="C1135" s="35">
        <v>41145</v>
      </c>
      <c r="D1135" s="41">
        <v>465</v>
      </c>
      <c r="E1135" s="41">
        <v>0</v>
      </c>
      <c r="F1135" s="41">
        <v>0</v>
      </c>
      <c r="G1135" s="41">
        <v>0</v>
      </c>
      <c r="H1135" s="41">
        <v>0</v>
      </c>
    </row>
    <row r="1136" spans="1:8" x14ac:dyDescent="0.25">
      <c r="A1136" s="40" t="s">
        <v>34</v>
      </c>
      <c r="B1136" s="34">
        <v>613447</v>
      </c>
      <c r="C1136" s="35">
        <v>41145</v>
      </c>
      <c r="D1136" s="41">
        <v>466</v>
      </c>
      <c r="E1136" s="41">
        <v>23</v>
      </c>
      <c r="F1136" s="41">
        <v>7777</v>
      </c>
      <c r="G1136" s="41">
        <v>0</v>
      </c>
      <c r="H1136" s="41">
        <v>333</v>
      </c>
    </row>
    <row r="1137" spans="1:8" x14ac:dyDescent="0.25">
      <c r="A1137" s="40" t="s">
        <v>34</v>
      </c>
      <c r="B1137" s="34">
        <v>613447</v>
      </c>
      <c r="C1137" s="35">
        <v>41145</v>
      </c>
      <c r="D1137" s="41">
        <v>477</v>
      </c>
      <c r="E1137" s="41">
        <v>9</v>
      </c>
      <c r="F1137" s="41">
        <v>3305</v>
      </c>
      <c r="G1137" s="41">
        <v>0</v>
      </c>
      <c r="H1137" s="41">
        <v>48</v>
      </c>
    </row>
    <row r="1138" spans="1:8" x14ac:dyDescent="0.25">
      <c r="A1138" s="40" t="s">
        <v>34</v>
      </c>
      <c r="B1138" s="34">
        <v>613447</v>
      </c>
      <c r="C1138" s="35">
        <v>41145</v>
      </c>
      <c r="D1138" s="41">
        <v>478</v>
      </c>
      <c r="E1138" s="41">
        <v>1</v>
      </c>
      <c r="F1138" s="41">
        <v>219</v>
      </c>
      <c r="G1138" s="41">
        <v>0</v>
      </c>
      <c r="H1138" s="41">
        <v>0</v>
      </c>
    </row>
    <row r="1139" spans="1:8" x14ac:dyDescent="0.25">
      <c r="A1139" s="40" t="s">
        <v>34</v>
      </c>
      <c r="B1139" s="34">
        <v>613447</v>
      </c>
      <c r="C1139" s="35">
        <v>41145</v>
      </c>
      <c r="D1139" s="41">
        <v>480</v>
      </c>
      <c r="E1139" s="41">
        <v>2</v>
      </c>
      <c r="F1139" s="41">
        <v>739</v>
      </c>
      <c r="G1139" s="41">
        <v>0</v>
      </c>
      <c r="H1139" s="41">
        <v>0</v>
      </c>
    </row>
    <row r="1140" spans="1:8" x14ac:dyDescent="0.25">
      <c r="A1140" s="40" t="s">
        <v>34</v>
      </c>
      <c r="B1140" s="34">
        <v>613447</v>
      </c>
      <c r="C1140" s="35">
        <v>41145</v>
      </c>
      <c r="D1140" s="41">
        <v>481</v>
      </c>
      <c r="E1140" s="41">
        <v>0</v>
      </c>
      <c r="F1140" s="41">
        <v>0</v>
      </c>
      <c r="G1140" s="41">
        <v>0</v>
      </c>
      <c r="H1140" s="41">
        <v>0</v>
      </c>
    </row>
    <row r="1141" spans="1:8" x14ac:dyDescent="0.25">
      <c r="A1141" s="40" t="s">
        <v>34</v>
      </c>
      <c r="B1141" s="34">
        <v>613447</v>
      </c>
      <c r="C1141" s="35">
        <v>41145</v>
      </c>
      <c r="D1141" s="41">
        <v>482</v>
      </c>
      <c r="E1141" s="41">
        <v>14</v>
      </c>
      <c r="F1141" s="41">
        <v>4432</v>
      </c>
      <c r="G1141" s="41">
        <v>38</v>
      </c>
      <c r="H1141" s="41">
        <v>50</v>
      </c>
    </row>
    <row r="1142" spans="1:8" x14ac:dyDescent="0.25">
      <c r="A1142" s="40" t="s">
        <v>34</v>
      </c>
      <c r="B1142" s="34">
        <v>613447</v>
      </c>
      <c r="C1142" s="35">
        <v>41145</v>
      </c>
      <c r="D1142" s="41">
        <v>790</v>
      </c>
      <c r="E1142" s="41">
        <v>0</v>
      </c>
      <c r="F1142" s="41">
        <v>0</v>
      </c>
      <c r="G1142" s="41">
        <v>0</v>
      </c>
      <c r="H1142" s="41">
        <v>0</v>
      </c>
    </row>
    <row r="1143" spans="1:8" x14ac:dyDescent="0.25">
      <c r="A1143" s="40" t="s">
        <v>34</v>
      </c>
      <c r="B1143" s="34">
        <v>613447</v>
      </c>
      <c r="C1143" s="35">
        <v>41146</v>
      </c>
      <c r="D1143" s="41">
        <v>85</v>
      </c>
      <c r="E1143" s="41">
        <v>0</v>
      </c>
      <c r="F1143" s="41">
        <v>0</v>
      </c>
      <c r="G1143" s="41">
        <v>0</v>
      </c>
      <c r="H1143" s="41">
        <v>0</v>
      </c>
    </row>
    <row r="1144" spans="1:8" x14ac:dyDescent="0.25">
      <c r="A1144" s="40" t="s">
        <v>34</v>
      </c>
      <c r="B1144" s="34">
        <v>613447</v>
      </c>
      <c r="C1144" s="35">
        <v>41146</v>
      </c>
      <c r="D1144" s="41">
        <v>465</v>
      </c>
      <c r="E1144" s="41">
        <v>0</v>
      </c>
      <c r="F1144" s="41">
        <v>0</v>
      </c>
      <c r="G1144" s="41">
        <v>0</v>
      </c>
      <c r="H1144" s="41">
        <v>0</v>
      </c>
    </row>
    <row r="1145" spans="1:8" x14ac:dyDescent="0.25">
      <c r="A1145" s="40" t="s">
        <v>34</v>
      </c>
      <c r="B1145" s="34">
        <v>613447</v>
      </c>
      <c r="C1145" s="35">
        <v>41146</v>
      </c>
      <c r="D1145" s="41">
        <v>466</v>
      </c>
      <c r="E1145" s="41">
        <v>3</v>
      </c>
      <c r="F1145" s="41">
        <v>888</v>
      </c>
      <c r="G1145" s="41">
        <v>0</v>
      </c>
      <c r="H1145" s="41">
        <v>0</v>
      </c>
    </row>
    <row r="1146" spans="1:8" x14ac:dyDescent="0.25">
      <c r="A1146" s="40" t="s">
        <v>34</v>
      </c>
      <c r="B1146" s="34">
        <v>613447</v>
      </c>
      <c r="C1146" s="35">
        <v>41146</v>
      </c>
      <c r="D1146" s="41">
        <v>467</v>
      </c>
      <c r="E1146" s="41">
        <v>0</v>
      </c>
      <c r="F1146" s="41">
        <v>0</v>
      </c>
      <c r="G1146" s="41">
        <v>0</v>
      </c>
      <c r="H1146" s="41">
        <v>0</v>
      </c>
    </row>
    <row r="1147" spans="1:8" x14ac:dyDescent="0.25">
      <c r="A1147" s="40" t="s">
        <v>34</v>
      </c>
      <c r="B1147" s="34">
        <v>613447</v>
      </c>
      <c r="C1147" s="35">
        <v>41146</v>
      </c>
      <c r="D1147" s="41">
        <v>477</v>
      </c>
      <c r="E1147" s="41">
        <v>44</v>
      </c>
      <c r="F1147" s="41">
        <v>9636</v>
      </c>
      <c r="G1147" s="41">
        <v>0</v>
      </c>
      <c r="H1147" s="41">
        <v>0</v>
      </c>
    </row>
    <row r="1148" spans="1:8" x14ac:dyDescent="0.25">
      <c r="A1148" s="40" t="s">
        <v>34</v>
      </c>
      <c r="B1148" s="34">
        <v>613447</v>
      </c>
      <c r="C1148" s="35">
        <v>41146</v>
      </c>
      <c r="D1148" s="41">
        <v>478</v>
      </c>
      <c r="E1148" s="41">
        <v>9</v>
      </c>
      <c r="F1148" s="41">
        <v>2612</v>
      </c>
      <c r="G1148" s="41">
        <v>0</v>
      </c>
      <c r="H1148" s="41">
        <v>0</v>
      </c>
    </row>
    <row r="1149" spans="1:8" x14ac:dyDescent="0.25">
      <c r="A1149" s="40" t="s">
        <v>34</v>
      </c>
      <c r="B1149" s="34">
        <v>613447</v>
      </c>
      <c r="C1149" s="35">
        <v>41146</v>
      </c>
      <c r="D1149" s="41">
        <v>480</v>
      </c>
      <c r="E1149" s="41">
        <v>14</v>
      </c>
      <c r="F1149" s="41">
        <v>3501</v>
      </c>
      <c r="G1149" s="41">
        <v>0</v>
      </c>
      <c r="H1149" s="41">
        <v>0</v>
      </c>
    </row>
    <row r="1150" spans="1:8" x14ac:dyDescent="0.25">
      <c r="A1150" s="40" t="s">
        <v>34</v>
      </c>
      <c r="B1150" s="34">
        <v>613447</v>
      </c>
      <c r="C1150" s="35">
        <v>41146</v>
      </c>
      <c r="D1150" s="41">
        <v>481</v>
      </c>
      <c r="E1150" s="41">
        <v>0</v>
      </c>
      <c r="F1150" s="41">
        <v>0</v>
      </c>
      <c r="G1150" s="41">
        <v>0</v>
      </c>
      <c r="H1150" s="41">
        <v>0</v>
      </c>
    </row>
    <row r="1151" spans="1:8" x14ac:dyDescent="0.25">
      <c r="A1151" s="40" t="s">
        <v>34</v>
      </c>
      <c r="B1151" s="34">
        <v>613447</v>
      </c>
      <c r="C1151" s="35">
        <v>41146</v>
      </c>
      <c r="D1151" s="41">
        <v>482</v>
      </c>
      <c r="E1151" s="41">
        <v>16</v>
      </c>
      <c r="F1151" s="41">
        <v>3939</v>
      </c>
      <c r="G1151" s="41">
        <v>4</v>
      </c>
      <c r="H1151" s="41">
        <v>0</v>
      </c>
    </row>
    <row r="1152" spans="1:8" x14ac:dyDescent="0.25">
      <c r="A1152" s="40" t="s">
        <v>34</v>
      </c>
      <c r="B1152" s="34">
        <v>613447</v>
      </c>
      <c r="C1152" s="35">
        <v>41146</v>
      </c>
      <c r="D1152" s="41">
        <v>790</v>
      </c>
      <c r="E1152" s="41">
        <v>0</v>
      </c>
      <c r="F1152" s="41">
        <v>0</v>
      </c>
      <c r="G1152" s="41">
        <v>0</v>
      </c>
      <c r="H1152" s="41">
        <v>0</v>
      </c>
    </row>
    <row r="1153" spans="1:8" x14ac:dyDescent="0.25">
      <c r="A1153" s="40" t="s">
        <v>34</v>
      </c>
      <c r="B1153" s="34">
        <v>613447</v>
      </c>
      <c r="C1153" s="35">
        <v>41148</v>
      </c>
      <c r="D1153" s="41">
        <v>85</v>
      </c>
      <c r="E1153" s="41">
        <v>0</v>
      </c>
      <c r="F1153" s="41">
        <v>0</v>
      </c>
      <c r="G1153" s="41">
        <v>0</v>
      </c>
      <c r="H1153" s="41">
        <v>0</v>
      </c>
    </row>
    <row r="1154" spans="1:8" x14ac:dyDescent="0.25">
      <c r="A1154" s="40" t="s">
        <v>34</v>
      </c>
      <c r="B1154" s="34">
        <v>613447</v>
      </c>
      <c r="C1154" s="35">
        <v>41148</v>
      </c>
      <c r="D1154" s="41">
        <v>465</v>
      </c>
      <c r="E1154" s="41">
        <v>0</v>
      </c>
      <c r="F1154" s="41">
        <v>0</v>
      </c>
      <c r="G1154" s="41">
        <v>0</v>
      </c>
      <c r="H1154" s="41">
        <v>0</v>
      </c>
    </row>
    <row r="1155" spans="1:8" x14ac:dyDescent="0.25">
      <c r="A1155" s="40" t="s">
        <v>34</v>
      </c>
      <c r="B1155" s="34">
        <v>613447</v>
      </c>
      <c r="C1155" s="35">
        <v>41148</v>
      </c>
      <c r="D1155" s="41">
        <v>466</v>
      </c>
      <c r="E1155" s="41">
        <v>3</v>
      </c>
      <c r="F1155" s="41">
        <v>709</v>
      </c>
      <c r="G1155" s="41">
        <v>0</v>
      </c>
      <c r="H1155" s="41">
        <v>0</v>
      </c>
    </row>
    <row r="1156" spans="1:8" x14ac:dyDescent="0.25">
      <c r="A1156" s="40" t="s">
        <v>34</v>
      </c>
      <c r="B1156" s="34">
        <v>613447</v>
      </c>
      <c r="C1156" s="35">
        <v>41148</v>
      </c>
      <c r="D1156" s="41">
        <v>467</v>
      </c>
      <c r="E1156" s="41">
        <v>0</v>
      </c>
      <c r="F1156" s="41">
        <v>0</v>
      </c>
      <c r="G1156" s="41">
        <v>0</v>
      </c>
      <c r="H1156" s="41">
        <v>0</v>
      </c>
    </row>
    <row r="1157" spans="1:8" x14ac:dyDescent="0.25">
      <c r="A1157" s="40" t="s">
        <v>34</v>
      </c>
      <c r="B1157" s="34">
        <v>613447</v>
      </c>
      <c r="C1157" s="35">
        <v>41148</v>
      </c>
      <c r="D1157" s="41">
        <v>477</v>
      </c>
      <c r="E1157" s="41">
        <v>1</v>
      </c>
      <c r="F1157" s="41">
        <v>328</v>
      </c>
      <c r="G1157" s="41">
        <v>0</v>
      </c>
      <c r="H1157" s="41">
        <v>0</v>
      </c>
    </row>
    <row r="1158" spans="1:8" x14ac:dyDescent="0.25">
      <c r="A1158" s="40" t="s">
        <v>34</v>
      </c>
      <c r="B1158" s="34">
        <v>613447</v>
      </c>
      <c r="C1158" s="35">
        <v>41148</v>
      </c>
      <c r="D1158" s="41">
        <v>478</v>
      </c>
      <c r="E1158" s="41">
        <v>66</v>
      </c>
      <c r="F1158" s="41">
        <v>14475</v>
      </c>
      <c r="G1158" s="41">
        <v>9</v>
      </c>
      <c r="H1158" s="41">
        <v>375</v>
      </c>
    </row>
    <row r="1159" spans="1:8" x14ac:dyDescent="0.25">
      <c r="A1159" s="40" t="s">
        <v>34</v>
      </c>
      <c r="B1159" s="34">
        <v>613447</v>
      </c>
      <c r="C1159" s="35">
        <v>41148</v>
      </c>
      <c r="D1159" s="41">
        <v>480</v>
      </c>
      <c r="E1159" s="41">
        <v>0</v>
      </c>
      <c r="F1159" s="41">
        <v>0</v>
      </c>
      <c r="G1159" s="41">
        <v>0</v>
      </c>
      <c r="H1159" s="41">
        <v>0</v>
      </c>
    </row>
    <row r="1160" spans="1:8" x14ac:dyDescent="0.25">
      <c r="A1160" s="40" t="s">
        <v>34</v>
      </c>
      <c r="B1160" s="34">
        <v>613447</v>
      </c>
      <c r="C1160" s="35">
        <v>41148</v>
      </c>
      <c r="D1160" s="41">
        <v>481</v>
      </c>
      <c r="E1160" s="41">
        <v>0</v>
      </c>
      <c r="F1160" s="41">
        <v>0</v>
      </c>
      <c r="G1160" s="41">
        <v>0</v>
      </c>
      <c r="H1160" s="41">
        <v>0</v>
      </c>
    </row>
    <row r="1161" spans="1:8" x14ac:dyDescent="0.25">
      <c r="A1161" s="40" t="s">
        <v>34</v>
      </c>
      <c r="B1161" s="34">
        <v>613447</v>
      </c>
      <c r="C1161" s="35">
        <v>41148</v>
      </c>
      <c r="D1161" s="41">
        <v>482</v>
      </c>
      <c r="E1161" s="41">
        <v>16</v>
      </c>
      <c r="F1161" s="41">
        <v>3354</v>
      </c>
      <c r="G1161" s="41">
        <v>0</v>
      </c>
      <c r="H1161" s="41">
        <v>119</v>
      </c>
    </row>
    <row r="1162" spans="1:8" x14ac:dyDescent="0.25">
      <c r="A1162" s="40" t="s">
        <v>34</v>
      </c>
      <c r="B1162" s="34">
        <v>613447</v>
      </c>
      <c r="C1162" s="35">
        <v>41148</v>
      </c>
      <c r="D1162" s="41">
        <v>790</v>
      </c>
      <c r="E1162" s="41">
        <v>0</v>
      </c>
      <c r="F1162" s="41">
        <v>0</v>
      </c>
      <c r="G1162" s="41">
        <v>0</v>
      </c>
      <c r="H1162" s="41">
        <v>0</v>
      </c>
    </row>
    <row r="1163" spans="1:8" x14ac:dyDescent="0.25">
      <c r="A1163" s="40" t="s">
        <v>34</v>
      </c>
      <c r="B1163" s="34">
        <v>613447</v>
      </c>
      <c r="C1163" s="35">
        <v>41149</v>
      </c>
      <c r="D1163" s="41">
        <v>85</v>
      </c>
      <c r="E1163" s="41">
        <v>0</v>
      </c>
      <c r="F1163" s="41">
        <v>0</v>
      </c>
      <c r="G1163" s="41">
        <v>0</v>
      </c>
      <c r="H1163" s="41">
        <v>0</v>
      </c>
    </row>
    <row r="1164" spans="1:8" x14ac:dyDescent="0.25">
      <c r="A1164" s="40" t="s">
        <v>34</v>
      </c>
      <c r="B1164" s="34">
        <v>613447</v>
      </c>
      <c r="C1164" s="35">
        <v>41149</v>
      </c>
      <c r="D1164" s="41">
        <v>465</v>
      </c>
      <c r="E1164" s="41">
        <v>0</v>
      </c>
      <c r="F1164" s="41">
        <v>0</v>
      </c>
      <c r="G1164" s="41">
        <v>0</v>
      </c>
      <c r="H1164" s="41">
        <v>0</v>
      </c>
    </row>
    <row r="1165" spans="1:8" x14ac:dyDescent="0.25">
      <c r="A1165" s="40" t="s">
        <v>34</v>
      </c>
      <c r="B1165" s="34">
        <v>613447</v>
      </c>
      <c r="C1165" s="35">
        <v>41149</v>
      </c>
      <c r="D1165" s="41">
        <v>466</v>
      </c>
      <c r="E1165" s="41">
        <v>2</v>
      </c>
      <c r="F1165" s="41">
        <v>1121</v>
      </c>
      <c r="G1165" s="41">
        <v>0</v>
      </c>
      <c r="H1165" s="41">
        <v>0</v>
      </c>
    </row>
    <row r="1166" spans="1:8" x14ac:dyDescent="0.25">
      <c r="A1166" s="40" t="s">
        <v>34</v>
      </c>
      <c r="B1166" s="34">
        <v>613447</v>
      </c>
      <c r="C1166" s="35">
        <v>41149</v>
      </c>
      <c r="D1166" s="41">
        <v>467</v>
      </c>
      <c r="E1166" s="41">
        <v>0</v>
      </c>
      <c r="F1166" s="41">
        <v>0</v>
      </c>
      <c r="G1166" s="41">
        <v>0</v>
      </c>
      <c r="H1166" s="41">
        <v>0</v>
      </c>
    </row>
    <row r="1167" spans="1:8" x14ac:dyDescent="0.25">
      <c r="A1167" s="40" t="s">
        <v>34</v>
      </c>
      <c r="B1167" s="34">
        <v>613447</v>
      </c>
      <c r="C1167" s="35">
        <v>41149</v>
      </c>
      <c r="D1167" s="41">
        <v>477</v>
      </c>
      <c r="E1167" s="41">
        <v>2</v>
      </c>
      <c r="F1167" s="41">
        <v>85</v>
      </c>
      <c r="G1167" s="41">
        <v>0</v>
      </c>
      <c r="H1167" s="41">
        <v>0</v>
      </c>
    </row>
    <row r="1168" spans="1:8" x14ac:dyDescent="0.25">
      <c r="A1168" s="40" t="s">
        <v>34</v>
      </c>
      <c r="B1168" s="34">
        <v>613447</v>
      </c>
      <c r="C1168" s="35">
        <v>41149</v>
      </c>
      <c r="D1168" s="41">
        <v>478</v>
      </c>
      <c r="E1168" s="41">
        <v>46</v>
      </c>
      <c r="F1168" s="41">
        <v>12525</v>
      </c>
      <c r="G1168" s="41">
        <v>0</v>
      </c>
      <c r="H1168" s="41">
        <v>180</v>
      </c>
    </row>
    <row r="1169" spans="1:8" x14ac:dyDescent="0.25">
      <c r="A1169" s="40" t="s">
        <v>34</v>
      </c>
      <c r="B1169" s="34">
        <v>613447</v>
      </c>
      <c r="C1169" s="35">
        <v>41149</v>
      </c>
      <c r="D1169" s="41">
        <v>480</v>
      </c>
      <c r="E1169" s="41">
        <v>2</v>
      </c>
      <c r="F1169" s="41">
        <v>300</v>
      </c>
      <c r="G1169" s="41">
        <v>0</v>
      </c>
      <c r="H1169" s="41">
        <v>0</v>
      </c>
    </row>
    <row r="1170" spans="1:8" x14ac:dyDescent="0.25">
      <c r="A1170" s="40" t="s">
        <v>34</v>
      </c>
      <c r="B1170" s="34">
        <v>613447</v>
      </c>
      <c r="C1170" s="35">
        <v>41149</v>
      </c>
      <c r="D1170" s="41">
        <v>481</v>
      </c>
      <c r="E1170" s="41">
        <v>0</v>
      </c>
      <c r="F1170" s="41">
        <v>0</v>
      </c>
      <c r="G1170" s="41">
        <v>0</v>
      </c>
      <c r="H1170" s="41">
        <v>0</v>
      </c>
    </row>
    <row r="1171" spans="1:8" x14ac:dyDescent="0.25">
      <c r="A1171" s="40" t="s">
        <v>34</v>
      </c>
      <c r="B1171" s="34">
        <v>613447</v>
      </c>
      <c r="C1171" s="35">
        <v>41149</v>
      </c>
      <c r="D1171" s="41">
        <v>482</v>
      </c>
      <c r="E1171" s="41">
        <v>16</v>
      </c>
      <c r="F1171" s="41">
        <v>5682</v>
      </c>
      <c r="G1171" s="41">
        <v>0</v>
      </c>
      <c r="H1171" s="41">
        <v>118</v>
      </c>
    </row>
    <row r="1172" spans="1:8" x14ac:dyDescent="0.25">
      <c r="A1172" s="40" t="s">
        <v>34</v>
      </c>
      <c r="B1172" s="34">
        <v>613447</v>
      </c>
      <c r="C1172" s="35">
        <v>41149</v>
      </c>
      <c r="D1172" s="41">
        <v>790</v>
      </c>
      <c r="E1172" s="41">
        <v>0</v>
      </c>
      <c r="F1172" s="41">
        <v>0</v>
      </c>
      <c r="G1172" s="41">
        <v>0</v>
      </c>
      <c r="H1172" s="41">
        <v>0</v>
      </c>
    </row>
    <row r="1173" spans="1:8" x14ac:dyDescent="0.25">
      <c r="A1173" s="40" t="s">
        <v>34</v>
      </c>
      <c r="B1173" s="34">
        <v>613447</v>
      </c>
      <c r="C1173" s="35">
        <v>41150</v>
      </c>
      <c r="D1173" s="41">
        <v>85</v>
      </c>
      <c r="E1173" s="41">
        <v>0</v>
      </c>
      <c r="F1173" s="41">
        <v>0</v>
      </c>
      <c r="G1173" s="41">
        <v>0</v>
      </c>
      <c r="H1173" s="41">
        <v>0</v>
      </c>
    </row>
    <row r="1174" spans="1:8" x14ac:dyDescent="0.25">
      <c r="A1174" s="40" t="s">
        <v>34</v>
      </c>
      <c r="B1174" s="34">
        <v>613447</v>
      </c>
      <c r="C1174" s="35">
        <v>41150</v>
      </c>
      <c r="D1174" s="41">
        <v>465</v>
      </c>
      <c r="E1174" s="41">
        <v>0</v>
      </c>
      <c r="F1174" s="41">
        <v>0</v>
      </c>
      <c r="G1174" s="41">
        <v>0</v>
      </c>
      <c r="H1174" s="41">
        <v>0</v>
      </c>
    </row>
    <row r="1175" spans="1:8" x14ac:dyDescent="0.25">
      <c r="A1175" s="40" t="s">
        <v>34</v>
      </c>
      <c r="B1175" s="34">
        <v>613447</v>
      </c>
      <c r="C1175" s="35">
        <v>41150</v>
      </c>
      <c r="D1175" s="41">
        <v>466</v>
      </c>
      <c r="E1175" s="41">
        <v>1</v>
      </c>
      <c r="F1175" s="41">
        <v>318</v>
      </c>
      <c r="G1175" s="41">
        <v>0</v>
      </c>
      <c r="H1175" s="41">
        <v>44</v>
      </c>
    </row>
    <row r="1176" spans="1:8" x14ac:dyDescent="0.25">
      <c r="A1176" s="40" t="s">
        <v>34</v>
      </c>
      <c r="B1176" s="34">
        <v>613447</v>
      </c>
      <c r="C1176" s="35">
        <v>41150</v>
      </c>
      <c r="D1176" s="41">
        <v>467</v>
      </c>
      <c r="E1176" s="41">
        <v>0</v>
      </c>
      <c r="F1176" s="41">
        <v>0</v>
      </c>
      <c r="G1176" s="41">
        <v>0</v>
      </c>
      <c r="H1176" s="41">
        <v>0</v>
      </c>
    </row>
    <row r="1177" spans="1:8" x14ac:dyDescent="0.25">
      <c r="A1177" s="40" t="s">
        <v>34</v>
      </c>
      <c r="B1177" s="34">
        <v>613447</v>
      </c>
      <c r="C1177" s="35">
        <v>41150</v>
      </c>
      <c r="D1177" s="41">
        <v>477</v>
      </c>
      <c r="E1177" s="41">
        <v>3</v>
      </c>
      <c r="F1177" s="41">
        <v>641</v>
      </c>
      <c r="G1177" s="41">
        <v>2</v>
      </c>
      <c r="H1177" s="41">
        <v>44</v>
      </c>
    </row>
    <row r="1178" spans="1:8" x14ac:dyDescent="0.25">
      <c r="A1178" s="40" t="s">
        <v>34</v>
      </c>
      <c r="B1178" s="34">
        <v>613447</v>
      </c>
      <c r="C1178" s="35">
        <v>41150</v>
      </c>
      <c r="D1178" s="41">
        <v>478</v>
      </c>
      <c r="E1178" s="41">
        <v>58</v>
      </c>
      <c r="F1178" s="41">
        <v>16086</v>
      </c>
      <c r="G1178" s="41">
        <v>0</v>
      </c>
      <c r="H1178" s="41">
        <v>960</v>
      </c>
    </row>
    <row r="1179" spans="1:8" x14ac:dyDescent="0.25">
      <c r="A1179" s="40" t="s">
        <v>34</v>
      </c>
      <c r="B1179" s="34">
        <v>613447</v>
      </c>
      <c r="C1179" s="35">
        <v>41150</v>
      </c>
      <c r="D1179" s="41">
        <v>480</v>
      </c>
      <c r="E1179" s="41">
        <v>0</v>
      </c>
      <c r="F1179" s="41">
        <v>0</v>
      </c>
      <c r="G1179" s="41">
        <v>0</v>
      </c>
      <c r="H1179" s="41">
        <v>0</v>
      </c>
    </row>
    <row r="1180" spans="1:8" x14ac:dyDescent="0.25">
      <c r="A1180" s="40" t="s">
        <v>34</v>
      </c>
      <c r="B1180" s="34">
        <v>613447</v>
      </c>
      <c r="C1180" s="35">
        <v>41150</v>
      </c>
      <c r="D1180" s="41">
        <v>481</v>
      </c>
      <c r="E1180" s="41">
        <v>0</v>
      </c>
      <c r="F1180" s="41">
        <v>0</v>
      </c>
      <c r="G1180" s="41">
        <v>0</v>
      </c>
      <c r="H1180" s="41">
        <v>0</v>
      </c>
    </row>
    <row r="1181" spans="1:8" x14ac:dyDescent="0.25">
      <c r="A1181" s="40" t="s">
        <v>34</v>
      </c>
      <c r="B1181" s="34">
        <v>613447</v>
      </c>
      <c r="C1181" s="35">
        <v>41150</v>
      </c>
      <c r="D1181" s="41">
        <v>482</v>
      </c>
      <c r="E1181" s="41">
        <v>4</v>
      </c>
      <c r="F1181" s="41">
        <v>1055</v>
      </c>
      <c r="G1181" s="41">
        <v>0</v>
      </c>
      <c r="H1181" s="41">
        <v>0</v>
      </c>
    </row>
    <row r="1182" spans="1:8" x14ac:dyDescent="0.25">
      <c r="A1182" s="40" t="s">
        <v>34</v>
      </c>
      <c r="B1182" s="34">
        <v>613447</v>
      </c>
      <c r="C1182" s="35">
        <v>41150</v>
      </c>
      <c r="D1182" s="41">
        <v>790</v>
      </c>
      <c r="E1182" s="41">
        <v>0</v>
      </c>
      <c r="F1182" s="41">
        <v>0</v>
      </c>
      <c r="G1182" s="41">
        <v>0</v>
      </c>
      <c r="H1182" s="41">
        <v>0</v>
      </c>
    </row>
    <row r="1183" spans="1:8" x14ac:dyDescent="0.25">
      <c r="A1183" s="40" t="s">
        <v>34</v>
      </c>
      <c r="B1183" s="34">
        <v>613447</v>
      </c>
      <c r="C1183" s="35">
        <v>41151</v>
      </c>
      <c r="D1183" s="41">
        <v>85</v>
      </c>
      <c r="E1183" s="41">
        <v>0</v>
      </c>
      <c r="F1183" s="41">
        <v>0</v>
      </c>
      <c r="G1183" s="41">
        <v>0</v>
      </c>
      <c r="H1183" s="41">
        <v>0</v>
      </c>
    </row>
    <row r="1184" spans="1:8" x14ac:dyDescent="0.25">
      <c r="A1184" s="40" t="s">
        <v>34</v>
      </c>
      <c r="B1184" s="34">
        <v>613447</v>
      </c>
      <c r="C1184" s="35">
        <v>41151</v>
      </c>
      <c r="D1184" s="41">
        <v>465</v>
      </c>
      <c r="E1184" s="41">
        <v>0</v>
      </c>
      <c r="F1184" s="41">
        <v>0</v>
      </c>
      <c r="G1184" s="41">
        <v>0</v>
      </c>
      <c r="H1184" s="41">
        <v>0</v>
      </c>
    </row>
    <row r="1185" spans="1:8" x14ac:dyDescent="0.25">
      <c r="A1185" s="40" t="s">
        <v>34</v>
      </c>
      <c r="B1185" s="34">
        <v>613447</v>
      </c>
      <c r="C1185" s="35">
        <v>41151</v>
      </c>
      <c r="D1185" s="41">
        <v>466</v>
      </c>
      <c r="E1185" s="41">
        <v>0</v>
      </c>
      <c r="F1185" s="41">
        <v>0</v>
      </c>
      <c r="G1185" s="41">
        <v>0</v>
      </c>
      <c r="H1185" s="41">
        <v>0</v>
      </c>
    </row>
    <row r="1186" spans="1:8" x14ac:dyDescent="0.25">
      <c r="A1186" s="40" t="s">
        <v>34</v>
      </c>
      <c r="B1186" s="34">
        <v>613447</v>
      </c>
      <c r="C1186" s="35">
        <v>41151</v>
      </c>
      <c r="D1186" s="41">
        <v>467</v>
      </c>
      <c r="E1186" s="41">
        <v>0</v>
      </c>
      <c r="F1186" s="41">
        <v>0</v>
      </c>
      <c r="G1186" s="41">
        <v>0</v>
      </c>
      <c r="H1186" s="41">
        <v>0</v>
      </c>
    </row>
    <row r="1187" spans="1:8" x14ac:dyDescent="0.25">
      <c r="A1187" s="40" t="s">
        <v>34</v>
      </c>
      <c r="B1187" s="34">
        <v>613447</v>
      </c>
      <c r="C1187" s="35">
        <v>41151</v>
      </c>
      <c r="D1187" s="41">
        <v>477</v>
      </c>
      <c r="E1187" s="41">
        <v>10</v>
      </c>
      <c r="F1187" s="41">
        <v>3305</v>
      </c>
      <c r="G1187" s="41">
        <v>0</v>
      </c>
      <c r="H1187" s="41">
        <v>78</v>
      </c>
    </row>
    <row r="1188" spans="1:8" x14ac:dyDescent="0.25">
      <c r="A1188" s="40" t="s">
        <v>34</v>
      </c>
      <c r="B1188" s="34">
        <v>613447</v>
      </c>
      <c r="C1188" s="35">
        <v>41151</v>
      </c>
      <c r="D1188" s="41">
        <v>478</v>
      </c>
      <c r="E1188" s="41">
        <v>45</v>
      </c>
      <c r="F1188" s="41">
        <v>13220</v>
      </c>
      <c r="G1188" s="41">
        <v>0</v>
      </c>
      <c r="H1188" s="41">
        <v>694</v>
      </c>
    </row>
    <row r="1189" spans="1:8" x14ac:dyDescent="0.25">
      <c r="A1189" s="40" t="s">
        <v>34</v>
      </c>
      <c r="B1189" s="34">
        <v>613447</v>
      </c>
      <c r="C1189" s="35">
        <v>41151</v>
      </c>
      <c r="D1189" s="41">
        <v>480</v>
      </c>
      <c r="E1189" s="41">
        <v>4</v>
      </c>
      <c r="F1189" s="41">
        <v>989</v>
      </c>
      <c r="G1189" s="41">
        <v>0</v>
      </c>
      <c r="H1189" s="41">
        <v>0</v>
      </c>
    </row>
    <row r="1190" spans="1:8" x14ac:dyDescent="0.25">
      <c r="A1190" s="40" t="s">
        <v>34</v>
      </c>
      <c r="B1190" s="34">
        <v>613447</v>
      </c>
      <c r="C1190" s="35">
        <v>41151</v>
      </c>
      <c r="D1190" s="41">
        <v>481</v>
      </c>
      <c r="E1190" s="41">
        <v>0</v>
      </c>
      <c r="F1190" s="41">
        <v>0</v>
      </c>
      <c r="G1190" s="41">
        <v>0</v>
      </c>
      <c r="H1190" s="41">
        <v>0</v>
      </c>
    </row>
    <row r="1191" spans="1:8" x14ac:dyDescent="0.25">
      <c r="A1191" s="40" t="s">
        <v>34</v>
      </c>
      <c r="B1191" s="34">
        <v>613447</v>
      </c>
      <c r="C1191" s="35">
        <v>41151</v>
      </c>
      <c r="D1191" s="41">
        <v>482</v>
      </c>
      <c r="E1191" s="41">
        <v>4</v>
      </c>
      <c r="F1191" s="41">
        <v>731</v>
      </c>
      <c r="G1191" s="41">
        <v>0</v>
      </c>
      <c r="H1191" s="41">
        <v>132</v>
      </c>
    </row>
    <row r="1192" spans="1:8" x14ac:dyDescent="0.25">
      <c r="A1192" s="40" t="s">
        <v>34</v>
      </c>
      <c r="B1192" s="34">
        <v>613447</v>
      </c>
      <c r="C1192" s="35">
        <v>41151</v>
      </c>
      <c r="D1192" s="41">
        <v>790</v>
      </c>
      <c r="E1192" s="41">
        <v>0</v>
      </c>
      <c r="F1192" s="41">
        <v>0</v>
      </c>
      <c r="G1192" s="41">
        <v>0</v>
      </c>
      <c r="H1192" s="41">
        <v>0</v>
      </c>
    </row>
    <row r="1193" spans="1:8" x14ac:dyDescent="0.25">
      <c r="A1193" s="40" t="s">
        <v>34</v>
      </c>
      <c r="B1193" s="34">
        <v>613447</v>
      </c>
      <c r="C1193" s="35">
        <v>41152</v>
      </c>
      <c r="D1193" s="41">
        <v>85</v>
      </c>
      <c r="E1193" s="41">
        <v>0</v>
      </c>
      <c r="F1193" s="41">
        <v>0</v>
      </c>
      <c r="G1193" s="41">
        <v>0</v>
      </c>
      <c r="H1193" s="41">
        <v>0</v>
      </c>
    </row>
    <row r="1194" spans="1:8" x14ac:dyDescent="0.25">
      <c r="A1194" s="40" t="s">
        <v>34</v>
      </c>
      <c r="B1194" s="34">
        <v>613447</v>
      </c>
      <c r="C1194" s="35">
        <v>41152</v>
      </c>
      <c r="D1194" s="41">
        <v>465</v>
      </c>
      <c r="E1194" s="41">
        <v>0</v>
      </c>
      <c r="F1194" s="41">
        <v>0</v>
      </c>
      <c r="G1194" s="41">
        <v>0</v>
      </c>
      <c r="H1194" s="41">
        <v>0</v>
      </c>
    </row>
    <row r="1195" spans="1:8" x14ac:dyDescent="0.25">
      <c r="A1195" s="40" t="s">
        <v>34</v>
      </c>
      <c r="B1195" s="34">
        <v>613447</v>
      </c>
      <c r="C1195" s="35">
        <v>41152</v>
      </c>
      <c r="D1195" s="41">
        <v>466</v>
      </c>
      <c r="E1195" s="41">
        <v>2</v>
      </c>
      <c r="F1195" s="41">
        <v>357</v>
      </c>
      <c r="G1195" s="41">
        <v>0</v>
      </c>
      <c r="H1195" s="41">
        <v>21</v>
      </c>
    </row>
    <row r="1196" spans="1:8" x14ac:dyDescent="0.25">
      <c r="A1196" s="40" t="s">
        <v>34</v>
      </c>
      <c r="B1196" s="34">
        <v>613447</v>
      </c>
      <c r="C1196" s="35">
        <v>41152</v>
      </c>
      <c r="D1196" s="41">
        <v>467</v>
      </c>
      <c r="E1196" s="41">
        <v>0</v>
      </c>
      <c r="F1196" s="41">
        <v>0</v>
      </c>
      <c r="G1196" s="41">
        <v>0</v>
      </c>
      <c r="H1196" s="41">
        <v>0</v>
      </c>
    </row>
    <row r="1197" spans="1:8" x14ac:dyDescent="0.25">
      <c r="A1197" s="40" t="s">
        <v>34</v>
      </c>
      <c r="B1197" s="34">
        <v>613447</v>
      </c>
      <c r="C1197" s="35">
        <v>41152</v>
      </c>
      <c r="D1197" s="41">
        <v>477</v>
      </c>
      <c r="E1197" s="41">
        <v>10</v>
      </c>
      <c r="F1197" s="41">
        <v>3122</v>
      </c>
      <c r="G1197" s="41">
        <v>6</v>
      </c>
      <c r="H1197" s="41">
        <v>88</v>
      </c>
    </row>
    <row r="1198" spans="1:8" x14ac:dyDescent="0.25">
      <c r="A1198" s="40" t="s">
        <v>34</v>
      </c>
      <c r="B1198" s="34">
        <v>613447</v>
      </c>
      <c r="C1198" s="35">
        <v>41152</v>
      </c>
      <c r="D1198" s="41">
        <v>478</v>
      </c>
      <c r="E1198" s="41">
        <v>33</v>
      </c>
      <c r="F1198" s="41">
        <v>10075</v>
      </c>
      <c r="G1198" s="41">
        <v>2</v>
      </c>
      <c r="H1198" s="41">
        <v>209</v>
      </c>
    </row>
    <row r="1199" spans="1:8" x14ac:dyDescent="0.25">
      <c r="A1199" s="40" t="s">
        <v>34</v>
      </c>
      <c r="B1199" s="34">
        <v>613447</v>
      </c>
      <c r="C1199" s="35">
        <v>41152</v>
      </c>
      <c r="D1199" s="41">
        <v>480</v>
      </c>
      <c r="E1199" s="41">
        <v>2</v>
      </c>
      <c r="F1199" s="41">
        <v>264</v>
      </c>
      <c r="G1199" s="41">
        <v>0</v>
      </c>
      <c r="H1199" s="41">
        <v>0</v>
      </c>
    </row>
    <row r="1200" spans="1:8" x14ac:dyDescent="0.25">
      <c r="A1200" s="40" t="s">
        <v>34</v>
      </c>
      <c r="B1200" s="34">
        <v>613447</v>
      </c>
      <c r="C1200" s="35">
        <v>41152</v>
      </c>
      <c r="D1200" s="41">
        <v>481</v>
      </c>
      <c r="E1200" s="41">
        <v>0</v>
      </c>
      <c r="F1200" s="41">
        <v>0</v>
      </c>
      <c r="G1200" s="41">
        <v>0</v>
      </c>
      <c r="H1200" s="41">
        <v>0</v>
      </c>
    </row>
    <row r="1201" spans="1:8" x14ac:dyDescent="0.25">
      <c r="A1201" s="40" t="s">
        <v>34</v>
      </c>
      <c r="B1201" s="34">
        <v>613447</v>
      </c>
      <c r="C1201" s="35">
        <v>41152</v>
      </c>
      <c r="D1201" s="41">
        <v>482</v>
      </c>
      <c r="E1201" s="41">
        <v>7</v>
      </c>
      <c r="F1201" s="41">
        <v>1953</v>
      </c>
      <c r="G1201" s="41">
        <v>0</v>
      </c>
      <c r="H1201" s="41">
        <v>27</v>
      </c>
    </row>
    <row r="1202" spans="1:8" x14ac:dyDescent="0.25">
      <c r="A1202" s="40" t="s">
        <v>34</v>
      </c>
      <c r="B1202" s="34">
        <v>613447</v>
      </c>
      <c r="C1202" s="35">
        <v>41152</v>
      </c>
      <c r="D1202" s="41">
        <v>790</v>
      </c>
      <c r="E1202" s="41">
        <v>0</v>
      </c>
      <c r="F1202" s="41">
        <v>0</v>
      </c>
      <c r="G1202" s="41">
        <v>0</v>
      </c>
      <c r="H1202" s="41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Questão01</vt:lpstr>
      <vt:lpstr>Questão02</vt:lpstr>
      <vt:lpstr>Questão03</vt:lpstr>
      <vt:lpstr>Questão04</vt:lpstr>
      <vt:lpstr>Questão05</vt:lpstr>
      <vt:lpstr>Questão06</vt:lpstr>
      <vt:lpstr>Questão07</vt:lpstr>
      <vt:lpstr>Questão08</vt:lpstr>
      <vt:lpstr>Questão09</vt:lpstr>
      <vt:lpstr>Questão10</vt:lpstr>
      <vt:lpstr>Questão11</vt:lpstr>
      <vt:lpstr>Questão12</vt:lpstr>
      <vt:lpstr>Questão13</vt:lpstr>
      <vt:lpstr>Questão13Dados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 de Febba Santos</dc:creator>
  <cp:lastModifiedBy>MIS Monitoracao</cp:lastModifiedBy>
  <dcterms:created xsi:type="dcterms:W3CDTF">2012-07-17T12:33:03Z</dcterms:created>
  <dcterms:modified xsi:type="dcterms:W3CDTF">2015-02-05T15:47:37Z</dcterms:modified>
</cp:coreProperties>
</file>